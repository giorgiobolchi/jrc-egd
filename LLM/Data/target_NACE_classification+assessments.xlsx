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filterPrivacy="1" codeName="ThisWorkbook" hidePivotFieldList="1"/>
  <xr:revisionPtr revIDLastSave="0" documentId="13_ncr:1_{C60F603D-B34F-BB4F-9EB7-F0986688499D}" xr6:coauthVersionLast="47" xr6:coauthVersionMax="47" xr10:uidLastSave="{00000000-0000-0000-0000-000000000000}"/>
  <bookViews>
    <workbookView xWindow="1000" yWindow="460" windowWidth="27800" windowHeight="17540" tabRatio="842" activeTab="16" xr2:uid="{00000000-000D-0000-FFFF-FFFF00000000}"/>
  </bookViews>
  <sheets>
    <sheet name="ANNEX_Choice lists" sheetId="2" state="hidden" r:id="rId1"/>
    <sheet name="Sheet1" sheetId="23" state="hidden" r:id="rId2"/>
    <sheet name="Sheet2" sheetId="24" state="hidden" r:id="rId3"/>
    <sheet name="Sheet3" sheetId="25" state="hidden" r:id="rId4"/>
    <sheet name="Sheet4" sheetId="26" state="hidden" r:id="rId5"/>
    <sheet name="Sheet5" sheetId="27" state="hidden" r:id="rId6"/>
    <sheet name="Sheet6" sheetId="28" state="hidden" r:id="rId7"/>
    <sheet name="Sheet7" sheetId="29" state="hidden" r:id="rId8"/>
    <sheet name="Sheet8" sheetId="30" state="hidden" r:id="rId9"/>
    <sheet name="Sheet9" sheetId="31" state="hidden" r:id="rId10"/>
    <sheet name="Sheet10" sheetId="32" state="hidden" r:id="rId11"/>
    <sheet name="Sheet11" sheetId="33" state="hidden" r:id="rId12"/>
    <sheet name="Sheet12" sheetId="34" state="hidden" r:id="rId13"/>
    <sheet name="Sheet13" sheetId="35" state="hidden" r:id="rId14"/>
    <sheet name="EGD_Structure" sheetId="11" r:id="rId15"/>
    <sheet name="Sheet18" sheetId="40" r:id="rId16"/>
    <sheet name="Sheet17" sheetId="39" r:id="rId17"/>
    <sheet name="Sheet16" sheetId="38" r:id="rId18"/>
    <sheet name="AllTargetsAssessed_sum" sheetId="18" state="hidden" r:id="rId19"/>
    <sheet name="Sheet14" sheetId="36" state="hidden" r:id="rId20"/>
    <sheet name="Sheet15" sheetId="37" state="hidden" r:id="rId21"/>
    <sheet name="Detail1" sheetId="19" state="hidden" r:id="rId22"/>
    <sheet name="Detail2" sheetId="20" state="hidden" r:id="rId23"/>
    <sheet name="PF contacts" sheetId="9" r:id="rId24"/>
    <sheet name="PF list" sheetId="10" r:id="rId25"/>
  </sheets>
  <definedNames>
    <definedName name="_xlnm._FilterDatabase" localSheetId="14" hidden="1">EGD_Structure!$A$1:$N$1</definedName>
    <definedName name="_ftn1" localSheetId="14">EGD_Structure!#REF!</definedName>
    <definedName name="_ftnref1" localSheetId="14">EGD_Structure!#REF!</definedName>
    <definedName name="_msoanchor_1">EGD_Structure!#REF!</definedName>
  </definedNames>
  <calcPr calcId="191028"/>
  <pivotCaches>
    <pivotCache cacheId="6"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116" i="11" l="1"/>
  <c r="G115" i="11"/>
  <c r="G113" i="11"/>
  <c r="G114" i="11"/>
  <c r="G293" i="11"/>
  <c r="G149" i="11"/>
  <c r="G150" i="11" l="1"/>
  <c r="G54" i="11" l="1"/>
  <c r="G53" i="11"/>
  <c r="G52" i="11" l="1"/>
  <c r="E313" i="11" l="1"/>
  <c r="M79" i="28"/>
  <c r="J79" i="28"/>
  <c r="F315" i="11"/>
  <c r="B63" i="18" l="1"/>
  <c r="J6" i="18"/>
  <c r="K6" i="18"/>
  <c r="L6" i="18"/>
  <c r="J7" i="18"/>
  <c r="K7" i="18"/>
  <c r="L7" i="18"/>
  <c r="J8" i="18"/>
  <c r="K8" i="18"/>
  <c r="L8" i="18"/>
  <c r="J9" i="18"/>
  <c r="K9" i="18"/>
  <c r="L9" i="18"/>
  <c r="J10" i="18"/>
  <c r="K10" i="18"/>
  <c r="L10" i="18"/>
  <c r="J11" i="18"/>
  <c r="K11" i="18"/>
  <c r="L11" i="18"/>
  <c r="E324" i="11"/>
  <c r="E330" i="11" s="1"/>
  <c r="E323" i="11"/>
  <c r="E329" i="11" s="1"/>
  <c r="M8" i="18" l="1"/>
  <c r="N8" i="18" s="1"/>
  <c r="M11" i="18"/>
  <c r="N11" i="18" s="1"/>
  <c r="M6" i="18"/>
  <c r="N6" i="18" s="1"/>
  <c r="M9" i="18"/>
  <c r="N9" i="18" s="1"/>
  <c r="M7" i="18"/>
  <c r="N7" i="18" s="1"/>
  <c r="M10" i="18"/>
  <c r="N10" i="18" s="1"/>
  <c r="E325" i="11"/>
  <c r="E319" i="11"/>
  <c r="E318" i="11"/>
  <c r="G10" i="11"/>
  <c r="G9" i="11"/>
  <c r="G87" i="11"/>
  <c r="C103" i="18"/>
  <c r="D103" i="18"/>
  <c r="E103" i="18"/>
  <c r="F103" i="18"/>
  <c r="C104" i="18"/>
  <c r="D104" i="18"/>
  <c r="E104" i="18"/>
  <c r="F104" i="18"/>
  <c r="C105" i="18"/>
  <c r="D105" i="18"/>
  <c r="E105" i="18"/>
  <c r="F105" i="18"/>
  <c r="C106" i="18"/>
  <c r="D106" i="18"/>
  <c r="E106" i="18"/>
  <c r="F106" i="18"/>
  <c r="B106" i="18"/>
  <c r="B105" i="18"/>
  <c r="B104" i="18"/>
  <c r="B103" i="18"/>
  <c r="C63" i="18"/>
  <c r="D63" i="18"/>
  <c r="E63" i="18"/>
  <c r="F63" i="18"/>
  <c r="C64" i="18"/>
  <c r="D64" i="18"/>
  <c r="E64" i="18"/>
  <c r="F64" i="18"/>
  <c r="C65" i="18"/>
  <c r="D65" i="18"/>
  <c r="E65" i="18"/>
  <c r="F65" i="18"/>
  <c r="C66" i="18"/>
  <c r="D66" i="18"/>
  <c r="E66" i="18"/>
  <c r="F66" i="18"/>
  <c r="B66" i="18"/>
  <c r="B65" i="18"/>
  <c r="B64" i="18"/>
  <c r="B81" i="18"/>
  <c r="B107" i="18" l="1"/>
  <c r="F107" i="18"/>
  <c r="B67" i="18"/>
  <c r="F67" i="18"/>
  <c r="D67" i="18"/>
  <c r="E67" i="18"/>
  <c r="C67" i="18"/>
  <c r="D107" i="18"/>
  <c r="C107" i="18"/>
  <c r="E107" i="18"/>
  <c r="G207" i="11"/>
  <c r="G17" i="11"/>
  <c r="B77" i="18" l="1"/>
  <c r="G103" i="18"/>
  <c r="G63" i="18" l="1"/>
  <c r="G106" i="18"/>
  <c r="H106" i="18" s="1"/>
  <c r="G105" i="18"/>
  <c r="H105" i="18" s="1"/>
  <c r="G104" i="18"/>
  <c r="H104" i="18" s="1"/>
  <c r="G3" i="11"/>
  <c r="G5" i="11"/>
  <c r="G119" i="11"/>
  <c r="G120" i="11"/>
  <c r="G121" i="11"/>
  <c r="G122" i="11"/>
  <c r="G19" i="11"/>
  <c r="G6" i="11"/>
  <c r="G20" i="11"/>
  <c r="G123" i="11"/>
  <c r="G21" i="11"/>
  <c r="G124" i="11"/>
  <c r="G18" i="11"/>
  <c r="G12" i="11"/>
  <c r="G13" i="11"/>
  <c r="G14" i="11"/>
  <c r="G15" i="11"/>
  <c r="G16" i="11"/>
  <c r="G125" i="11"/>
  <c r="G22" i="11"/>
  <c r="G23" i="11"/>
  <c r="G24" i="11"/>
  <c r="G25" i="11"/>
  <c r="G26" i="11"/>
  <c r="G27" i="11"/>
  <c r="G28" i="11"/>
  <c r="G29" i="11"/>
  <c r="G30" i="11"/>
  <c r="G31" i="11"/>
  <c r="G32" i="11"/>
  <c r="G33" i="11"/>
  <c r="G34" i="11"/>
  <c r="G35" i="11"/>
  <c r="G36" i="11"/>
  <c r="G126" i="11"/>
  <c r="G39" i="11"/>
  <c r="G40" i="11"/>
  <c r="G41" i="11"/>
  <c r="G42" i="11"/>
  <c r="G43" i="11"/>
  <c r="G44" i="11"/>
  <c r="G45" i="11"/>
  <c r="G46" i="11"/>
  <c r="G47" i="11"/>
  <c r="G48" i="11"/>
  <c r="G49" i="11"/>
  <c r="G50" i="11"/>
  <c r="G51" i="11"/>
  <c r="G59" i="11"/>
  <c r="G62" i="11"/>
  <c r="G63" i="11"/>
  <c r="G65" i="11"/>
  <c r="G66" i="11"/>
  <c r="G67" i="11"/>
  <c r="G68" i="11"/>
  <c r="G69" i="11"/>
  <c r="G72" i="11"/>
  <c r="G73" i="11"/>
  <c r="G74" i="11"/>
  <c r="G75" i="11"/>
  <c r="G76" i="11"/>
  <c r="G80" i="11"/>
  <c r="G81" i="11"/>
  <c r="G82" i="11"/>
  <c r="G83" i="11"/>
  <c r="G84" i="11"/>
  <c r="G86" i="11"/>
  <c r="G64" i="11"/>
  <c r="G275" i="11"/>
  <c r="G276" i="11"/>
  <c r="G277" i="11"/>
  <c r="G88" i="11"/>
  <c r="G89" i="11"/>
  <c r="G91" i="11"/>
  <c r="G92" i="11"/>
  <c r="G93" i="11"/>
  <c r="G94" i="11"/>
  <c r="G95" i="11"/>
  <c r="G96" i="11"/>
  <c r="G97" i="11"/>
  <c r="G98" i="11"/>
  <c r="G99" i="11"/>
  <c r="G100" i="11"/>
  <c r="G101" i="11"/>
  <c r="G103" i="11"/>
  <c r="G104" i="11"/>
  <c r="G109" i="11"/>
  <c r="G111" i="11"/>
  <c r="G127" i="11"/>
  <c r="G128" i="11"/>
  <c r="G129" i="11"/>
  <c r="G130" i="11"/>
  <c r="G131" i="11"/>
  <c r="G136" i="11"/>
  <c r="G137" i="11"/>
  <c r="G138" i="11"/>
  <c r="G139" i="11"/>
  <c r="G141" i="11"/>
  <c r="G142" i="11"/>
  <c r="G143" i="11"/>
  <c r="G144" i="11"/>
  <c r="G145" i="11"/>
  <c r="G146" i="11"/>
  <c r="G147" i="11"/>
  <c r="G148" i="11"/>
  <c r="G152" i="11"/>
  <c r="G153" i="11"/>
  <c r="G154" i="11"/>
  <c r="G155" i="11"/>
  <c r="G156" i="11"/>
  <c r="G159" i="11"/>
  <c r="G160" i="11"/>
  <c r="G161" i="11"/>
  <c r="G162" i="11"/>
  <c r="G163" i="11"/>
  <c r="G167" i="11"/>
  <c r="G168" i="11"/>
  <c r="G169" i="11"/>
  <c r="G170" i="11"/>
  <c r="G171" i="11"/>
  <c r="G172" i="11"/>
  <c r="G173" i="11"/>
  <c r="G174" i="11"/>
  <c r="G175"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2" i="11"/>
  <c r="G204" i="11"/>
  <c r="G205" i="11"/>
  <c r="G206" i="11"/>
  <c r="G208" i="11"/>
  <c r="G209" i="11"/>
  <c r="G210" i="11"/>
  <c r="G215" i="11"/>
  <c r="G216" i="11"/>
  <c r="G217" i="11"/>
  <c r="G221" i="11"/>
  <c r="G223" i="11"/>
  <c r="G225" i="11"/>
  <c r="G226" i="11"/>
  <c r="G227" i="11"/>
  <c r="G228" i="11"/>
  <c r="G229" i="11"/>
  <c r="G232" i="11"/>
  <c r="G237" i="11"/>
  <c r="G238" i="11"/>
  <c r="G239" i="11"/>
  <c r="G265" i="11"/>
  <c r="G266" i="11"/>
  <c r="G267" i="11"/>
  <c r="G268" i="11"/>
  <c r="G269" i="11"/>
  <c r="G270" i="11"/>
  <c r="G271" i="11"/>
  <c r="G273" i="11"/>
  <c r="G274" i="11"/>
  <c r="G281" i="11"/>
  <c r="G284" i="11"/>
  <c r="G285" i="11"/>
  <c r="G287" i="11"/>
  <c r="G288" i="11"/>
  <c r="G289" i="11"/>
  <c r="G290" i="11"/>
  <c r="G291" i="11"/>
  <c r="G294" i="11"/>
  <c r="G295" i="11"/>
  <c r="G297" i="11"/>
  <c r="G298" i="11"/>
  <c r="B78" i="18"/>
  <c r="B79" i="18"/>
  <c r="B80" i="18"/>
  <c r="B82" i="18"/>
  <c r="B83" i="18"/>
  <c r="C77" i="18"/>
  <c r="D77" i="18"/>
  <c r="E77" i="18"/>
  <c r="F77" i="18"/>
  <c r="C78" i="18"/>
  <c r="D78" i="18"/>
  <c r="E78" i="18"/>
  <c r="F78" i="18"/>
  <c r="C79" i="18"/>
  <c r="D79" i="18"/>
  <c r="E79" i="18"/>
  <c r="F79" i="18"/>
  <c r="C80" i="18"/>
  <c r="D80" i="18"/>
  <c r="E80" i="18"/>
  <c r="F80" i="18"/>
  <c r="C81" i="18"/>
  <c r="D81" i="18"/>
  <c r="E81" i="18"/>
  <c r="F81" i="18"/>
  <c r="C82" i="18"/>
  <c r="D82" i="18"/>
  <c r="E82" i="18"/>
  <c r="F82" i="18"/>
  <c r="C83" i="18"/>
  <c r="D83" i="18"/>
  <c r="E83" i="18"/>
  <c r="F83" i="18"/>
  <c r="L5" i="18"/>
  <c r="K5" i="18"/>
  <c r="J5" i="18"/>
  <c r="J12" i="18" s="1"/>
  <c r="G107" i="18" l="1"/>
  <c r="H107" i="18" s="1"/>
  <c r="H103" i="18"/>
  <c r="G65" i="18"/>
  <c r="H65" i="18" s="1"/>
  <c r="G64" i="18"/>
  <c r="H64" i="18" s="1"/>
  <c r="G66" i="18"/>
  <c r="H66" i="18" s="1"/>
  <c r="H63" i="18"/>
  <c r="B84" i="18"/>
  <c r="G83" i="18"/>
  <c r="D94" i="18" s="1"/>
  <c r="C84" i="18"/>
  <c r="G81" i="18"/>
  <c r="H81" i="18" s="1"/>
  <c r="G78" i="18"/>
  <c r="B89" i="18" s="1"/>
  <c r="F84" i="18"/>
  <c r="G79" i="18"/>
  <c r="D90" i="18" s="1"/>
  <c r="G82" i="18"/>
  <c r="E93" i="18" s="1"/>
  <c r="E84" i="18"/>
  <c r="D84" i="18"/>
  <c r="G80" i="18"/>
  <c r="B91" i="18" s="1"/>
  <c r="G77" i="18"/>
  <c r="E88" i="18" s="1"/>
  <c r="L12" i="18"/>
  <c r="S8" i="18"/>
  <c r="M5" i="18"/>
  <c r="N5" i="18" s="1"/>
  <c r="K12" i="18"/>
  <c r="H324" i="11"/>
  <c r="L13" i="18" l="1"/>
  <c r="S5" i="18"/>
  <c r="G67" i="18"/>
  <c r="H67" i="18" s="1"/>
  <c r="Q15" i="18" s="1"/>
  <c r="E94" i="18"/>
  <c r="G84" i="18"/>
  <c r="D95" i="18" s="1"/>
  <c r="C88" i="18"/>
  <c r="D88" i="18"/>
  <c r="H77" i="18"/>
  <c r="B88" i="18"/>
  <c r="E326" i="11"/>
  <c r="F324" i="11" s="1"/>
  <c r="C94" i="18"/>
  <c r="D93" i="18"/>
  <c r="H82" i="18"/>
  <c r="B94" i="18"/>
  <c r="H83" i="18"/>
  <c r="C91" i="18"/>
  <c r="E91" i="18"/>
  <c r="D91" i="18"/>
  <c r="H80" i="18"/>
  <c r="H78" i="18"/>
  <c r="D92" i="18"/>
  <c r="D89" i="18"/>
  <c r="E89" i="18"/>
  <c r="C89" i="18"/>
  <c r="B90" i="18"/>
  <c r="C93" i="18"/>
  <c r="B93" i="18"/>
  <c r="U6" i="18"/>
  <c r="R6" i="18"/>
  <c r="Q6" i="18"/>
  <c r="S6" i="18"/>
  <c r="E90" i="18"/>
  <c r="H79" i="18"/>
  <c r="C90" i="18"/>
  <c r="T8" i="18"/>
  <c r="C92" i="18"/>
  <c r="T5" i="18"/>
  <c r="M12" i="18"/>
  <c r="T9" i="18"/>
  <c r="T10" i="18"/>
  <c r="B92" i="18"/>
  <c r="U8" i="18"/>
  <c r="R8" i="18"/>
  <c r="R5" i="18"/>
  <c r="U5" i="18"/>
  <c r="Q5" i="18"/>
  <c r="E92" i="18"/>
  <c r="T6" i="18"/>
  <c r="Q8" i="18"/>
  <c r="T11" i="18"/>
  <c r="H323" i="11"/>
  <c r="H325" i="11" s="1"/>
  <c r="E331" i="11" s="1"/>
  <c r="I324" i="11"/>
  <c r="E320" i="11"/>
  <c r="F313" i="11"/>
  <c r="E332" i="11" l="1"/>
  <c r="F331" i="11" s="1"/>
  <c r="N12" i="18"/>
  <c r="G88" i="18"/>
  <c r="G94" i="18"/>
  <c r="G91" i="18"/>
  <c r="G90" i="18"/>
  <c r="G93" i="18"/>
  <c r="G89" i="18"/>
  <c r="B95" i="18"/>
  <c r="G92" i="18"/>
  <c r="R7" i="18"/>
  <c r="U7" i="18"/>
  <c r="Q7" i="18"/>
  <c r="S7" i="18"/>
  <c r="U10" i="18"/>
  <c r="R10" i="18"/>
  <c r="Q10" i="18"/>
  <c r="S10" i="18"/>
  <c r="T7" i="18"/>
  <c r="R9" i="18"/>
  <c r="Q9" i="18"/>
  <c r="U9" i="18"/>
  <c r="S9" i="18"/>
  <c r="H84" i="18"/>
  <c r="E95" i="18"/>
  <c r="C95" i="18"/>
  <c r="R11" i="18"/>
  <c r="Q11" i="18"/>
  <c r="U11" i="18"/>
  <c r="S11" i="18"/>
  <c r="F326" i="11"/>
  <c r="F325" i="11"/>
  <c r="F323" i="11"/>
  <c r="I323" i="11"/>
  <c r="E321" i="11"/>
  <c r="F318" i="11" s="1"/>
  <c r="F330" i="11" l="1"/>
  <c r="F332" i="11"/>
  <c r="F329" i="11"/>
  <c r="G95" i="18"/>
  <c r="U12" i="18"/>
  <c r="Q12" i="18"/>
  <c r="S12" i="18"/>
  <c r="R12" i="18"/>
  <c r="T12" i="18"/>
  <c r="F321" i="11"/>
  <c r="F319" i="11"/>
  <c r="F320" i="11"/>
  <c r="I325" i="11"/>
  <c r="H326" i="11"/>
  <c r="I326" i="11" s="1"/>
  <c r="A88" i="2" l="1"/>
  <c r="A82" i="2"/>
  <c r="A79" i="2"/>
  <c r="A76" i="2"/>
  <c r="A67" i="2"/>
  <c r="A58" i="2"/>
  <c r="A44" i="2"/>
  <c r="A35" i="2"/>
  <c r="A26" i="2"/>
  <c r="A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9" authorId="0" shapeId="0" xr:uid="{00000000-0006-0000-0E00-000002000000}">
      <text>
        <r>
          <rPr>
            <b/>
            <sz val="11"/>
            <color rgb="FF000000"/>
            <rFont val="Calibri"/>
            <family val="2"/>
          </rPr>
          <t>Author:</t>
        </r>
        <r>
          <rPr>
            <sz val="11"/>
            <color rgb="FF000000"/>
            <rFont val="Calibri"/>
            <family val="2"/>
          </rPr>
          <t xml:space="preserve">
</t>
        </r>
        <r>
          <rPr>
            <sz val="11"/>
            <color rgb="FF000000"/>
            <rFont val="Calibri"/>
            <family val="2"/>
          </rPr>
          <t>35 to 37 according to latest word document</t>
        </r>
      </text>
    </comment>
    <comment ref="L31" authorId="0" shapeId="0" xr:uid="{00000000-0006-0000-0E00-000003000000}">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As commented by PF8</t>
        </r>
      </text>
    </comment>
    <comment ref="D47" authorId="0" shapeId="0" xr:uid="{00000000-0006-0000-0E00-00000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Discussion ongoing, with EP proposing more stringent targets: what to do?
https://www.europarl.europa.eu/RegData/etudes/ATAG/2023/739377/EPRS_ATA(2023)739377_EN.pdf</t>
        </r>
      </text>
    </comment>
    <comment ref="D48" authorId="0" shapeId="0" xr:uid="{00000000-0006-0000-0E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Discussion ongoing, with EP proposing more stringent targets: what to do?
https://www.europarl.europa.eu/RegData/etudes/ATAG/2023/739377/EPRS_ATA(2023)739377_EN.pdf</t>
        </r>
      </text>
    </comment>
    <comment ref="D49" authorId="0" shapeId="0" xr:uid="{00000000-0006-0000-0E00-00000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Discussion ongoing, with EP proposing more stringent targets: what to do?
https://www.europarl.europa.eu/RegData/etudes/ATAG/2023/739377/EPRS_ATA(2023)739377_EN.pdf</t>
        </r>
      </text>
    </comment>
    <comment ref="D50" authorId="0" shapeId="0" xr:uid="{00000000-0006-0000-0E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Discussion ongoing, with EP proposing more stringent targets: what to do?
https://www.europarl.europa.eu/RegData/etudes/ATAG/2023/739377/EPRS_ATA(2023)739377_EN.pdf</t>
        </r>
      </text>
    </comment>
    <comment ref="D51" authorId="0" shapeId="0" xr:uid="{00000000-0006-0000-0E00-00000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Discussion ongoing, with EP proposing more stringent targets: what to do?
https://www.europarl.europa.eu/RegData/etudes/ATAG/2023/739377/EPRS_ATA(2023)739377_EN.pdf</t>
        </r>
      </text>
    </comment>
    <comment ref="D52" authorId="0" shapeId="0" xr:uid="{00000000-0006-0000-0E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Discussion ongoing, with EP proposing more stringent targets: what to do?
https://www.europarl.europa.eu/RegData/etudes/ATAG/2023/739377/EPRS_ATA(2023)739377_EN.pdf</t>
        </r>
      </text>
    </comment>
    <comment ref="D53" authorId="0" shapeId="0" xr:uid="{00000000-0006-0000-0E00-00000A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Discussion ongoing, with EP proposing more stringent targets: what to do?
https://www.europarl.europa.eu/RegData/etudes/ATAG/2023/739377/EPRS_ATA(2023)739377_EN.pdf</t>
        </r>
      </text>
    </comment>
    <comment ref="D54" authorId="0" shapeId="0" xr:uid="{00000000-0006-0000-0E00-00000B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Discussion ongoing, with EP proposing more stringent targets: what to do?
https://www.europarl.europa.eu/RegData/etudes/ATAG/2023/739377/EPRS_ATA(2023)739377_EN.pdf</t>
        </r>
      </text>
    </comment>
    <comment ref="D55" authorId="0" shapeId="0" xr:uid="{00000000-0006-0000-0E00-00000C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Discussion ongoing, with EP proposing more stringent targets: what to do?
https://www.europarl.europa.eu/RegData/etudes/ATAG/2023/739377/EPRS_ATA(2023)739377_EN.pdf</t>
        </r>
      </text>
    </comment>
    <comment ref="L55" authorId="0" shapeId="0" xr:uid="{00000000-0006-0000-0E00-00000D000000}">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@MARELLI Luisa (JRC-ISPRA) the comment by PF8 is underlined</t>
        </r>
      </text>
    </comment>
    <comment ref="L141" authorId="0" shapeId="0" xr:uid="{00000000-0006-0000-0E00-00000E000000}">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@MARELLI Luisa (JRC-ISPRA) comment provided by PF8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7" authorId="0" shapeId="0" xr:uid="{03D4FC3B-DB3F-6A44-B931-CD3E228CF9E0}">
      <text>
        <r>
          <rPr>
            <b/>
            <sz val="11"/>
            <color rgb="FF000000"/>
            <rFont val="Calibri"/>
            <family val="2"/>
          </rPr>
          <t>Author:</t>
        </r>
        <r>
          <rPr>
            <sz val="11"/>
            <color rgb="FF000000"/>
            <rFont val="Calibri"/>
            <family val="2"/>
          </rPr>
          <t xml:space="preserve">
</t>
        </r>
        <r>
          <rPr>
            <sz val="11"/>
            <color rgb="FF000000"/>
            <rFont val="Calibri"/>
            <family val="2"/>
          </rPr>
          <t>35 to 37 according to latest word document</t>
        </r>
      </text>
    </comment>
    <comment ref="H24" authorId="0" shapeId="0" xr:uid="{7FE4F0AA-AC8B-674E-A6DF-30D9535D6518}">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As commented by PF8</t>
        </r>
      </text>
    </comment>
    <comment ref="H46" authorId="0" shapeId="0" xr:uid="{2AF114F4-A211-9A4E-B12B-1C182E84E972}">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@MARELLI Luisa (JRC-ISPRA) the comment by PF8 is underlined</t>
        </r>
      </text>
    </comment>
    <comment ref="H128" authorId="0" shapeId="0" xr:uid="{AED2AE09-C58E-A14C-AED4-832ACBA4AAD0}">
      <text>
        <r>
          <rPr>
            <sz val="11"/>
            <color rgb="FF000000"/>
            <rFont val="Calibri"/>
            <family val="2"/>
          </rPr>
          <t xml:space="preserve">[Threaded comment]
</t>
        </r>
        <r>
          <rPr>
            <sz val="11"/>
            <color rgb="FF000000"/>
            <rFont val="Calibri"/>
            <family val="2"/>
          </rPr>
          <t xml:space="preserve">
</t>
        </r>
        <r>
          <rPr>
            <sz val="11"/>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rPr>
          <t xml:space="preserve">
</t>
        </r>
        <r>
          <rPr>
            <sz val="11"/>
            <color rgb="FF000000"/>
            <rFont val="Calibri"/>
            <family val="2"/>
          </rPr>
          <t xml:space="preserve">Comment:
</t>
        </r>
        <r>
          <rPr>
            <sz val="11"/>
            <color rgb="FF000000"/>
            <rFont val="Calibri"/>
            <family val="2"/>
          </rPr>
          <t xml:space="preserve">    @MARELLI Luisa (JRC-ISPRA) comment provided by PF8</t>
        </r>
      </text>
    </comment>
  </commentList>
</comments>
</file>

<file path=xl/sharedStrings.xml><?xml version="1.0" encoding="utf-8"?>
<sst xmlns="http://schemas.openxmlformats.org/spreadsheetml/2006/main" count="18160" uniqueCount="2510">
  <si>
    <t>Actions</t>
  </si>
  <si>
    <t>01_Agriculture</t>
  </si>
  <si>
    <t>02_Climate</t>
  </si>
  <si>
    <t>03_Energy</t>
  </si>
  <si>
    <t>04_Environment and Oceans</t>
  </si>
  <si>
    <t>05_Finance and Regional Development</t>
  </si>
  <si>
    <t>06_Industry</t>
  </si>
  <si>
    <t>07_REPowerEU Plan</t>
  </si>
  <si>
    <t>08_Research and Innovation</t>
  </si>
  <si>
    <t>09_Transport</t>
  </si>
  <si>
    <t>10_New European Bauhaus</t>
  </si>
  <si>
    <t>00_General_EGD</t>
  </si>
  <si>
    <t>Strams</t>
  </si>
  <si>
    <t>01_A_Common Agricultural Policy Reform</t>
  </si>
  <si>
    <t>01_B_Common Agricultural Policy Strategic Plan</t>
  </si>
  <si>
    <t>01_C_EU Agri-Food Promotion Policy</t>
  </si>
  <si>
    <t>01_D_Nutrition Labelling</t>
  </si>
  <si>
    <t>01_E_Organic Farming Action Plan</t>
  </si>
  <si>
    <t>01_F_Sustainable Use of Pesticides</t>
  </si>
  <si>
    <t>01_G_Welfare of Farmed Animals</t>
  </si>
  <si>
    <t>01_00_Other</t>
  </si>
  <si>
    <t>02_A_Adaptation Strategy</t>
  </si>
  <si>
    <t>02_B_Climate Diplomacy</t>
  </si>
  <si>
    <t>02_C_European Climate Law</t>
  </si>
  <si>
    <t>02_D_European Climate Pact</t>
  </si>
  <si>
    <t>02_E_Fluorinated GHG</t>
  </si>
  <si>
    <t>02_F_Protecting the Ozone Layer</t>
  </si>
  <si>
    <t>02_00_Other</t>
  </si>
  <si>
    <t>03_A_Energy System Integration Strategy</t>
  </si>
  <si>
    <t>03_B_Hydrogen Strategy</t>
  </si>
  <si>
    <t>03_C_Methane Strategy</t>
  </si>
  <si>
    <t>03_D_Offshore Renewable Energy Strategy</t>
  </si>
  <si>
    <t>03_E_Renovation Wave</t>
  </si>
  <si>
    <t>03_F_Trans-European Network for Energy</t>
  </si>
  <si>
    <t>03_00_Other</t>
  </si>
  <si>
    <t>04_A_8th Environment Action Programme</t>
  </si>
  <si>
    <t>04_B_Biodiversity Strategy for 2030</t>
  </si>
  <si>
    <t>04_C_Blue Economy Strategy</t>
  </si>
  <si>
    <t>04_D_Chemicals Strategy for Sustainability</t>
  </si>
  <si>
    <t>04_E_Circular Economy Action Plan</t>
  </si>
  <si>
    <t>04_F_Common Fisheries Policy</t>
  </si>
  <si>
    <t>04_G_Farm to Fork Strategy</t>
  </si>
  <si>
    <t>04_H_Organic Action Plan</t>
  </si>
  <si>
    <t>04_I_Sustainable Batteries</t>
  </si>
  <si>
    <t>04_J_Waste and Recycling</t>
  </si>
  <si>
    <t>04_K_Zero Pollution Action Plan</t>
  </si>
  <si>
    <t>04_00_Other</t>
  </si>
  <si>
    <t>05_A_Green Transition Reform Support</t>
  </si>
  <si>
    <t>05_B_Just Transition Mechanism</t>
  </si>
  <si>
    <t>05_C_Next Generation EU</t>
  </si>
  <si>
    <t>05_D_Next Generation EU Green Bonds</t>
  </si>
  <si>
    <t>05_E_Recovery and Resilience Facility</t>
  </si>
  <si>
    <t>05_F_Sustainable Finance</t>
  </si>
  <si>
    <t>05_00_Other</t>
  </si>
  <si>
    <t>06_A_Circular Plastics Aliance</t>
  </si>
  <si>
    <t>06_B_Eurpean Battery Alliance</t>
  </si>
  <si>
    <t>06_C_European Clean Hydrogen Alliance</t>
  </si>
  <si>
    <t>06_D_European Raw Material Alliance</t>
  </si>
  <si>
    <t>06_E_Industrial Energy</t>
  </si>
  <si>
    <t>06_F_Sustainable Batteries</t>
  </si>
  <si>
    <t>06_00_Other</t>
  </si>
  <si>
    <t>07_00_Other</t>
  </si>
  <si>
    <t>08_00_Research and Innovation</t>
  </si>
  <si>
    <t>09_A_Connecting Europe Express</t>
  </si>
  <si>
    <t>09_B_Sustainable and Smart Mobility Strategy</t>
  </si>
  <si>
    <t>Sub-Streams</t>
  </si>
  <si>
    <t>04_J_01_Batteries and Accumulators</t>
  </si>
  <si>
    <t>04_J_02_Biodegradable Waste</t>
  </si>
  <si>
    <t>04_J_03_Construction and Demolition Waste</t>
  </si>
  <si>
    <t>04_J_04_End-of-Life Vehicles</t>
  </si>
  <si>
    <t>04_J_05_Landfill Waste</t>
  </si>
  <si>
    <t>04_J_06_Mining Waste</t>
  </si>
  <si>
    <t>04_J_07_Packaging Waste</t>
  </si>
  <si>
    <t>04_J_08_PCBs-PCTs</t>
  </si>
  <si>
    <t>04_J_09_RoHS</t>
  </si>
  <si>
    <t>04_J_10_Sewage Sludge</t>
  </si>
  <si>
    <t>04_J_11_Ships</t>
  </si>
  <si>
    <t>04_J_12_Waste containing Pops</t>
  </si>
  <si>
    <t>04_J_13_Waste Oil</t>
  </si>
  <si>
    <t>04_J_14_Waste Shipments</t>
  </si>
  <si>
    <t>04_J_15_WEEE</t>
  </si>
  <si>
    <t>Type of Document</t>
  </si>
  <si>
    <t>Annex to the Communication from the Commission to the European Parliament, the Council, the European Economic and Social Committee and the Committee and the Committee of the Regions</t>
  </si>
  <si>
    <t>Communication from the Commission to the European Parliament, the Council, the European Economic and Social Committee and the Committee and the Committee of the Regions</t>
  </si>
  <si>
    <t>Brief</t>
  </si>
  <si>
    <t>Commission Delegated Regulation (EU)</t>
  </si>
  <si>
    <t>Commission Decision</t>
  </si>
  <si>
    <t>Commission Recommendation (EU)</t>
  </si>
  <si>
    <t>Commission Staff Working Document</t>
  </si>
  <si>
    <t xml:space="preserve">Commission Implementing Decision </t>
  </si>
  <si>
    <t>Commission Implementing Regulation (EU)</t>
  </si>
  <si>
    <t>Commission Notice</t>
  </si>
  <si>
    <t>Commission Regulation (EU)</t>
  </si>
  <si>
    <t>Consultation Strategy</t>
  </si>
  <si>
    <t>Council Regulation (EU)</t>
  </si>
  <si>
    <t>Council Regulation (EU, Euratom)</t>
  </si>
  <si>
    <t>Council Decision (EU, Euratom) 2020/2053</t>
  </si>
  <si>
    <t>Proposal for a Decision of the European Parliament and of the Council</t>
  </si>
  <si>
    <t>Decision (EU) of the European Parliament and of the Council</t>
  </si>
  <si>
    <t>Annex to the Directive of the European Parliament and of the Council</t>
  </si>
  <si>
    <t>Annex to the Proposal for a Directive of the European Parliament and of the Council</t>
  </si>
  <si>
    <t>Proposal for a Directive of the European Parliament and of the Council</t>
  </si>
  <si>
    <t>Directive of the European Parliament and of the Council</t>
  </si>
  <si>
    <t>Proposal for a Council Directive</t>
  </si>
  <si>
    <t>Factsheet</t>
  </si>
  <si>
    <t>Joint Declarations</t>
  </si>
  <si>
    <t>Interinstitutional Agreements</t>
  </si>
  <si>
    <t>Position (EU) of the Council at first Reading</t>
  </si>
  <si>
    <t>Amended Proposal for a Regulation of the European Parliament and of the Council</t>
  </si>
  <si>
    <t>Annex to the Proposal for a Regulation of the European Parliament and of the Council</t>
  </si>
  <si>
    <t>Proposal for a Regulation of the European Parliament and of the Council</t>
  </si>
  <si>
    <t>Regulation (EU) of the European Parliament and of the Council</t>
  </si>
  <si>
    <t>Regulation (EU, Euratom) of the European Parliament and of the Council</t>
  </si>
  <si>
    <t>Press briefing</t>
  </si>
  <si>
    <t>Press release</t>
  </si>
  <si>
    <t>Regulatory scrutinity board opinion</t>
  </si>
  <si>
    <t>Report from the Commission to the European Parliament and the Council</t>
  </si>
  <si>
    <t>Report from the Commission to the European Parliament, the Council, the Economic and Financial Committee and the Employment Committee</t>
  </si>
  <si>
    <t>Annex to the Report from the Commission to the European Parliament, the Council, the European Economic and Social Committee and the Committee of the Regions</t>
  </si>
  <si>
    <t>Report from the Commission to the European Parliament, the Council, the European Economic and Social Committee and the Committee of the Regions</t>
  </si>
  <si>
    <t>Working Paper</t>
  </si>
  <si>
    <t>Report</t>
  </si>
  <si>
    <t>Study</t>
  </si>
  <si>
    <t>Other</t>
  </si>
  <si>
    <t>Type of targets</t>
  </si>
  <si>
    <t>Quantitative</t>
  </si>
  <si>
    <t>Uncountable</t>
  </si>
  <si>
    <t>Overarching</t>
  </si>
  <si>
    <t>Binding</t>
  </si>
  <si>
    <t>Aspirational</t>
  </si>
  <si>
    <t>Policy</t>
  </si>
  <si>
    <t>7th EU Environment Action Programme</t>
  </si>
  <si>
    <t>Batteries and Waste Batteries</t>
  </si>
  <si>
    <t>Biodegradable Waste</t>
  </si>
  <si>
    <t>Biodiversity Strategy</t>
  </si>
  <si>
    <t>Blue Economy</t>
  </si>
  <si>
    <t>CO2 emission performance standards for new passenger cars and for new light commercial vehicles</t>
  </si>
  <si>
    <t>CAP - Common Agricultural Plan</t>
  </si>
  <si>
    <t>Circular Economy Action Plan</t>
  </si>
  <si>
    <t>Clean air and water Action Plans</t>
  </si>
  <si>
    <t>Delivering the Green Deal</t>
  </si>
  <si>
    <t>End-of-Life Vehicles</t>
  </si>
  <si>
    <t>Energy Efficiency</t>
  </si>
  <si>
    <t>Energy Performance of Buildings</t>
  </si>
  <si>
    <t>Energy Transition of the EU Fisheries and Aquaculture sector</t>
  </si>
  <si>
    <t xml:space="preserve">EU Action Plan: Protecting and restoring marine ecosystems for sustainable and resilient fisheries </t>
  </si>
  <si>
    <t>EU Climate Adaptation Strategy</t>
  </si>
  <si>
    <t>EU Climate Law</t>
  </si>
  <si>
    <t>EU F-Gas Legislation</t>
  </si>
  <si>
    <t>EU Soil strategy for 2030</t>
  </si>
  <si>
    <t>EU Solar Energy Strategy</t>
  </si>
  <si>
    <t>EU strategy on offshore renewable energy</t>
  </si>
  <si>
    <t>EU strategy to reduce methane emissions</t>
  </si>
  <si>
    <t>European Climate Law</t>
  </si>
  <si>
    <t>Farm to Fork</t>
  </si>
  <si>
    <t>Fit for 55</t>
  </si>
  <si>
    <t>Global Methane Pledge</t>
  </si>
  <si>
    <t>Governance of the Energy Union and Climate Action</t>
  </si>
  <si>
    <t>Hydrogen Strategy</t>
  </si>
  <si>
    <t>Just Transition Mechanism</t>
  </si>
  <si>
    <t>Landfill Directive</t>
  </si>
  <si>
    <t>LULUCF Regulatory Framework</t>
  </si>
  <si>
    <t>National emission reduction commitments</t>
  </si>
  <si>
    <t>Nature Restoration Law</t>
  </si>
  <si>
    <t>New EU Forest Strategy</t>
  </si>
  <si>
    <t>New Urban Mobility Framework</t>
  </si>
  <si>
    <t>NextGenerationEU</t>
  </si>
  <si>
    <t>Offshore Wind Energy</t>
  </si>
  <si>
    <t>Organic Action Plan</t>
  </si>
  <si>
    <t>Ozone Depleting (Proposal for a Revision)</t>
  </si>
  <si>
    <t>Packaging and Packaging waste</t>
  </si>
  <si>
    <t>POPs regulation</t>
  </si>
  <si>
    <t>Renewable Energy</t>
  </si>
  <si>
    <t>Renovation Wave</t>
  </si>
  <si>
    <t>RePowerEU</t>
  </si>
  <si>
    <t>RohS Directive</t>
  </si>
  <si>
    <t>Single-use plastics Directive</t>
  </si>
  <si>
    <t>Sustainable and Smart Mobility Strategy</t>
  </si>
  <si>
    <t>Sustainable use of chemicals</t>
  </si>
  <si>
    <t>TEN-T</t>
  </si>
  <si>
    <t>Towards Zero Pollution for Air, Water and Soil</t>
  </si>
  <si>
    <t>Use of energy from renewable sources</t>
  </si>
  <si>
    <t>Urban Wastewater treatment</t>
  </si>
  <si>
    <t>Waste Directive</t>
  </si>
  <si>
    <t>Water Framework Directive</t>
  </si>
  <si>
    <t>WEEE Directive</t>
  </si>
  <si>
    <t>Zero pollution action plan</t>
  </si>
  <si>
    <t>Source of the Indicator</t>
  </si>
  <si>
    <t>Proposed</t>
  </si>
  <si>
    <t>Contained in the reference policy document</t>
  </si>
  <si>
    <t>European Environment Agency</t>
  </si>
  <si>
    <t>UN SDG Indicator set</t>
  </si>
  <si>
    <t>IEA - International Energy Agency</t>
  </si>
  <si>
    <t>https://www.iea.org/reports/buildings</t>
  </si>
  <si>
    <t>TENtec Information System</t>
  </si>
  <si>
    <t>Population and social condition Indicator set - ESTAT</t>
  </si>
  <si>
    <t>Climate Change Indicator set - ESTAT</t>
  </si>
  <si>
    <t>Environment and Energy Indicator set - ESTAT</t>
  </si>
  <si>
    <t>https://ec.europa.eu/eurostat/databrowser/explore/all/envir?lang=en&amp;subtheme=env.env_was&amp;display=list&amp;sort=category</t>
  </si>
  <si>
    <t>Transport Indicator set - ESTAT</t>
  </si>
  <si>
    <t>F2F Monitoring Framework</t>
  </si>
  <si>
    <t>Sustainable Development Indicator set - ESTAT</t>
  </si>
  <si>
    <t>https://ec.europa.eu/eurostat/web/sdi/database</t>
  </si>
  <si>
    <t>Forest Europe</t>
  </si>
  <si>
    <t>https://foresteurope.org/workstreams/sustainable-forest-management/#</t>
  </si>
  <si>
    <t>EU Joint Platform on Forest Monitoring</t>
  </si>
  <si>
    <t>Agriculture, forestry and fisheries Indicator set - ESTAT</t>
  </si>
  <si>
    <t>EGD statistics</t>
  </si>
  <si>
    <t>https://ec.europa.eu/eurostat/cache/egd-statistics/</t>
  </si>
  <si>
    <t>JRC World Atlas of Desertification</t>
  </si>
  <si>
    <t>JRC Resilience Dashboard</t>
  </si>
  <si>
    <t>https://commission.europa.eu/strategy-and-policy/strategic-planning/strategic-foresight/2020-strategic-foresight-report/resilience-dashboards_en</t>
  </si>
  <si>
    <t>EU Biodiversity Strategy Dashboard</t>
  </si>
  <si>
    <t>https://dopa.jrc.ec.europa.eu/kcbd/dashboard/</t>
  </si>
  <si>
    <t>DG SANTE</t>
  </si>
  <si>
    <t>OECD</t>
  </si>
  <si>
    <t>Hydrogen Europe</t>
  </si>
  <si>
    <t>Statista</t>
  </si>
  <si>
    <t>Handbook for the SDG Voluntary Local Reviews</t>
  </si>
  <si>
    <t>https://publications.jrc.ec.europa.eu/repository/bitstream/JRC129381/JRC129381_01.pdf</t>
  </si>
  <si>
    <t>Relationship with SDG targets</t>
  </si>
  <si>
    <t>Aligned</t>
  </si>
  <si>
    <t>More ambitious</t>
  </si>
  <si>
    <t>Less ambitious</t>
  </si>
  <si>
    <t>N/A</t>
  </si>
  <si>
    <t>EGD thematic areas by COM(2019) 640 final</t>
  </si>
  <si>
    <t>Increasing the EU’s climate ambition for 2030 and 2050</t>
  </si>
  <si>
    <t>Supplying clean, affordable and secure energy </t>
  </si>
  <si>
    <t>Mobilising industry for a clean and circular economy</t>
  </si>
  <si>
    <t>Building and renovating in an energy and resource efficient way</t>
  </si>
  <si>
    <t>Accelerating the shift to sustainable and smart mobility</t>
  </si>
  <si>
    <t>From ‘Farm to Fork’: designing a fair, healthy and environmentally-friendly food system </t>
  </si>
  <si>
    <t>Preserving and restoring ecosystems and biodiversity </t>
  </si>
  <si>
    <t>A zero pollution ambition for a toxic-free environment </t>
  </si>
  <si>
    <t>Main thematic areas*
*referring to EGD Objectives set out in COM(2019) 640 final ANNEX</t>
  </si>
  <si>
    <t>Actions*
*referring to EGD Objectives set out in COM(2019) 640 ANNEX</t>
  </si>
  <si>
    <t xml:space="preserve">Key Policy documents </t>
  </si>
  <si>
    <t>Year of publication</t>
  </si>
  <si>
    <t>Binding doc</t>
  </si>
  <si>
    <t>Type target</t>
  </si>
  <si>
    <t>Targets from legal acts</t>
  </si>
  <si>
    <t>Targets from Proposal</t>
  </si>
  <si>
    <t>n</t>
  </si>
  <si>
    <t>Targets</t>
  </si>
  <si>
    <t>Timeline</t>
  </si>
  <si>
    <t>Quantified</t>
  </si>
  <si>
    <t>Comments</t>
  </si>
  <si>
    <t>Fiche</t>
  </si>
  <si>
    <t>Indicator</t>
  </si>
  <si>
    <t>Quantitative Target</t>
  </si>
  <si>
    <t>Distance to Target (GAP)</t>
  </si>
  <si>
    <t>Trend</t>
  </si>
  <si>
    <t>Colour</t>
  </si>
  <si>
    <t>Indicator 8th EAP</t>
  </si>
  <si>
    <t>Comments (data used by EAP/presence of gap analysis in EAP)</t>
  </si>
  <si>
    <t>Subtopic</t>
  </si>
  <si>
    <t>Other topics related</t>
  </si>
  <si>
    <t>Main SDG Targets related (draft)</t>
  </si>
  <si>
    <t>SDG goal</t>
  </si>
  <si>
    <t>Origin of main dataset</t>
  </si>
  <si>
    <t>Link to main possible dataset</t>
  </si>
  <si>
    <t>Alternative / complementary dataset 1</t>
  </si>
  <si>
    <t>Alternative /complementary dataset 2</t>
  </si>
  <si>
    <t>PF2</t>
  </si>
  <si>
    <t>PF3</t>
  </si>
  <si>
    <t>PF4</t>
  </si>
  <si>
    <t>PF5</t>
  </si>
  <si>
    <t>PF6</t>
  </si>
  <si>
    <t>PF7</t>
  </si>
  <si>
    <t>PF8</t>
  </si>
  <si>
    <t>PF9</t>
  </si>
  <si>
    <t>PF10</t>
  </si>
  <si>
    <t>PF11</t>
  </si>
  <si>
    <t>PF12</t>
  </si>
  <si>
    <t>PF13</t>
  </si>
  <si>
    <t>PF14</t>
  </si>
  <si>
    <t>PF15</t>
  </si>
  <si>
    <t>PF16</t>
  </si>
  <si>
    <t>PF17</t>
  </si>
  <si>
    <t>PF18</t>
  </si>
  <si>
    <t>PF19</t>
  </si>
  <si>
    <t>PF20</t>
  </si>
  <si>
    <t>PF21</t>
  </si>
  <si>
    <t>PF22</t>
  </si>
  <si>
    <t>PF23</t>
  </si>
  <si>
    <t>PF24</t>
  </si>
  <si>
    <t>PF25</t>
  </si>
  <si>
    <t>PF26</t>
  </si>
  <si>
    <t>PF27</t>
  </si>
  <si>
    <t>PF28</t>
  </si>
  <si>
    <t>PF29</t>
  </si>
  <si>
    <t>PF30</t>
  </si>
  <si>
    <t>PF31</t>
  </si>
  <si>
    <t>PF32</t>
  </si>
  <si>
    <t>PF33</t>
  </si>
  <si>
    <t>1. Climate ambition</t>
  </si>
  <si>
    <t>Proposal on a European ‘Climate Law’ enshrining the 2050 climate neutrality objective</t>
  </si>
  <si>
    <t>Establishing the framework for achieving climate neutrality and amending regulations (EC) No 401/2009 and (EU) 2018/1999 ("European Climate Law")</t>
  </si>
  <si>
    <t>Regulation of the European Parliament and of the Council</t>
  </si>
  <si>
    <t>Climate Neutrality</t>
  </si>
  <si>
    <t>Greenhouse gas emission (PF8)</t>
  </si>
  <si>
    <t>net zero GHG emission</t>
  </si>
  <si>
    <t>net zero by 2050</t>
  </si>
  <si>
    <t>not on track</t>
  </si>
  <si>
    <t xml:space="preserve">Total greenhouse gas emission trends and projections in Europe' </t>
  </si>
  <si>
    <t>agreement - not on track. Gap analysis present. EEA data (same as fiche)</t>
  </si>
  <si>
    <t>CLIMATE</t>
  </si>
  <si>
    <t>13</t>
  </si>
  <si>
    <t>https://ec.europa.eu/eurostat/databrowser/view/SDG_13_10/default/table?lang=en&amp;category=sdg.sdg_13</t>
  </si>
  <si>
    <t>x</t>
  </si>
  <si>
    <t>(x)</t>
  </si>
  <si>
    <t>Reduce of 55% GHG emissions compared to 1990 levels</t>
  </si>
  <si>
    <t>GHG emissions</t>
  </si>
  <si>
    <t>reduction of 55% by 2030</t>
  </si>
  <si>
    <t>EU greenhouse gases emissions were reduced by 30.41% between 1990 and 2021. The EU Forest sink is quickly developing away from the EU climate targets and jeopardizing the fulfilment of the overall LULUCF sector target for 2030. If the recent negative development continues, the overall 55% emissions 2030 target for the EU may be at risk. Furthermore, natural disturbances are expected to increase with the ongoing climate change (e.g. Forzieri et al. 2022), making the situation even more difficult. 
On the other hand, if policies are set more stringent (e.g. renewable targets) than initially proposed by the EC, this could lead to an overachievement of the 2030 target.</t>
  </si>
  <si>
    <t>EMISSIONS</t>
  </si>
  <si>
    <t>on methane emissions reduction in the energy sector</t>
  </si>
  <si>
    <t>To achieve 55% reduction of GHG emission by 2030, methane emissions related to energy production and consumption should be reduced by 58% compared to the level in 2020</t>
  </si>
  <si>
    <t>According to the 2030 Climate Target Plan’s Impact Assessment, the most cost-effective methane emission reductions can be achieved in the energy sector. Reaching the 58% reduction target would imply a further ramping up of CH4 emissions energy sector reductions, requiring an efficient and timely implementation of emission abatement technologies and setting up monitoring capability of companies to detect and fix methane leaks.</t>
  </si>
  <si>
    <t>https://www.eea.europa.eu/data-and-maps/data/data-viewers/greenhouse-gases-viewer</t>
  </si>
  <si>
    <t>On an EU Strategy to reduce methane emissions</t>
  </si>
  <si>
    <t>Communication from the Commission to the European Parliament, the Council, the European Economic and Social Committee and the Committee of the Regions</t>
  </si>
  <si>
    <t xml:space="preserve">Reduce methane emissions from 35 to 37% if compared to 2005 levels. </t>
  </si>
  <si>
    <t>MERGED WITH DIRECTIVE 2023/2413</t>
  </si>
  <si>
    <t>A Renovation Wave for Europe - greening our buildings, creating jobs, improving lives</t>
  </si>
  <si>
    <t>Reduce buildings’ greenhouse gas emissions by 60%</t>
  </si>
  <si>
    <t>Energy efficiency (PF7) + Greenhouse gas emission (PF8)</t>
  </si>
  <si>
    <t>Buildings’ greenhouse gas emissions</t>
  </si>
  <si>
    <t>Reduce by 60%</t>
  </si>
  <si>
    <t xml:space="preserve">Progress needs to accelerate to reach the target value </t>
  </si>
  <si>
    <t>Acceleration needed</t>
  </si>
  <si>
    <t>no corresponding indicator</t>
  </si>
  <si>
    <t>BUILDINGS</t>
  </si>
  <si>
    <t>https://www.eea.europa.eu/data-and-maps/indicators/greenhouse-gas-emissions-from-energy/assessment</t>
  </si>
  <si>
    <t>Proposals for revisions of relevant legislative measures to deliver on the increased climate ambition, following the review of Emissions Trading System Directive; Effort Sharing Regulation; Land use, land use change and forestry Regulation; Energy Efficiency Directive; Renewable Energy Directive; CO2 emissions performance standards for cars and vans</t>
  </si>
  <si>
    <t>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</si>
  <si>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Each Member State shall ensure that the annual sum of its greenhouse gas emissions and removals on its territory and in all of the land reporting categories, in each year in the period from 2026 to 2030, does not exceed the limit established by a linear trajectory, ending in 2030 on the target set out for that Member State(no debit rule)</t>
  </si>
  <si>
    <t>LULUCF (PF8)</t>
  </si>
  <si>
    <t xml:space="preserve">GHG emissions and removals from LULUCF sector </t>
  </si>
  <si>
    <t>GHG emissions and removals do not exceed the limits for every MS, by 2030</t>
  </si>
  <si>
    <t>Intermediary targets for linear trajectories in MS will be affected by a number of factors, such as historical GHG Inventory corrections, and new requirements on comprehensive land use reporting (2026 onwards) + improved methodologies, i.e. Tier 2 reporting for all pools (2028 onwards)  +  Tier 3 reporting for special areas (2030 onwards). Overall, this makes it difficult to assess the distance to the target. A situation intermediate between the one in 2021-2025 and the one in 2030 is likely.</t>
  </si>
  <si>
    <t>difficult to assess due to many targets. The situation is very variable between MS and between land reporting categories</t>
  </si>
  <si>
    <t>"Greenhouse gas emissions from land use, land-use change and forestry in Europe "</t>
  </si>
  <si>
    <t>Gap analysis not  present. Data:National emissions reported to the UNFCCC and to the EU Greenhouse Gas Monitoring Mechanism.</t>
  </si>
  <si>
    <t>LAND</t>
  </si>
  <si>
    <t>CLIMATE - EMISSIONS</t>
  </si>
  <si>
    <t>https://ec.europa.eu/eurostat/databrowser/view/sdg_13_21/default/table?lang=en</t>
  </si>
  <si>
    <t>For the period from 2021 to 2025 each Member State shall ensure that greenhouse gas emissions  from the sector do not exceed greenhouse gas removals, calculated as the sum of total emissions and total removals on its territory in all of the land accounting categories (no debit rule). The accounting benchmark for the EU is ca. -229 Mt CO2e/yr for 2021-2025.</t>
  </si>
  <si>
    <t>GHG emissions do not exceed GHG removals, in every MS, by 2025</t>
  </si>
  <si>
    <t>Assessing the distance to target is difficult. Comparing purely the GHG reporting from countries for 2021, it looks that the EU is more or less on the accounting benchmark. However, the recalculations of the inventories will lead to ‘technical corrections’, and we see a risk that these corrections will more likely lead to an overall accounting debit (i.e. not reaching the target) than a credit in LULUCF sector as a whole. 
For years 2022-2025, similar concerns as for 2030 target remain. The decreasing sink has effects on the no debit regulation and on offsetting schemes</t>
  </si>
  <si>
    <t>we may be just on track to meet the commitments, but there is clear risk of not achieving them</t>
  </si>
  <si>
    <t>Achieve an EU net greenhouse gas removal of 310 million tonnes CO2 equivalent per year for the land use, land use change and forestry (LULUCF) sector</t>
  </si>
  <si>
    <t>LULUCF (PF8) + Greenhouse gas emissions (PF8)</t>
  </si>
  <si>
    <t>EU net greenhouse gas removal for LULUCF sector</t>
  </si>
  <si>
    <t>-310 MtCO2e by 2030</t>
  </si>
  <si>
    <t xml:space="preserve">At EU level, distance to target is widening because of the decreased sink trend. In 2020 the gap between the reported LULUCF emissions in 2016-2018 and the target of -310 Mt CO2e for 2030 was -42 Mt CO2e for the EU as a whole. The EU GHG inventory 2023 shows that this gap has now widened: to reach -310 Mt CO2e, the EU needs to improve its LULUCF sink by -80 Mt CO2e between 2021 and 2030. The LULUCF targets will be difficult to achieve unless substantial changes in forest management are implemented very soon. </t>
  </si>
  <si>
    <t>Negative, out of track</t>
  </si>
  <si>
    <t>Agreement, out of target. Gap analysis present. Data:National emissions reported to the UNFCCC and to the EU Greenhouse Gas Monitoring Mechanism.
Approximated estimates for greenhouse gas emissions.
Member States' greenhouse gas (GHG) emission projections</t>
  </si>
  <si>
    <t>Amending Regulation (EU) 2018/842 on binding annual greenhouse gas emission reductions by Member States from 2021 to 2030 contributing to climate action to meet commitments under the Paris Agreement, and Regulation (EU) 2018/1999</t>
  </si>
  <si>
    <t>Upgrade national targets in line with an EU-wide reduction of 40% in the ESR sectors compared to 2005. Member States contribute to the overall EU reduction in 2030 with targets ranging from -10% to -50% below 2005 level (sectors: transport, buildings, agriculture and waste)</t>
  </si>
  <si>
    <t>EU-wide reduction of GHG emissions in the ESR</t>
  </si>
  <si>
    <t>EU reduction of 40% by 2030, compared to 2005. MS reduction targets ranging from -10% to -50%</t>
  </si>
  <si>
    <t xml:space="preserve">The current steady reduction of emissions is expected to continue in the coming decades. After power generation, the buildings and transport sectors are the sectors experiencing the fastest decarbonisation.
The EU has met the decarbonisation targets set in the past for 2020 and is well on track to meeting the 40% 2030 target. </t>
  </si>
  <si>
    <t>Positive, on track</t>
  </si>
  <si>
    <t>New EU Strategy on Adaptation to Climate Change</t>
  </si>
  <si>
    <t>Forging a climate-resilient Europe - the new EU Strategy on Adaptation to Climate Change</t>
  </si>
  <si>
    <t>Achieve a climate-resilient society status, fully adapted to the unavoidable impacts of climate change</t>
  </si>
  <si>
    <t>Climate adaptation</t>
  </si>
  <si>
    <t> [BJ(1]In the CETO we provide 3.3 GW/y as of today, with all the reserves we have regarding theoretical vs effective manufacturing capacities.</t>
  </si>
  <si>
    <t>CLIMATE ADAPTATION</t>
  </si>
  <si>
    <t>https://joint-research-centre.ec.europa.eu/scientific-activities-z/resilience/resilience-dashboards_en</t>
  </si>
  <si>
    <t>Proposal for a carbon border adjustment mechanism for selected sectors</t>
  </si>
  <si>
    <t>Establishing a carbon border adjustment mechanism</t>
  </si>
  <si>
    <t>Proposal for a revision of the Energy Taxation Directive</t>
  </si>
  <si>
    <t>Restructuring the Union framework for the taxation of energy products and electricity (recast)</t>
  </si>
  <si>
    <t>(Document still beeing processed in the EP (awaiting committee decision) and in the Council; contributing to the overall 55% emission reduction goal for 2030)</t>
  </si>
  <si>
    <t>Amending Directive 2003/87/EC establishing a system for greenhouse gas emission allowance trading within the Union, Decision (EU) 2015/1814 concerning the establishment and operation of a market stability reserve for the Union greenhouse gas emission trading system</t>
  </si>
  <si>
    <t>The total quantity of allowances for the new emissions trading system should follow a linear trajectory to reach the emission reduction target for 2030, taking into account the cost-efficient contribution of the buildings and road transport sectors of 43 % emission reductions by 2030 compared to 2005 and of the additional sectors, a combined cost-efficient contribution of 42 % emission reductions by 2030 compared to 2005.</t>
  </si>
  <si>
    <t>POINT OUT BY EXPERTS</t>
  </si>
  <si>
    <t>The ETS2 is a new EU-wide cap-and-trade economic instrument that covers the emissions from fuels sold in the road transport, buildings, and other (mainly smaller industries) sectors. As such, it overlaps significantly with the ESR in terms of sectors covered, but important differences are that a) it is implemented at the EU level (rather than with individual MS targets to be enacted by MS specific policies), and b) it does NOT cover non-CO2 emissions (many of which are from the hard-to-tackle agricultural sector).
Between 2005 and 2022 the emissions covered by the ETS 2 fell by 16% according to own estimates of the JRC (as the instrument is a novel one, official reporting by the Member States is not yet available). Due to the overlapping sector coverage, future projections can be considered similar to those of the ESR. However, the EU-wide implementation and the exclusion of agricultural emissions in ETS2 contribute to reduced the uncertainty in attaining the 2030 target compared to the ESR.</t>
  </si>
  <si>
    <t>The contribution of the sectors covered by the EU ETS with respect to the EU Climate ambition should be of -62 % compared to 2005 (increasing the linear emissions reduction factor from 2.2 % per year up to 4.4 %)</t>
  </si>
  <si>
    <t xml:space="preserve">The decreasing trajectory of the number of CO2 emission allowances leads to -62% less CO2 emission in 2030 compared to 2005. ETS 1 emissions fell by 38% between 2005 and 2022. The 2023 greenhouse gas emission projections reported by the MS to the EEA result in a reduction of ETS emissions of 55% to 59% in the ETS sectors in 2030 (with existing measures – with additional measures projection).  While these projections are somewhat short of the 62% target, it is important to note that -being the ETS a EU-wide market-based (cap and trade) instrument, this objective is not addressed by MS specific policies and cannot be completely covered by the individual MSGHG emission projections. </t>
  </si>
  <si>
    <t>"Total greenhouse gas emission trends and projections in Europe "</t>
  </si>
  <si>
    <t>isn't this repeated from above</t>
  </si>
  <si>
    <t>Reduce methane emissions of 35% if compared to 2005 levels. 
+
The amendments set out in Directive 2023/2413 are also intended to support the achievement of the Union’s target of an annual production of sustainable biomethane of 35 billion cubic meters by 2030, set out in the Commission staff working document of 18 May 2022 accompanying the REPowerEU Plan, entitled ‘Implementing the Repower EU Action Plan: Investment needs, hydrogen accelerator and achieving the bio-methane targets’ (taken from Directive 2023/2413 as regards the promotion of energy from renewable sources)</t>
  </si>
  <si>
    <t>Amount of biomethane</t>
  </si>
  <si>
    <t>35 bcm by 2030</t>
  </si>
  <si>
    <t>31.5 bcm from 2021. Biomethane production in 2021 reached 3.5 bcm; this target requires additional 5,000 plants</t>
  </si>
  <si>
    <t>7</t>
  </si>
  <si>
    <t>Concerning urban wastewater treatment (recast)</t>
  </si>
  <si>
    <t>Reach energy neutrality in the wastewater treatment sector by 2040. To reach energy neutrality and the additional treatment of nitrogen, GHG emissions would be reduced by 4,86 million tonnes (37,32 % of the avoidable emissions from the sector)</t>
  </si>
  <si>
    <t>asked to colleagues in D2 (Quaranta e Pistocchi)</t>
  </si>
  <si>
    <t>Waste water</t>
  </si>
  <si>
    <t xml:space="preserve">There is a considerable potential for reducing fossil fuel based energy use and GHG emissions in wastewater treatment, and market incentives are increasingly attractive for investments in this direction. The ongoing revision of the Directive will further stimulate investments, particularly by requiring wastewater managers to undertake energy audits and to reach energy neutrality by 2040 in all plants above 10,000 p.e. </t>
  </si>
  <si>
    <t>On track</t>
  </si>
  <si>
    <t>ENERGY EFFICIENCY</t>
  </si>
  <si>
    <t>amending Directive (EU) 2018/2001, Regulation (EU) 2018/1999 and Directive 98/70/EC as regards the promotion of energy from renewable sources, and repealing Council Directive (EU) 2015/652</t>
  </si>
  <si>
    <t>1.       Climate Ambitions: GHG emissions; LULUCF</t>
  </si>
  <si>
    <t>Member States shall ensure that the contribution of renewable fuels of non-biological origin used for final energy and non-energy purposes shall be at least 42 % of the hydrogen used for final energy and non-energy purposes in industry by 2030, and 60 % by 2035</t>
  </si>
  <si>
    <t xml:space="preserve">same target in line 19?! Deleted </t>
  </si>
  <si>
    <t>HYDROGEN</t>
  </si>
  <si>
    <t>INDUSTRY</t>
  </si>
  <si>
    <t>9</t>
  </si>
  <si>
    <t>2. Clean, affordable and secure energy</t>
  </si>
  <si>
    <t>Proposal to support zero carbon steel-making processes by 2030</t>
  </si>
  <si>
    <t>REPowerEU Plan</t>
  </si>
  <si>
    <t>Around 30% of EU primary steel production is expected to be decarbonized on the basis of renewable hydrogen</t>
  </si>
  <si>
    <t>Hydrogen (PF3)</t>
  </si>
  <si>
    <t>The use of renewable hydrogen in Europe is negligible at the moment. This includes also industrial processes.</t>
  </si>
  <si>
    <t>Strategy on offshore wind</t>
  </si>
  <si>
    <t>An EU Strategy to harness the potential of offshore renewable energy for a climate neutral future</t>
  </si>
  <si>
    <t>The strategy sets targets for an installed capacity of at least 1 GW of ocean energy by 2030 and 40 GW by 2050</t>
  </si>
  <si>
    <t>Wind and offshore (PF2)</t>
  </si>
  <si>
    <t>Installed capacity of ocean energy</t>
  </si>
  <si>
    <t>1GW by 2030 and 40 GW by 2050</t>
  </si>
  <si>
    <t xml:space="preserve">In 2022, EU MS installed in the order of 100 kW of ocean energy. </t>
  </si>
  <si>
    <t>RENEWABLES</t>
  </si>
  <si>
    <t>WindEurope</t>
  </si>
  <si>
    <t>https://windeurope.org/intelligence-platform/product/wind-energy-in-europe-2021-statistics-and-the-outlook-for-2022-2026/</t>
  </si>
  <si>
    <t xml:space="preserve">The strategy sets targets for an installed capacity of at least 60 GW of offshore wind by 2030 and at least 300 GW by 2050. Grounding on the revised TEN-E regulation, EU countries have agreed on new, ambitious long-term goals for the deployment of offshore renewable energy up to 2050 in each of the EU’s five sea basins. As a result, the cumulative EU offshore goals have the following ranges: 109-112 GW by 2030, 215-248 GW by 2040, and 281-354 GW by 2050. </t>
  </si>
  <si>
    <t xml:space="preserve">Installed capacity of offshore wind </t>
  </si>
  <si>
    <t>60 GW by 2030 and 300GW by 2050</t>
  </si>
  <si>
    <t>In 2022, the cumulative installed capacity for wind offshore is 16.2 GW, requiring a more than 5 times increase in annual installations compared to 2022 (from 1.2 to 6.3 GW/yr) to reach 60 GW by 2030.</t>
  </si>
  <si>
    <t>Delivering on the EU offshore renewable energy ambitions</t>
  </si>
  <si>
    <t> </t>
  </si>
  <si>
    <t>European Wind Power Action Plan</t>
  </si>
  <si>
    <t>Strategy for smart sector integration</t>
  </si>
  <si>
    <t>Powering a Climate neutrality economy: An EU Strategy for Energy System Integration</t>
  </si>
  <si>
    <t>By 2030, the share of renewable energy in the electricity mix should double to 55-60%, and projections show a share of around 84% by 2050. The remaining gap should be covered by other low-carbon options</t>
  </si>
  <si>
    <t>Renewable Energies in the Energy System (PF2)</t>
  </si>
  <si>
    <t>Share of renewable energy in the electricity mix</t>
  </si>
  <si>
    <t>55-60 by 2030 and 84% by 2050</t>
  </si>
  <si>
    <t>17% (from 2021)</t>
  </si>
  <si>
    <t>"Share of energy consumption from renewable sources in Europe"</t>
  </si>
  <si>
    <t xml:space="preserve">agreement - on track. Gap analysis present. Data: Eurostat </t>
  </si>
  <si>
    <t>Evaluation and review of the Trans-European Network – Energy Regulation</t>
  </si>
  <si>
    <t>Guidelines for trans-European energy infrastructure, amending Regulations (EC) No 715/2009, (EU) 2019/942 and (EU) 2019/943 and Directives 2009/73/EC and (EU) 2019/944, and repealing Regulation (EU) No 347/2013</t>
  </si>
  <si>
    <t>Provide a hydrogen accelerator to build 17.5 GW of electrolysers to fuel EU industry with homegrown production of 10 million tonnes renewable hydrogen</t>
  </si>
  <si>
    <t>moved from TA1 to TA2</t>
  </si>
  <si>
    <t>If all facilities planned are managing to become fully operational with the expected timing, 104 GW of electrolysers could already be deployed in 2026</t>
  </si>
  <si>
    <t>Positive</t>
  </si>
  <si>
    <t>https://hydrogeneurope.eu/wp-content/uploads/2022/10/Clean_Hydrogen_Monitor_10-2022_DIGITAL.pdf</t>
  </si>
  <si>
    <t>Renewable hydrogen will be key to replace natural gas, coal and oil in hard-to-decarbonise industries and transport. REPowerEU sets a target of 10 million tonnes of domestic renewable hydrogen production and 10 million tonnes of renewable hydrogen imports by 2030</t>
  </si>
  <si>
    <t>moved from TA1 to TA2
Non binding targets, i.e. not included in regulations (e.g. Renewable Energy Directive), therefore highly aspirational comment by PF8: "as the agreed RES and EE targets are lower than in REPowerEU, unclear how to deal with these more granular aspirational targets, some of which may be considered obsolete and are not covered by any specific targets in legislation)"</t>
  </si>
  <si>
    <t xml:space="preserve">Actual European manufacturing capacity is not officially monitored. </t>
  </si>
  <si>
    <t>NA</t>
  </si>
  <si>
    <t>Assessment of the final National Energy and Climate Plans</t>
  </si>
  <si>
    <t>On the Governance of the Energy Union and Climate Action,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t>
  </si>
  <si>
    <t>The level of electricity interconnectivity that the Member State aims for in 2030 in consideration of the electricity interconnection target for 2030 of at least 15%</t>
  </si>
  <si>
    <t>MELETIOU Alexis (C3): This target is linked to the one above (line 49) and should not be assessed separately. Member States are required to track progress towards this goal as part of their reporting on National energy and climate plans (NECP) implementation.  On 17 September 2020, the Commission published a detailed EU-wide assessment of the final NECPs. Each country must submit a progress report every 2 years.</t>
  </si>
  <si>
    <t>Energy infrastructure (PF2)</t>
  </si>
  <si>
    <t>ENERGY INFRASTRUCTURE</t>
  </si>
  <si>
    <t>Laying down rules for the application of Regulation (EU) 2018/1999 of the European Parliament and of the Council as regards the structure, format, technical details and process for the integrated national energy and climate progress reports</t>
  </si>
  <si>
    <t>Commission Implementing Regulation</t>
  </si>
  <si>
    <t>An EU-wide assessment of National Energy and Climate Plans. Driving forward the green transition and promoting economic recovery through integrated energy and climate planning</t>
  </si>
  <si>
    <t>Set up at least one renewables-based energy community in every municipality with a population higher than 10.000</t>
  </si>
  <si>
    <t>draft by Matteo, asked confirmation to MENGOLINI Anna (JRC-PETTEN) and KOUKOUFIKIS Giorgos from PF20 C7</t>
  </si>
  <si>
    <t>Sustainable cities</t>
  </si>
  <si>
    <t>Energy communities in the EU are still a niche in most national energy markets, with an estimated 9000 energy communities currently in operation across the EU. Precisely, In the EU countries there are 9252 energy communities, although we can see large disparities between the member countries: more than half of these are found in Germany, which has 4848 energy communities, followed by other states of the Union, while Bulgaria, Malta, Romania, and Hungary have just one.</t>
  </si>
  <si>
    <t>https://energy.ec.europa.eu/news/focus-energy-communities-transform-eus-energy-system-2022-12-13_en#:~:text=However%2C%20they%20are%20still%20a,in%20operation%20across%20the%20EU.</t>
  </si>
  <si>
    <t>https://www.balcanicaucaso.org/eng/Areas/Balkans/Europe-and-energy-communities-223982#:~:text=In%20the%20EU%20countries%20there,and%20Hungary%20have%20just%20one.</t>
  </si>
  <si>
    <t>https://www.nature.com/articles/s41597-022-01902-5</t>
  </si>
  <si>
    <t>‘Renovation wave’ initiative for the building sector</t>
  </si>
  <si>
    <t>On the Energy Performance of Buildings (recast)</t>
  </si>
  <si>
    <t xml:space="preserve">Member States shall lay down requirements to ensure that, where technically and economically feasible, non-residential buildings with an effective rated output for heating systems or systems for combined space heating and ventilation of over 290 kW are equipped with building automation and control systems (Council`s General approach from 25.10.2022. Zero-emission buildings: from 2028 new owned by public bodies, from 2030 all new). </t>
  </si>
  <si>
    <t xml:space="preserve">Energy efficiency (PF7) </t>
  </si>
  <si>
    <t>Non-residential buildings to be equipped with building automation and control systems</t>
  </si>
  <si>
    <t>not provided</t>
  </si>
  <si>
    <t>ENERGY CONSUMPTION</t>
  </si>
  <si>
    <t>As of 2021, all new buildings must be nearly zero-energy buildings (NZEB) and since 2019, all new public buildings should be NZEB</t>
  </si>
  <si>
    <t xml:space="preserve">This is more a general requirement, not a target &gt; cancelled </t>
  </si>
  <si>
    <t>New buildings must be nearly zero-energy buildings (NZEB)</t>
  </si>
  <si>
    <t>This is now mandatory in all MS</t>
  </si>
  <si>
    <t>Currently 0%</t>
  </si>
  <si>
    <t>With a view to supporting the 40GW electrolyser strategic goal outlined in last year’s hydrogen strategy, there is also a new sub target for renewable fuels from non-biological origin (RFNBO) of 2.6% (single counted)</t>
  </si>
  <si>
    <t>100% of on-site energy consumption to be covered by renewable energy as for new buildings</t>
  </si>
  <si>
    <t>On-site energy consumption covered by renewable energy for new buildings</t>
  </si>
  <si>
    <t>All existing buildings should be transformed into zero-emission buildings</t>
  </si>
  <si>
    <t>Zero-emission buildings</t>
  </si>
  <si>
    <t>2.       Clean and Affordable Energy: Energy Infrastructure, Renewable Energies, Solar Energy, Wind and offshore, Hydrogen, Energy Efficiency</t>
  </si>
  <si>
    <t>A Member State may reduce the contribution of renewable fuels of non-biological origin used for final energy and non-energy purposes referred to in Article 22a(1), fifth subparagraph, by 20 % in 2030, provided that:
(a) that Member State is on track towards its national contribution to the binding overall Union target set in Article 3(1), first subparagraph, which is at least equivalent to its expected national contribution in accordance with the formula
referred to in Annex II to Regulation (EU) 2018/1999; and
(b) the share of hydrogen, or its derivatives, produced from fossil fuels which is consumed in that Member State is not more than 23 % in 2030 and not more than 20 % in 2035</t>
  </si>
  <si>
    <t>All residential buildings to reach energy class F by 2027 and class E by 2030</t>
  </si>
  <si>
    <t>Residential buildings with energy class F by 2030</t>
  </si>
  <si>
    <t xml:space="preserve">All residential buildings to reach energy class E </t>
  </si>
  <si>
    <t>same target, different timeline, merged together</t>
  </si>
  <si>
    <t>Residential buildings with energy class E by 2033</t>
  </si>
  <si>
    <t>All public and non-residential buildings to reach energy class F</t>
  </si>
  <si>
    <t>Public and non-residential buildings with energy class F by 2027</t>
  </si>
  <si>
    <t>All public and non-residential buildings to reach energy class F by 2027 and class E by 2030</t>
  </si>
  <si>
    <t>Public and non-residential buildings with energy class E by 2030</t>
  </si>
  <si>
    <t>Reduce buildings' energy consumption for heating and cooling by 18%</t>
  </si>
  <si>
    <t>Buildings' energy consumption for heating and cooling</t>
  </si>
  <si>
    <t>Reduce by 18%</t>
  </si>
  <si>
    <t>2015 FEC was 234 Mtoe; FEC for space heating and cooling buildings = FEC for space heating residential+ FEC for air conditioning residential (only electricity) + FEC for space heating services + FEC for air conditioning = 170.72 + 1.01 + 128.8+ 10.6 = 311.1 Mtoe (data from Odysseee -2021). Consumptions increased by 4.5% (2015-2021), instead of reducing</t>
  </si>
  <si>
    <t>Opposite</t>
  </si>
  <si>
    <t>Indicative national targets aiming to achieve the deep renovation of at least 35 million building units by 2030 to support reaching an annual energy renovation rate of 3 % or more for the period till 2050 (see latest test adopted by EP on 14.03.2023)</t>
  </si>
  <si>
    <t>Number of renovated building units</t>
  </si>
  <si>
    <t>35 milion by 2030</t>
  </si>
  <si>
    <t xml:space="preserve">no corresponding indicator </t>
  </si>
  <si>
    <t>https://publications.jrc.ec.europa.eu/repository/handle/JRC117816#:~:text=At%20today's%20renovation%20rate%20of,by%202050%20cannot%20be%20ensured.</t>
  </si>
  <si>
    <t>At least double the annual energy renovation rate of residential and non-residential buildings by 2030 and to foster deep energy renovations</t>
  </si>
  <si>
    <t>Annual energy renovation rate of residential and non-residential buildings</t>
  </si>
  <si>
    <t>Double by 2030</t>
  </si>
  <si>
    <t>About 1% renovation rate in EU 27</t>
  </si>
  <si>
    <t>Reduce buildings' final energy consumption by 14%</t>
  </si>
  <si>
    <t>Buildings' final energy consumption</t>
  </si>
  <si>
    <t>Reduce by 14%</t>
  </si>
  <si>
    <t>2015 FEC was 373.5 Mtoe; 2021 FEC buildings= FEC serv + FECres = 129.4+261.8= 391.2 Mtoe. Consumptions increased by 4.5% (2015-2021), instead of reducing</t>
  </si>
  <si>
    <t>"Primary and final energy consumption in Europe"</t>
  </si>
  <si>
    <t>2020 target and gap analisys included (with specifications for buildings). Data:(NRG_BAL_C), PEC (2020-2030) and FEC (2020-2030)</t>
  </si>
  <si>
    <t>https://www.iea.org/regions/europe</t>
  </si>
  <si>
    <t>On energy efficiency and amending Regulation (EU) 2023/955 (recast)</t>
  </si>
  <si>
    <t>Each Member State shall ensure that at least 3 % of the total floor area of heated and/or cooled buildings (of buildings which have a total useful floor area of over 250 m2) that are owned by public bodies is renovated each year to be transformed into at least nearly zero-energy buildings or zero-emission buildings in accordance with Article 9 of Directive 2010/31/EU</t>
  </si>
  <si>
    <t>Member States shall make efforts to collectively contribute to the indicative Union primary energy consumption target amounting to no more than 992,5 Mtoe in 2030 (art. 4 Directive) -&gt; 39% savings for primary energy consumption in the EU</t>
  </si>
  <si>
    <t>2021  primary energy consumption = 1311. Distance to the 2030 target is 24.3%</t>
  </si>
  <si>
    <t>Member States shall collectively ensure a reduction of energy consumption of at least 11,7 % in 2030 compared to the projections of the 2020 EU Reference Scenario so that the Union’s final energy consumption amounts to no more than 763 Mtoe (art. 4 Directive)</t>
  </si>
  <si>
    <t>Final energy consumption saving</t>
  </si>
  <si>
    <t>11.7% reduction of FEC by 2030</t>
  </si>
  <si>
    <t xml:space="preserve">2021 FEC consumption = 968.4
Distance to the 2030 target is 21.2 %.
The Energy Efficiency target for 2020 of 959 Mtoe for EU27 has been reached.
</t>
  </si>
  <si>
    <t>Positive but out of track</t>
  </si>
  <si>
    <t>https://ec.europa.eu/eurostat/databrowser/view/sdg_07_11/default/table?lang=en</t>
  </si>
  <si>
    <t>Bring the total renewable energy generation capacities to 1,236 GW</t>
  </si>
  <si>
    <t xml:space="preserve">The regulation has repealed it </t>
  </si>
  <si>
    <t>total renewable energy generation capacity</t>
  </si>
  <si>
    <t>1,236 GW</t>
  </si>
  <si>
    <t>Moderate</t>
  </si>
  <si>
    <t>https://www.eea.europa.eu/ims/share-of-energy-consumption-from</t>
  </si>
  <si>
    <t>Doubling the current deployment rate of individual heat pumps, resulting in a cumulative 10 million units by 2027 and 30 million units by 2030</t>
  </si>
  <si>
    <t>Non binding targets, i.e. not included in regulations (e.g. Renewable Energy Directive), therefore highly aspirational</t>
  </si>
  <si>
    <t>Deployment rate of individual heat pumps</t>
  </si>
  <si>
    <t>Double</t>
  </si>
  <si>
    <t>The deployment rate was 2.2 million heat pumps in 2021 and 3 million in 2022.</t>
  </si>
  <si>
    <t>https://ec.europa.eu/eurostat/databrowser/view/nrg_inf_hptc/default/table?lang=en&amp;category=mar.mar_s</t>
  </si>
  <si>
    <t>Increase the binding EU energy efficiency target from 9% to 13% compared to 2020 </t>
  </si>
  <si>
    <t xml:space="preserve">Energy efficiency </t>
  </si>
  <si>
    <t xml:space="preserve">MS progresses under analysis (NECP and NECPR). Preliminary results show that progress needs to accelerate to reach the target value  </t>
  </si>
  <si>
    <t>https://ec.europa.eu/eurostat/databrowser/view/nrg_ind_eff/default/table?lang=en</t>
  </si>
  <si>
    <t>Bring online over 320 GW of solar photovoltaic by 2025 and 600 GW by 2030</t>
  </si>
  <si>
    <t>Solar energy (PF2)</t>
  </si>
  <si>
    <t>177 GW by 2022</t>
  </si>
  <si>
    <t>https://www.statista.com/statistics/497540/connected-and-cumulated-photovoltaic-capacity-in-the-european-union-eu/</t>
  </si>
  <si>
    <t>Energy demand to be covered by solar heat and geothermal should at least triple (currently rate at 1,5%)</t>
  </si>
  <si>
    <t xml:space="preserve">2021: 0.687 TWh (0.1%) in a total of 651 TWh 
10% growth in 2022, below the target rate </t>
  </si>
  <si>
    <t>Over this decade, the EU will need to install, on average, approximately 45 GW per year of PV to reach the share of 45% of energy coming from renewables set out in the RePowerEU Plan</t>
  </si>
  <si>
    <t xml:space="preserve">2022 installations: 41 GWp (about 34 GWac). 
Market needs to increase for targets </t>
  </si>
  <si>
    <t>Ensure that energy poor and vulnerable consumers have access to solar energy, e.g. through social housing installations, energy communities, or financing support for individual installations</t>
  </si>
  <si>
    <t>No specific solar data available on this</t>
  </si>
  <si>
    <t>Support building-integrated PVs for both new buildings and renovations</t>
  </si>
  <si>
    <t>Member States shall collectively ensure that the share of energy from renewable sources in the Union’s gross final consumption of energy in 2030 is at least 42,5 %.</t>
  </si>
  <si>
    <t>Share of renewables in the energy mix</t>
  </si>
  <si>
    <t>21% (from 2021)</t>
  </si>
  <si>
    <t>2020 target and gap analisys included. Data:eurostat.</t>
  </si>
  <si>
    <t>https://ec.europa.eu/eurostat/databrowser/view/nrg_ind_ren/default/table?lang=en</t>
  </si>
  <si>
    <t>Member States shall set an indicative target for innovative renewable energy technology of at least 5 % of newly installed renewable energy capacity by 2030</t>
  </si>
  <si>
    <t>By 31 December 2025, each Member State shall agree to establish a framework for cooperation on joint projects with one or more other Member States for the production of renewable energy, subject to the following: by 31 December 2030, Member States shall endeavour to agree on establishing at least two joint projects;  by 31 December 2033, Member States with an annual electricity consumption of more than 100 TWh shall endeavour to agree on establishing a third joint project</t>
  </si>
  <si>
    <t>Member States shall endeavour to increase the share of renewable sources in the amount of energy sources used for final energy and non-energy purposes in the industry sector by an indicative increase of at least 1,6 percentage points as an annual average calculated for the periods 2021 to 2025 and 2026 to 2030.</t>
  </si>
  <si>
    <t>Renewable energy use for industry</t>
  </si>
  <si>
    <t>1.6 percentage point annual increase</t>
  </si>
  <si>
    <t xml:space="preserve">A 1.6 pp annual increase leads to 26% share of renewables by 2030. Share in 2021 was 9.7% after observing a slight decline from 2020 share of 10% (the maximum achieved). Acceleration is needed to reach the 2030 target.  </t>
  </si>
  <si>
    <t>Currently little increase due to Covid-19 impact.</t>
  </si>
  <si>
    <t>https://ec.europa.eu/eurostat/databrowser/view/ten00129/default/table?lang=en</t>
  </si>
  <si>
    <t>Each Member State shall set an obligation on fuel suppliers to ensure that: (a) the amount of renewable fuels and renewable electricity supplied to the transport sector leads to a: (i) share of renewable energy within the final consumption of energy in the transport sector of at least 29 % by 2030; or i) greenhouse gas intensity reduction of at least 14,5 % by 2030, compared to the baseline set out in Article 27(1), point (b), in accordance with an indicative trajectory set by the Member State;</t>
  </si>
  <si>
    <t>Share of renewable energy in final energy consumption for transport</t>
  </si>
  <si>
    <t>20% (from 2021)</t>
  </si>
  <si>
    <t>TRANSPORT</t>
  </si>
  <si>
    <t>https://www.eea.europa.eu/ims/greenhouse-gas-emission-intensity-of</t>
  </si>
  <si>
    <t>Member States shall endeavour to increase the share of energy from renewable sources and from waste heat and cold in district heating and cooling by an indicative 2,2 percentage points as an annual average calculated for the period 2021 to 2030, starting from the share of energy from renewable sources and from waste heat and cold in district heating and cooling in 2020</t>
  </si>
  <si>
    <t>Share of energy from renewables and from waste heat and cold in district heating and cooling</t>
  </si>
  <si>
    <t>Increase 2.1 percentage points</t>
  </si>
  <si>
    <t>Currently no increase due to Covid-19 impact.</t>
  </si>
  <si>
    <t>https://ec.europa.eu/eurostat/databrowser/view/nrg_ind_urhcd/default/table?lang=en</t>
  </si>
  <si>
    <t>In terms of Member States' contribution towards the share of energy from renewable sources in gross final consumption of energy in 2030, an indicative trajectory for that contribution from By 2027 should imply to reach a reference point of at least 65 % of the total increase in the share of energy from renewable sources between that Member State's binding 2020 national target and its contribution to the 2030 target</t>
  </si>
  <si>
    <t xml:space="preserve">Share of energy from renewable sources in gross final energy consumption of energy </t>
  </si>
  <si>
    <t xml:space="preserve">One MS has already reached the 2030 target. Acceleration is needed to reach the 2030 target.  </t>
  </si>
  <si>
    <t>Each Member State shall increase the share of renewable energy in that sector by at least 0,8 percentage points as an annual average calculated for the period 2021 to 2025 and by at least 1,1 percentage points as an annual average calculated for the period 2026 to 2030, starting from the share of renewable energy in the heating and cooling sector in 2020</t>
  </si>
  <si>
    <t>Increase in renewables for heating and cooling</t>
  </si>
  <si>
    <t>0.8% per year at MS level until 2026 and 1.1% from 2026 to 2030</t>
  </si>
  <si>
    <t xml:space="preserve">The share of renewable energy in the H&amp;C sector increased from 22.9% to 23.2 from 2021 to 2022.  </t>
  </si>
  <si>
    <t>https://ec.europa.eu/eurostat/databrowser/view/sdg_07_40/default/table?lang=en</t>
  </si>
  <si>
    <t>the Union’s 2030 targets for energy and climate” means the Union-wide binding target for reducing greenhouse gas emissions in 2030 referred to in Article 4(1) of Regulation (EU) 2021/1119, the Union’s binding target for renewable energy for 2030 set in Article 3(1) of Directive (EU) 2018/2001, the Union-level target for improving energy efficiency in 2030 referred to in Article 4(1) of Directive (EU) .../... of the European Parliament and of the Council*+ and the 15 % electricity interconnection target for 2030 or any subsequent targets in that regard agreed by the European Council or by the European Parliament and by the Council for 2030.</t>
  </si>
  <si>
    <t>The new directive (2023) confirm the target that was already in the prevous directive (2018): https://eur-lex.europa.eu/legal-content/EN/TXT/?uri=uriserv:OJ.L_.2018.328.01.0001.01.ENG&amp;toc=OJ:L:2018:328:TOC "Develop transmission and distribution grid infrastructure, intelligent networks, storage facilities and interconnections, with the objective of arriving at a 15 % electricity interconnection target"</t>
  </si>
  <si>
    <t>The EU energy infrastructure is undergoing a transformation in line with the green transition set out in the EGD, and the energy security priorities outlined in the REPowerEU plan. The ten-year network development plans for electricity, prepared by TSOs, include a list of relevant projects that can be eligible PCIs. The main investments in the electricity infrastructure identified in the REPowerEU plan included the Biscay Bay electricity interconnector between France and Spain, the Celtic interconnector between France &amp;Ireland, and the EuroAsia interconnector between Greece&amp; Cyprus.</t>
  </si>
  <si>
    <t>Member States shall determine an indicative national share of renewable energy produced on-site or nearby as well as renewable energy taken from the grid in final energy consumption in their building sector in 2030 that is consistent with an indicative target of at least a 49 % share of energy from renewable sources in the building sector in the Union’s final energy consumption in buildings in 2030</t>
  </si>
  <si>
    <t>Renewables in buildings</t>
  </si>
  <si>
    <t>49% by 2030</t>
  </si>
  <si>
    <t>No data available for buildings, only for the H&amp;C sector</t>
  </si>
  <si>
    <t>amending Regulations (EU) 2019/943 and (EU) 2019/942 as well as Directives (EU) 2018/2001 and (EU) 2019/944 to improve the Union’s electricity market design</t>
  </si>
  <si>
    <t>Member States shall ensure that the total final energy consumption of all public bodies combined is reduced by at least 1,9 % each year, when compared to 2021 (art. 5.1 Directive)</t>
  </si>
  <si>
    <t>Reduction of energy consumption in the public sector</t>
  </si>
  <si>
    <t xml:space="preserve">This is a new target from EED recast (active from 10/10/23). Progress needs to accelerate to reach the target value. </t>
  </si>
  <si>
    <t>https://ec.europa.eu/eurostat/databrowser/view/ten00124/default/table?lang=en</t>
  </si>
  <si>
    <t>On the Energy Transition of the EU Fisheries and Aquaculture sector</t>
  </si>
  <si>
    <t>The fisheries sector must follow the two mutually reinforcing paths of reducing energy intensity, on the one hand, and switching to renewable and low-carbon energy sources, on the other hand</t>
  </si>
  <si>
    <t>Fisheries &amp; Aquaculture (PF10)</t>
  </si>
  <si>
    <t>FISHERY</t>
  </si>
  <si>
    <t>Renovate each year at least 3% of the total floor area of buildings owned by all levels of public administration (as also agreed by Council-Parliament on 10.03.23)</t>
  </si>
  <si>
    <t>Renovation rate</t>
  </si>
  <si>
    <t xml:space="preserve">Renovation indicators are not harmonised across the EU. There are several inconsistencies that do not allow for comparison across all countries. Progress needs to accelerate to reach the target value  </t>
  </si>
  <si>
    <t>3. Industrial strategy for a clean and circular economy</t>
  </si>
  <si>
    <t>Propose legislative waste reforms</t>
  </si>
  <si>
    <t>Amending Directive 1999/31/EC on the landfill of waste</t>
  </si>
  <si>
    <t>Deleted target "By 2035, member States shall ensure that the amount of municipal waste landfilled is reduced to 10% or less of the total amount of municipal waste generated by weight" because already present in the db (see "Reduce landfill to a maximum of 10% of municipal waste")</t>
  </si>
  <si>
    <t>Waste management (PF12)</t>
  </si>
  <si>
    <t>Share of municipal waste landfilled in the total amount of municipal waste generated (by weight)</t>
  </si>
  <si>
    <t>10% by 2035</t>
  </si>
  <si>
    <t xml:space="preserve">The average landfilling rate of municipal waste in the EU27 was 20% as of 2021, and has been steadily decreasing since 2010 (79%) at an average rate of 2.8% per year over the period. 13 Member States are still far from it (Bulgaria, Croatia, Cyprus, Czechia, Greece, Hungary, Latvia, Malta, Poland, Portugal, Romania, Slovakia and Spain). </t>
  </si>
  <si>
    <t>WASTE</t>
  </si>
  <si>
    <t>11</t>
  </si>
  <si>
    <t>Amending Directive 2008/98/EC on waste</t>
  </si>
  <si>
    <t>Hazardous household waste will have to be collected separately by 2022, bio-waste by 2023 and textiles by 2025</t>
  </si>
  <si>
    <t>Textiles (PF12)</t>
  </si>
  <si>
    <t>Separate collection for recycling of hazardous household waste, bio-waste  and textiles</t>
  </si>
  <si>
    <t>respectively by 2022, 2023 and 2025</t>
  </si>
  <si>
    <t>Most EU Member States have already set up a separate collection system for textile waste, in preparation of this mandatory target. 
As a remark, it is noted that the EGD target does not set a level of ambition or specific requirements on e.g. collection point density.</t>
  </si>
  <si>
    <t>12</t>
  </si>
  <si>
    <t>Member States should aim to achieve an indicative Union-wide food waste reduction target of 30 % by 2025 and 50 % by 2030</t>
  </si>
  <si>
    <t>updated with the new targets in the proposal 2023</t>
  </si>
  <si>
    <t>FOOD SYSTEM</t>
  </si>
  <si>
    <t>https://ec.europa.eu/eurostat/databrowser/view/env_wasfw/default/table?lang=en</t>
  </si>
  <si>
    <t>By 2025, the preparing for re-use and recycling of municipal waste shall be increased to a minimum of 55% by weight (60% by 2030, 65% by 2035)</t>
  </si>
  <si>
    <t>Share of recycling or preparing for re-use of municipal waste</t>
  </si>
  <si>
    <t>55% by 2025, 60% by 2030 and 65% by 2035</t>
  </si>
  <si>
    <t xml:space="preserve">For the preparing for re-use and recycling target of municipal waste, 18 Member States are at risk of missing the target of 55% by 2025 (Bulgaria, Croatia, Cyprus, Estonia, Finland, France, Greece, Hungary, Ireland, Latvia, Lithuania, Malta, Poland, Portugal, Romania, Slovakia, Spain, and Sweden). </t>
  </si>
  <si>
    <t>CIRCULAR ECONOMY</t>
  </si>
  <si>
    <t>https://ec.europa.eu/eurostat/databrowser/view/ENV_WASMUN/default/table?lang=en&amp;category=env.env_was.env_wasst</t>
  </si>
  <si>
    <t>On waste electrical and electronic equipment (WEEE) (recast)</t>
  </si>
  <si>
    <t>From 15 August 2018, the recycling targets for the WEEE falling within the following categories of Annex III shall be:
- 0% for Category 1 or Category 4 
- 70% for Category 2 
- 55% for Category 5 or Category 6</t>
  </si>
  <si>
    <t xml:space="preserve">merged together the the recovery targets for the WEEE </t>
  </si>
  <si>
    <t>WEEE</t>
  </si>
  <si>
    <t>https://ec.europa.eu/eurostat/databrowser/view/ENV_WASELEE/default/table?lang=en&amp;category=env.env_was.env_wasst</t>
  </si>
  <si>
    <t xml:space="preserve">From 15 August 2018, the preparation for re-use targets for the WEEE falling within the following categories of Annex III shall be:
-	80% for Category 1 or Category 4 
-	70% for Category 2 
-	55% for Category 5 or Category 6
</t>
  </si>
  <si>
    <t xml:space="preserve">From 15 August 2018, the recovery targets for the WEEE falling within the following categories of Annex III shall be:
-	85% for Category 1 (temperature exchange equipment) or Category 4 (large equipment with any external dimension more than 50 cm)
-	80% for Category 2 (e.g., screens and monitors)
-	75% for Category 5 (small equipment with no external dimension more than 50 cm) or 6 (Small IT and telecommunication equipment with no external dimension more than 50 cm).
</t>
  </si>
  <si>
    <t>From 2019, the minimum collection rate to be achieved annually shall be 65 % of the average weight of EEE placed on the market in the three preceding years in the Member State concerned, or alternatively 85 % of WEEE generated on the territory of that Member State.</t>
  </si>
  <si>
    <t>https://ec.europa.eu/eurostat/cache/metadata/en/env_waselee_esms.htm</t>
  </si>
  <si>
    <t>On the reduction of the impact of certain plastic products on the environment</t>
  </si>
  <si>
    <t>Member States shall meet the target of 77% by weight for the separate collection for recycling of waste single-use plastic beverage bottles by 2025 and 90% by 2029</t>
  </si>
  <si>
    <t>Plastic and packaging (PF12)</t>
  </si>
  <si>
    <t>Separate collection for recycling of waste single-use plastic beverage bottles</t>
  </si>
  <si>
    <t>77% by 2025, 90% by 2029</t>
  </si>
  <si>
    <t>All Member States using DRS (deposit refund) systems have already achieved the 2025 targets and three of them have even achieved the 2029 targets. Of the Member States not using DRS, only Belgium has achieved the 2025 target and none of them has achieved the 2029 target.</t>
  </si>
  <si>
    <t>PLASTIC</t>
  </si>
  <si>
    <t>From 2025, beverage bottles listed in Part F of the Annex which are manufactured from polyethylene terephthalate as the major component (‘PET bottles’) contain at least 25 % recycled plastic, calculated as an average for all PET bottles placed on the market on the territory of that Member State</t>
  </si>
  <si>
    <t>Recycled content in PET bottles</t>
  </si>
  <si>
    <t>25% by 2025, 30% by 2030</t>
  </si>
  <si>
    <t>Data provides very little information on current recycled content values in plastic packaging, merely indicating a 11.7% recycled content for PET beverage bottles. The EU is not on track to achieve recycled content targets for plastic packaging.</t>
  </si>
  <si>
    <t>EU policy framework on biobased, biodegradable and compostable plastics</t>
  </si>
  <si>
    <t>On packaging and packaging waste, amending Regulation (EU) 2019/1020 and Directive (EU) 2019/904, and repealing Directive 94/62/EC</t>
  </si>
  <si>
    <t>Recycling of paper and cardboard in packaging: 85%</t>
  </si>
  <si>
    <t>Plastic and packaging (PF12) + Waste Management (PF12)</t>
  </si>
  <si>
    <t>Recycling of paper and cardboard in packaging</t>
  </si>
  <si>
    <t>75% by 2025, 85% by 2030</t>
  </si>
  <si>
    <t>For paper and cardboard, the recycling rate targets are very feasible, or have already been achieved, at least at EU level. The only countries at risk not of missing the 2025 target are: Croatia, Malta, Slovakia and Spain.</t>
  </si>
  <si>
    <t>Recycling of glass in packaging: 75%</t>
  </si>
  <si>
    <t>Recycling of glass in packaging</t>
  </si>
  <si>
    <t>70% by 2025, 75% by 2030</t>
  </si>
  <si>
    <t>For glass packaging, the recycling rate targets are very feasible, or have already been achieved, at least at EU level. The countries at risk not of missing the 2025 target are: Bulgaria, Croatia, Cyprus, Greece, Hungary, Lithuania, Malta, Poland, Portugal and Romania.</t>
  </si>
  <si>
    <t>Recycling of aluminium in packaging: 60%</t>
  </si>
  <si>
    <t>Recycling of aluminium in packaging</t>
  </si>
  <si>
    <t>50% by 2025, 60% by 2030</t>
  </si>
  <si>
    <t>Although no separate Eurostat data are available for aluminium, the overall high recycling rates for metallic packaging seem to suggest that the 2025 and 2030 recycling rate targets for aluminium are achievable. The only countries at risk not of missing the 2025 target are: Croatia, Cyprus, Czechia, Greece, Malta, Portugal, Romania, Slovakia and Spain.</t>
  </si>
  <si>
    <t>Recycling of ferrous metals in packaging: 80%</t>
  </si>
  <si>
    <t>Recycling of ferrous metals in packaging</t>
  </si>
  <si>
    <t>70% by 2025, 80% by 2030</t>
  </si>
  <si>
    <t>Although no separate Eurostat data are available for ferrous metals, the overall high recycling rates for metallic packaging seem to suggest that the 2025 and 2030 recycling rate targets for ferrous metals are achievable. The only countries at risk not of missing the 2025 target are: Croatia, Denmark, Malta, Portugal and Romania.</t>
  </si>
  <si>
    <t>Recycling of wood in packaging: 30%</t>
  </si>
  <si>
    <t>Recycling of wood in packaging</t>
  </si>
  <si>
    <t>For wooden packaging, the recycling rate targets  are very feasible, or have already been achieved, at least at EU level. The only two contries at risk of missing the 2025 target are: Croatia and Malta</t>
  </si>
  <si>
    <t>Recycling of plastic in packaging: 55%</t>
  </si>
  <si>
    <t>Recycling of plastic in packaging</t>
  </si>
  <si>
    <t>50% by 2025, 55% by 2030</t>
  </si>
  <si>
    <t>The most problematic packaging category is plastic for which the targets are clearly above the current levels and which would require a sharp bending of the trend over the 2011-2020 period. Most Member States have been identified as at risk of missing the target by 2025: Austria, Bulgaria, Croatia, Cyprus, Denmark, Finland, France, Greece, Hungary, Ireland, Italy, Latvia, Luxembourg, Malta, Poland, Portugal, Romania, Slovakia and Spain.</t>
  </si>
  <si>
    <t>Recycling or preparing for re-use 65% of all packaging waste by 2025, 70% by 2030</t>
  </si>
  <si>
    <t>Recycling rate for packaging waste - all</t>
  </si>
  <si>
    <t>65% by 2025, 70% by 2030</t>
  </si>
  <si>
    <t>For packaging as an overall category, the recycling rate target is feasible, at least at EU level. 10 Member States have been identified as at risk of missing the target of 65% recycling of packaging waste by 2025: Bulgaria, Croatia, Cyprus, Greece, Hungary, Lithuania, Malta, Poland, Romania, Slovakia.</t>
  </si>
  <si>
    <t>https://ec.europa.eu/eurostat/databrowser/view/TEN00062/default/table?lang=en&amp;category=env.env_was.env_wasst</t>
  </si>
  <si>
    <t>Reduce packaging waste by 5% per Member State per capita compared to 2018 by 2030, 10% by 2035 and 15% by 2040</t>
  </si>
  <si>
    <t>packaging waste generated per capita, % reduction compared to the value in 2018</t>
  </si>
  <si>
    <t>5% by 2030, 10% by 2035 and 15% by 2040</t>
  </si>
  <si>
    <t>None of the Member States are currently on track to reach the 2030, 2035 or 2040 packaging waste generation reduction targets. Most Member States have seen a steady growth in the period 2011-2020</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</si>
  <si>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t>
  </si>
  <si>
    <t>Annual consumption of lightweight plastic carrier bags on MS territory</t>
  </si>
  <si>
    <t>40 lightweight plastic carrier bags per person, or the equivalent target in weight</t>
  </si>
  <si>
    <t>Although data are only available for 18 Member States, 12 Members States have already achieved the 2025 target. The six other Member States that are not meeting yet the target have, nonetheless, indicated a clear drop from 2018 plastic bag consumption values, suggesting that they are on track to reach the 2025 targets.</t>
  </si>
  <si>
    <t>https://ec.europa.eu/eurostat/databrowser/view/ENV_WASPCB/default/table?lang=en&amp;category=env.env_was.env_wasst</t>
  </si>
  <si>
    <t>The plastic part in packaging shall contain the following minimum percentage of recycled content recovered from post-consumer plastic waste, per unit of packaging:
From 1 January 2030
(i) 30% for contact sensitive packaging made from polyethylene terephthalate (PET) as major component;
(ii) 10% for contact sensitive made from plastic materials other than PET, except single use plastic bottles;
(iii) 30% for single use plastic beverage bottles;
(iv) 35% for other plastic packaging
From 1 January 2040
(v) 50% for contact sensitive plastic packaging, except single use plastic beverage bottles;
(vi) 65% for single use plastic beverage bottles;
(vii) 65% for other plastic packaging</t>
  </si>
  <si>
    <t>merged together all the targets related to plastic part in packaging</t>
  </si>
  <si>
    <t>Currently, there are no official statistics on the recycled content in plastic packaging, due to the lack of EU guidelines on calculating and reporting recycled content. As of 2022, there is no recycled content in food-contact (non-PET) plastic packaging, 20% in PET packaging and 14% for other plastic packaging #(JRC,2022) . These recycled content rates are still far away from the 2030 targets of 10%, 30% and 35% for each plastic packaging category, respectively.</t>
  </si>
  <si>
    <t>Making all packaging recyclable (see European Parliament resolution of 10 February 2021 on the New Circular Economy Action Plan, the New Circular Economy Action Plan and art. 5 of this Proposal)</t>
  </si>
  <si>
    <t>To check if quantified</t>
  </si>
  <si>
    <t>Share of packaging recyclable</t>
  </si>
  <si>
    <t>100% by 2030</t>
  </si>
  <si>
    <t>This target is very difficult if not impossible to assess so far. The JRC is currently developing the elements to determine recyclability for packaging. Hence, first the methodology needs to be defined and only then we will be able to calculate the current level of recyclability of packaging.</t>
  </si>
  <si>
    <t>On preventing plastic pellet losses to reduce microplastic pollution</t>
  </si>
  <si>
    <t>Reduce the generation of food waste per capita, jointly in retail and other distribution of food, in restaurants and food services and in households, by 30 % in comparison to the amount generated in 2020</t>
  </si>
  <si>
    <t>Sustainable Food system (PF11) + Waste management (PF12)
target added based on discussion with JRC expert (Valeria De Laurentiis)
CHECK WITH SZVET-very similar to a target in F2F</t>
  </si>
  <si>
    <t>Sustainable Food system (PF11)</t>
  </si>
  <si>
    <t>Food waste and food waste prevention by NACE Rev. 2 activity</t>
  </si>
  <si>
    <t>30% reduction by 2030</t>
  </si>
  <si>
    <t>Data for this indicator is available for 2020 only in Eurostat. However, based on the analysis performed in the impact assessment of the Proposal for a Directive of the European Parliament and of the Council amending Directive 2008/98/EC on waste, it is possible to estimate that the target is feasible, but progress needs to accelerate to reach the target value</t>
  </si>
  <si>
    <t xml:space="preserve">Included in waste generation ("animal and mixed food waste"),  </t>
  </si>
  <si>
    <t>Gap analysis present Data: ENV_WASGEN</t>
  </si>
  <si>
    <t>Waste - Environment and Energy - ESTAT</t>
  </si>
  <si>
    <t>Reduce the generation of food waste in processing and manufacturing by 10% in comparison to the amount generated in 2020</t>
  </si>
  <si>
    <t>Sustainable Food system (PF11) + Waste management (PF12)
target added based on discussion with JRC expert (Valeria De Laurentiis)</t>
  </si>
  <si>
    <t>10% reduction by 2030</t>
  </si>
  <si>
    <t>Legislation on batteries in support of the Strategic Action Plan on Batteries and the circular economy</t>
  </si>
  <si>
    <t>Concerning batteries and waste batteries, amending Directive 2008/98/EC and Regulation (EU) 2019/1020 and repealing Directive 2006/66/EC</t>
  </si>
  <si>
    <t>All recycling shall achieve at least the following targets for recovery of materials: 
No later than 31 December 2027
-50% lithium
No later than 31 December 2031: 
-80% lithium</t>
  </si>
  <si>
    <t>Batteries (PF12)</t>
  </si>
  <si>
    <t>Based on the current draft guidance for the calculation and verification rules, the target for lithium is in principle feasible. Significant investments in lithium recycling systems are required.    </t>
  </si>
  <si>
    <t>BATTERIES</t>
  </si>
  <si>
    <t xml:space="preserve">All recycling shall achieve at least the following targets for recovery of materials: 
No later than 31 December 2027
-90% for cobalt, copper, lead and nickel, 
No later than 31 December 2031: 
-95% for cobalt, copper, lead, and nickel, 
</t>
  </si>
  <si>
    <t>merged together all the targets related to recovery of materials, except for lithium</t>
  </si>
  <si>
    <t xml:space="preserve">Based on the existing draft guidance for the calculation and verification rules for material recovery, the targets for cobalt, copper, lead and nickel are feasible. Even though, the target for lithium is in principle feasible, significant investments in lithium recycling systems are required.   </t>
  </si>
  <si>
    <t>Recycling shall achieve at least the following targets for recycling efficiency:
No later than 31 December 2025
-	65% by average weight of lithium-based batteries;
No later than 31 December 2030
-	70% by average weight of lithium-based batterie</t>
  </si>
  <si>
    <t xml:space="preserve">The 2025 target for lithium-based batteries is in principle feasible, however due to the increasing diversity of lithium-based batteries on the market, it is important to closely monitor the performance towards the target. Furthermore, there are some improvement opportunities when data is available, recycling systems are established and when the target is revised by 2027.  </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</si>
  <si>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t>
  </si>
  <si>
    <t>merged together all the targets related to recycling efficiency (except for lithium)</t>
  </si>
  <si>
    <t xml:space="preserve">Based on the existing draft guidance for calculation and verification rules for recycling efficiency, the targets for lead-acid, nickel-cadmium and other waste batteries are feasible. 
Since, for lead-acid batteries, the battery chemistry and related recycling technologies are fully mature and efficient. For both nickel-cadmium and other waste batteries, it will be important to monitor the performances due to the evolving market for these chemistries.  
The 2025 target for lithium-based batteries is in principle feasible, however due to the increasing diversity of lithium-based batteries on the market, it is important to closely monitor the performance towards the target. 
</t>
  </si>
  <si>
    <t xml:space="preserve">All batteries incorporated in market products shall be readily removable and replaceable by the end-user at any time during the lifetime (except some derogations)
</t>
  </si>
  <si>
    <t xml:space="preserve">Removability and replaceability of portable batteries and LMT batteries </t>
  </si>
  <si>
    <t>All by 2027</t>
  </si>
  <si>
    <t xml:space="preserve">This target is ambitious with a very wide coverage of products, many of which are expected to be re-designed in order to be compliant. However, high uncertainty on distance to target lies with existence of derogations and the challenge to establish them at product-specific level. JRC report for Guidelines offers more clarity, but the Delegated Acts expected to specify derogations are not yet in place. Verification and procedures to accept/reject derogation applications will also need to be defined in the Delegated Acts. </t>
  </si>
  <si>
    <t xml:space="preserve">Recycled content in industrial batteries, electric vehicle batteries, LMT batteries and SLI batteries: Cobalt:  16 % by 2031 (26% by 2036); Lead: 85% (85%); Nickel: 6% (12%); Lithium 6% (15%)
</t>
  </si>
  <si>
    <t>Recycled content in industrial batteries, electric vehicle batteries, LMT batteries and SLI batteries</t>
  </si>
  <si>
    <t>Cobalt:  6 % by 2031 (26% by 2036); Lead: 85% (85%); Nickel: 6% (12%); Lithium 6% (15%)</t>
  </si>
  <si>
    <t xml:space="preserve">The assessment methodology is under development. Therefore, it is not possible to assess whether all producers will be able to reach these targets.  JRC internal calculations show that these targets are in principle feasible, although significant changes in the industrial production systems are needed.  </t>
  </si>
  <si>
    <t>Producers of LMT (Light Means of Transport) batteries or producer responsibility organisations, shall attain, and maintain durably, at least the following collection targets of waste LMT batteries: 51 % by 31 December 2028; 61 % by 31 December 2031.</t>
  </si>
  <si>
    <t>Collection of waste LMT batteries</t>
  </si>
  <si>
    <t>51 % by 2028, 61 % by 2031</t>
  </si>
  <si>
    <t xml:space="preserve">The calculation methodology is under development and these targets will be updated accordingly, whilst maintaining the same level of ambition. Considering that LMT batteries represent a new market and collection systems need to be adapted, currently it is not possible to assess whether these ambitious targets are reachable or not.  </t>
  </si>
  <si>
    <t>Producers of portable batteries or producer responsibility organisations, shall attain, and maintain durably, at least the 
following collection targets for waste portable batteries: 45 % by 31 December 2023; 63 % by 31 December 2027; 73 % by 31 December 2030.</t>
  </si>
  <si>
    <t>Expert judgment</t>
  </si>
  <si>
    <t>Collection of waste portable batteries</t>
  </si>
  <si>
    <t>45 % by 2023, 63 % by 2027, 73 % by 2030</t>
  </si>
  <si>
    <t xml:space="preserve">The calculation method is still under development and the targets will be updated accordingly, still maintaining the same level of ambition.
There is no data for the moment to assess how far we stand from the targets. JRC assumes that these ambitious targets are in principle reachable, although there might have high disparities among member states. 
</t>
  </si>
  <si>
    <t xml:space="preserve">Producers of portable batteries or, where appointed in accordance with Article 57(1), producer responsibility organisations, shall ensure that all waste portable batteries, Light Means of Transport (LMT) and SLI batteries, regardless of their nature, chemical composition, condition, brand or origin, are collected separately in the territory of a Member State where they make these batteries available on the market for the first time.  </t>
  </si>
  <si>
    <t>Currently, there is no official monitoring system in place. However, some available studies #(Mehlhart et al., 2017) have already demonstrated that this “no loss” target is not yet reached and can be technically hard to achieve.</t>
  </si>
  <si>
    <t>Initiatives to stimulate lead markets for climate neutral and circular products in energy intensive industrial sectors</t>
  </si>
  <si>
    <t>EU Industrial strategy</t>
  </si>
  <si>
    <t>A Green Deal Industrial Plan for the Net-Zero Age</t>
  </si>
  <si>
    <t>On establishing a framework of measures for strengthening Europe’s net-zero technology products manufacturing ecosystem (Net Zero Industry Act)</t>
  </si>
  <si>
    <t>by 2030, manufacturing capacity in the Union of the strategic net-zero technologies listed in the Annex approaches or reaches a benchmark of at least 40% of the Union’s annual deployment needs for the corresponding technologies necessary to achieve the Union’s 2030 climate and energy targets</t>
  </si>
  <si>
    <t>Critical Raw Materials (PF12 and 13)</t>
  </si>
  <si>
    <t>Establishing a framework for ensuring a secure and sustainable supply of critical raw materials and amending Regulations (EU) 168/2013, (EU) 2018/858, 2018/1724 and (EU) 2019/1020</t>
  </si>
  <si>
    <t>Diversify the Union's imports of strategic raw materials with a view to ensure that the Union's annual consumption of each strategic raw material at any relevant stage of processing can rely on imports from several third countries, none of which provide more than 65% of the Union's annual consumption</t>
  </si>
  <si>
    <t>Diversification of supply</t>
  </si>
  <si>
    <t xml:space="preserve">8 materials out of 16 have values below the benchmark (cobalt, copper, germanium, manganese, natural graphite, nickel, titanium, tungsten). For this materials, the main supplying countries provide less than 65% of the total annual consumption. </t>
  </si>
  <si>
    <t>Study on the critical raw materials for the EU 2023</t>
  </si>
  <si>
    <t>Union's access to a secure and sustainable supply of critical raw materials by ensuring that the Union's recycling capacity, including for all intermediate recycling steps, is able to produce at least 15% of the Union's annual consumption of strategic raw materials</t>
  </si>
  <si>
    <t>rather than a target, this is a benchmark as AT LEAST 15% of the strategic raw materials consumed in EU should come from recycling</t>
  </si>
  <si>
    <t>End-of-Life Recycling Input Rate (EoL-RIR)</t>
  </si>
  <si>
    <t xml:space="preserve">The historical trends of the recycling capacity for strategic materials can be assessed looking at the evolution of the End-of-Life Recycling Input Rate (EoL-RIR) over time.  
Out of 16 strategic materials:  
-	For 5 material the recycling capacity was above the 25% benchmark in 2022 (copper, tungsten, cobalt, nickel, HREE)
-	 For 6 materials, EoL-RIR has been always 0% or below 5% (bismuth, boron, gallium, germanium,  lithium, natural graphite)
-	For 5 materials EoL-RIR was stably below the benchmark (magnesium, manganese, titanium, LREE) while for PGM it decreased from 35% to 10% in the timeframe 2013-2022. 
</t>
  </si>
  <si>
    <t xml:space="preserve">Circular Economy Indicators - ESTAT </t>
  </si>
  <si>
    <t>https://ec.europa.eu/eurostat/databrowser/view/cei_srm010/default/table?lang=en</t>
  </si>
  <si>
    <t>Union's access to a secure and sustainable supply of critical raw materials by ensuring that the Union's processing capacity, including for all intermediate processing steps, is able to produce at least 40% of the Union's annual consumption of strategic raw materials</t>
  </si>
  <si>
    <t>rather than a target, this is a benchmark as AT LEAST 40% of the strategic raw materials consumed in EU should be preocessed domestically</t>
  </si>
  <si>
    <t>EU self-sufficiency at processing phase</t>
  </si>
  <si>
    <t xml:space="preserve">The historical time trends (2011-2022) for the EU self-sufficiency at processing phase for the 16 strategic materials show that: 
-	Self-sufficiency of 3 materials (copper, cobalt and germanium) was above the benchmark in 2022. While for copper this value was stably above 80% in the period 2011-2022, the trend was fluctuating and more unstable in the case of cobalt and germanium, but increasing in the overall period considered.      
-	Self-sufficiency has always been 0% for 6 materials (lithium, magnesium, natural graphite, titanium, HREE, LREE)
-	Self-sufficiency was below the benchmark in 2022 for 4 materials (bismuth, boron, gallium, PGM), with gallium showing a drastic decrease from 2011 (100%) to 2022 (2%). 
-	3 materials do not have sufficient data (tungsten, nickel, manganese)
</t>
  </si>
  <si>
    <t>https://ec.europa.eu/eurostat/databrowser/product/view/cei_gsr020</t>
  </si>
  <si>
    <t>Study on the critical raw materials for the EU 2023; Study on the EU’s list of critical raw materials (2020)</t>
  </si>
  <si>
    <t>Union's access to a secure and sustainable supply of critical raw materials by ensuring that the Union's extraction capacity is able to extract the ores, minerals or concentrates needed to produce at least 10% of the Union's annual consumption of strategic raw materials, to the extent that the Union’s reserves allow for this</t>
  </si>
  <si>
    <t>rather than a target, this is a benchmark as AT LEAST 10% of the strategic raw materials consumed in EU should be extracted domestically</t>
  </si>
  <si>
    <t>EU self-sufficiency at extraction phase</t>
  </si>
  <si>
    <t xml:space="preserve">The historical time trends (2011-2022) for the EU self-sufficiency at extraction phase for the 16 strategic materials show that: 
-	4 materials have value above the benchmark of 10% (cobalt, copper, lithium, nickel and tungsten) in 2022 and their trends have been stably above the benchmark (copper and nickel) or slightly increasing in the period 2011-2022 (cobalt and lithium, both with 19% self-sufficiency in 2022)      
-	Self-sufficiency at extraction level has always been below 2% in the case of 10 materials (bismuth, boron, gallium, germanium, magnesium, natural graphite,  titanium, platinum group metals, heavy rare earth element (HREE) and Light Rare Earth Elements (LREE))
-	One materials (manganese) is below the benchmark, with values ranging from 4 to 10% in the timeframe 2016-2022. </t>
  </si>
  <si>
    <t>A New Industrial Strategy for Europe</t>
  </si>
  <si>
    <t>Updating the 2020 New Industrial Strategy: Building a stronger Single Market for Europe’s recovery</t>
  </si>
  <si>
    <t>Circular Economy Action Plan, including a sustainable products initiative and particular focus on resource intense sectors such as textiles, construction, electronics and plastics</t>
  </si>
  <si>
    <t>EU Strategy for Sustainable and Circular Textiles</t>
  </si>
  <si>
    <t xml:space="preserve">By 2030 producers will have responsibility for their products along the value chain, including when they become waste. The circular textiles ecosystem is thriving, driven by sufficient capacities for innovative fibre-to-fibre recycling, while the incineration and landfilling of textiles is reduced to the minimum. </t>
  </si>
  <si>
    <t xml:space="preserve">A harmonised and mandatory Extended Producer Responsibility (EPR) scheme for textile waste has been included in the Commission proposal for a revised Waste Framework Directive, as a flagship measure.   </t>
  </si>
  <si>
    <t>By 2030 textile products placed on the EU market are long-lived and recyclable, to a great extent made of recycled fibres, free of hazardous substances and produced in respect of social rights and the environment</t>
  </si>
  <si>
    <t xml:space="preserve">Overall progress is being made towards a more circular textile ecosystem, but the capacity and technical ability for fibre-to-fibre recycling is still insufficient to reach the 2030 goal.  Within the framework of the Ecodesign for Sustainable Product Regulation proposal, the preparatory study on textile products is currently analysing how apparel textiles can meet these objectives. At this stage, It is difficult to estimate the distance to the target. </t>
  </si>
  <si>
    <t>A new Circular Economy Action Plan. For a cleaner and more competitive Europe</t>
  </si>
  <si>
    <t>Double its circular material use rate in the coming decade</t>
  </si>
  <si>
    <t>Circular material use rate</t>
  </si>
  <si>
    <t>With the current pace of improvement, the EU is not on track to achieve its target of doubling the CMUR by 2030. (EEA 2023) https://www.eea.europa.eu/publications/how-far-is-europe-from)</t>
  </si>
  <si>
    <t>Circular material use rate in the EU</t>
  </si>
  <si>
    <t>gap analysis present. Data: CEI_SRM030, env_ac_curm</t>
  </si>
  <si>
    <t>https://ec.europa.eu/eurostat/databrowser/view/CEI_SRM030/default/table?lang=en</t>
  </si>
  <si>
    <t>Reduce landfill to a maximum of 10% of municipal waste</t>
  </si>
  <si>
    <t>average landfilling rate of municipal waste</t>
  </si>
  <si>
    <t>The average landfilling rate of municipal waste in the EU27 was 20% as of 2021, and has been steadily decreasing since 2010 (79%) at an average rate of 2.8% per year over the period</t>
  </si>
  <si>
    <t>Waste generation in Europe</t>
  </si>
  <si>
    <t>no gap analysis. Data: env_wasgen.</t>
  </si>
  <si>
    <t>https://ec.europa.eu/eurostat/databrowser/view/TEN00138/default/table?lang=en&amp;category=env.env_was.env_wasgt</t>
  </si>
  <si>
    <t>Halve the amount of residual (non-recycled) municipal waste</t>
  </si>
  <si>
    <t>Share of residual (non-recycled) municipal waste</t>
  </si>
  <si>
    <t xml:space="preserve">Municipal waste recycling rate in the EU27 (Eurostat) was 49.6% as of 2021, and has been steadily increasing since 2010 (38%) with an average rate of 2.8% per year over the period. </t>
  </si>
  <si>
    <t xml:space="preserve">no gap analysis. Data: env_wasgen.
GDP and main components </t>
  </si>
  <si>
    <t>https://ec.europa.eu/eurostat/databrowser/view/sdg_11_60/default/table?lang=en</t>
  </si>
  <si>
    <t>6. Preserving and protecting biodiversity</t>
  </si>
  <si>
    <t>Zero pollution action plan for water, air and soil</t>
  </si>
  <si>
    <t>EU Soil Strategy for 2030</t>
  </si>
  <si>
    <t xml:space="preserve">Reach no net land take </t>
  </si>
  <si>
    <t>Soil (PF9)</t>
  </si>
  <si>
    <t>Over the 2012-2018 period, the majority (78%) of the net land take happened in commuting zones. The net land take in urban areas during 2012-2018 amounted to 2,696km2, corresponding to 450km2 annually. 1,415km² or 47% of all land take took place in arable lands, impacting food security, carbon sequestration and the maintaining of biodiversity. The second largest land take took place in pastures — a loss of 945km² or 36% of all land take. Pastures are among Europe’s most important biodiversity hotspots and soil carbon sinks.</t>
  </si>
  <si>
    <t>"Drought impact on ecosystems in Europe"</t>
  </si>
  <si>
    <t>15</t>
  </si>
  <si>
    <t>https://www.eea.europa.eu/data-and-maps/indicators/land-take-3/assessment</t>
  </si>
  <si>
    <t>https://ec.europa.eu/eurostat/databrowser/product/page/sdg_15_41</t>
  </si>
  <si>
    <t>Measures to address the main drivers of biodiversity loss</t>
  </si>
  <si>
    <t>On Nature Restoration</t>
  </si>
  <si>
    <t>(forest ecosystems) Member States shall achieve an increasing trend at national level of the common forest bird index, as further set out in Annex VI, measured in the period from the date of entry into force of this Regulation until 31 December 2030, and every six years thereafter, until the satisfactory levels identified in accordance with Article 11(3) are reached</t>
  </si>
  <si>
    <t>Nature restoration (PF10)</t>
  </si>
  <si>
    <t xml:space="preserve">This is being discussed in the trilogues. A clear picture is expected by end 2023. For the time being, the trend is on-going work as planned
</t>
  </si>
  <si>
    <t>on going as planned</t>
  </si>
  <si>
    <t xml:space="preserve">partially covered in "Common bird index in Europe" </t>
  </si>
  <si>
    <t>No gap analysis. Data: Common birds in Europe, population index</t>
  </si>
  <si>
    <t>FOREST</t>
  </si>
  <si>
    <t>NATURE RESTORATION</t>
  </si>
  <si>
    <t>https://foresteurope.org/wp-content/uploads/2016/08/SoEF_2020.pdf</t>
  </si>
  <si>
    <t>(trees) When identifying and implementing the restoration measures to meet the objectives and obligations set out in Articles 4, 6, 7, 8, 9 and 10, Member States shall aim to contribute to the commitment of planting at least three billion additional trees by 2030 at Union level.</t>
  </si>
  <si>
    <t>NEW!</t>
  </si>
  <si>
    <t xml:space="preserve">Nearly 13.000.000 trees have been planted, but this represents only 0.4 % of the desired target. Unless the rate of planting trees is massively increased, the target will not be reached by 2030. </t>
  </si>
  <si>
    <t xml:space="preserve">(agricultural ecosystems) Member States shall put in place restoration measures which shall aim to ensure that the common farmland bird index at national level based on the species specified in Annex V reaches the following levels: (a) 110 by 2030, 120 by 2040 and 130 by 2050, for Member States listed in Annex V with historically more depleted populations of farmland birds; (b) 105 by 2030, 110 by 2040 and 115 by 2050, for Member States listed in Annex V with historically less depleted populations of farmland birds. </t>
  </si>
  <si>
    <t>Linked to target 4 of the BDS</t>
  </si>
  <si>
    <t xml:space="preserve">(a) 110 by 2030; 120 by 2040; 130 by 2050 for Member States listed in Annex V; (b) 105 by 2030; 110 by 2040; 115 by 2050 for Member States listed in Annex IV </t>
  </si>
  <si>
    <t>EEA showed that the farmland birds are steadily decreasing</t>
  </si>
  <si>
    <t>AGRICULTURAL LAND</t>
  </si>
  <si>
    <t>EUROSTAT</t>
  </si>
  <si>
    <t>https://ec.europa.eu/eurostat/databrowser/view/ENV_BIO2$DEFAULTVIEW/default/table?lang=en</t>
  </si>
  <si>
    <t>(marine ecosystem) Member States shall ensure, by 2030 at the latest, that the condition is known for at least 50% of the area distributed over all habitat types listed in groups 1–6 of Annex II. The condition of all areas of groups 1–6 of habitat types listed in Annex II shall be known by 2040. Member States shall also ensure, by 2040 at the latest, that the condition is known for at least 50% of the area distributed over all habitat types listed in group 7 of Annex II. The condition of all areas of group 7 of habitat types listed in Annex II shall be known by 2050.</t>
  </si>
  <si>
    <t xml:space="preserve">Considering the last report on the conservation status and trend in conservation status of marina habitats,  there is still a quite important percentage of UNKNOWN status (either XX or U1/U2) #( https://www.eea.europa.eu/themes/biodiversity/state-of-nature-in-the-eu/article-17-national-summary-dashboards-archived/conservation-status-and-trends). MS should implement more effective monitoring program to assess the status of marine habitats in order to achieve the EGD target </t>
  </si>
  <si>
    <t>14.a</t>
  </si>
  <si>
    <t>14</t>
  </si>
  <si>
    <t>(marine ecosystem) Member States shall put in place the restoration measures that are necessary to re-establish the habitat types of groups 1-6 listed in Annex II in areas not covered by those habitat types with the aim to reach their favourable reference area. Such measures shall be in place on areas representing at least 30 % of the additional overall surface needed to reach the total favourable reference area of each group of habitat types, as quantified in the national restoration plan referred to in Article 12, by 2030, at least 60 % of that surface by 2040, and 100 % of that surface by 2050</t>
  </si>
  <si>
    <t xml:space="preserve"> Only accessible with passive restoration methods (i.e. as no take marine protected area) we have reached only 12% of MPA and &lt;1% are strictly protected</t>
  </si>
  <si>
    <t>(marine ecosystems) Member States shall put in place the restoration measures that are necessary to improve to good condition areas of habitat types listed in Annex II which are not in good condition. Such measures shall be in place: (a) on at least 30% by 2030 of the total area of groups 1–6 of habitat types listed in Annex II that is not in good condition, as quantified in the national restoration plan referred to in Article 12; (b) on at least 60 % by 2040 and on at least 90 % by 2050 of the area of each of the groups 1–6 of habitat types listed in Annex II that is not in good condition, as quantified in the national restoration plan referred to in Article 12; (c) on at least two thirds of the percentage, referred to in point (d), by 2040 of the area of group 7 of habitat types listed in Annex II that is not in good condition, as quantified in the national restoration plan referred to in Article 12 [...]</t>
  </si>
  <si>
    <t xml:space="preserve"> Only accessible through the passive restoration methods (i.e. as no take marine protected area) we have reached only 12% of MPA and &lt;1% are strictly protected. It could be partially achieved if the NRL will immediately implemented (including a clear financial system), as well as other BDS targets (as 30% and 10% of MPA) and MS react in time. 
The complete achievement of the target is strictly dependent on the restoration methods and selected marine ecosystems to be restored. The timescale of the recovery period varies as diverse are the marine habitats to restored. Beyond this there are other challenges that MS has to face (e.g. https://doi.org/10.3389/fmars.2020.544105) 
Finally, the actual implementation of BDS target on EFFECTIVE marine protected areas (30% and 10% strictly protected by 2030), i.e. as passive restoration method, as well as the other directives (e.g. WFD, MSFD),  would contribute in achieving the EDG target 
Regarding the condition and restoration, there are only two ways to judge this: (a) comparison to old large fully protected MPA, and (b) use indicators that in some case need to be developed (FYI potential ongoing discussion). To our knowledge, there is no data on how impacted most areas are but maybe indicators such as e.g. present fishing of any kind will alter food webs, or bottom trawling and dredging destroys benthic habitats, etc) would contribute in the final assessment. However, we should use the precautionary principle, assuming everywhere marine ecosystem is impacted unless there is evidence to the contrary. </t>
  </si>
  <si>
    <t xml:space="preserve">(Restoration of the natural connectivity of rivers and natural functions of the related floodplains) Member States shall make an inventory of artificial barriers to connectivity of surface waters and remove them, taking into account their socio-economic functions, to contribute to the achievement of the restoration targets set out in Article 4 of this Regulation and of the objective of restoring at least 25.000 km of rivers into free-flowing rivers in the Union. </t>
  </si>
  <si>
    <t xml:space="preserve">The JRC and EEA are developing an indicator to characterise the number of free-flowing rivers, no data is available yet.   </t>
  </si>
  <si>
    <t>6</t>
  </si>
  <si>
    <t>(terrestrial, coastal and freshwater ecosystems) Member States shall ensure that there is: (a) an increase of habitat area in good condition for habitat types listed in Annex I until at least 90 % is in good condition and until the favourable reference area for each habitat type in each biogeographic region of the Member State concerned is reached; (b) an increasing trend towards the sufficient quality and quantity of the terrestrial, coastal and freshwater habitats of the species referred to in Annexes II, IV and V to Directive 92/43/EEC and of the species covered by Directive 2009/147/EC</t>
  </si>
  <si>
    <t xml:space="preserve">Only passive restoration methods are available to access this target </t>
  </si>
  <si>
    <t xml:space="preserve">(terrestrial, coastal and freshwater ecosystems) Member States shall ensure that the condition is known for at least 90% of area distributed overall habitat types listed in Annex I by 2030 and 100% by 2040. </t>
  </si>
  <si>
    <t>considering the last report on the conservation status and trend in conservation status of marina habitats, there is still a quite important percentage of UNKNOWN status (either XX or U1/U2) #(https://www.eea.europa.eu/themes/biodiversity/state-of-nature-in-the-eu/article-17-national-summary-dashboards-archived/conservation-status-and-trends). MS should implement more effective monitoring program to assess the status of marine habitats in order to achieve the EGD target</t>
  </si>
  <si>
    <t>(terrestrial, coastal and freshwater ecosystems) Member States shall put in place the restoration measures for the terrestrial, coastal and freshwater habitats of the species listed in Annexes II, IV and V to Directive 92/43/EEC and of the terrestrial, coastal and freshwater habitats of wild birds covered by Directive 2009/147/EC that are, in addition to the restoration measures in accordance with paragraphs 1 and 2 of this Article, necessary to improve the quality and quantity of those habitats, including by re-establishing them, and to enhance connectivity, until sufficient quality and quantity of those habitats is achieved</t>
  </si>
  <si>
    <t xml:space="preserve">Only passive restoration methods area available (i.e. as no take marine protected area), we have reached only 12% of MPA and &lt;1% are strictly protected. In addition: 
    for sea bird species connectivity, it is important to align the BDS and REPowerEU targets 
    for habitat connectivity, it is important to develop a useful indicator in time for MS reporting. (FYI, this is in progress) </t>
  </si>
  <si>
    <t>Forest connectivity</t>
  </si>
  <si>
    <t>No gap analysis. Data: Small Woody Features and Forest type 2018</t>
  </si>
  <si>
    <t>(terrestrial, coastal and freshwater ecosystems) Member States shall put in place the restoration measures that are necessary to improve to good condition areas of habitat types listed in Annex I which are not in good condition. Such measures shall be in place: (a) on at least 30 % by 2030 of the total area of all habitat types listed in Annex I that is not in good condition, as quantified in the national restoration plan referred to in Article 12; (b) on at least 60 % by 2040 and on at least 90 % by 2050 of the area of each group of habitat types listed in Annex I that is not in good condition, as quantified in the national restoration plan referred to in Article 12.</t>
  </si>
  <si>
    <t xml:space="preserve">Considering the last report on the conservation status and trend in conservation status of marine habitats, most of the marine areas are between categories UNFAVOURABLE (U1/U2) and UNKNOWN (XX) status 
#https://www.eea.europa.eu/themes/biodiversity/state-of-nature-in-the-eu/article-17-national-summary-dashboards-archived/conservation-status-and-trends) 
FF: There are some examples of restoration measures already put in place across European Sea, but without an immediate implementation of NRL, as well as other directives (e.g. BBS, WFD, MSFD), the EGD target would not be achieved </t>
  </si>
  <si>
    <t xml:space="preserve">(chapter I - art. 2: subject matter) Member States shall put in place effective and area-based restoration measures with the aim to jointly cover, as a Union target, throughout the areas and ecosystems within the scope as defined in Article 2, by 2030, at least 20 % of sea areas in need of restoration and, by 2050, all ecosystems in need of restoration </t>
  </si>
  <si>
    <t xml:space="preserve">Only passive restoration methods are available for the assessment (i.e. as no take marine protected area), we have reached 12% of MPA and &lt;1% are strictly protected. Could be partially achieved if the NRL will immediately implemented (including a clear financial system), as well as other BDS targets (i.e. 30% and 10% of MPA), and MS react in time.The complete achievement of the target also is also dependenst on the restoration methods and selected the marine ecosystems to be restored. The timescale of thelenght of the recovery period varies as diverse arewith the marine habitats to restore. In addition, there are other challenges that MS has to face #(https://doi.org/10.3389/fmars.2020.544105) Finally, the actual implementation of BDS target on EFFECTIVE marine protected areas (30% and 10% strictly protected by 2030), i.e. as passive restoration method, as well as the other directives (e.g. WFD, MSFD),  would contribute in achieving the EDG target </t>
  </si>
  <si>
    <t>The common fisheries policy today and tomorrow: a Fisheries and Oceans Pact towards sustainable, science-based, innovative and inclusive fisheries management</t>
  </si>
  <si>
    <t>In accordance with the CFP, all harvested stocks should be fished at maximum sustainable yield (MSY)</t>
  </si>
  <si>
    <t xml:space="preserve">in the North East Atlantic (both EU and non-EU waters), stock status has significantly improved from 2003 to 2021, but still an important share of stocks are overexploited. </t>
  </si>
  <si>
    <t>Positive, but not clear</t>
  </si>
  <si>
    <t>MARINE ECOSYSTEMS</t>
  </si>
  <si>
    <t>https://ec.europa.eu/eurostat/cache/metadata/en/sdg_14_30_esmsip2.htm</t>
  </si>
  <si>
    <t>On the conservation of fisheries resources and the protection of marine ecosystems through technical measures</t>
  </si>
  <si>
    <t>Ensure that incidental catches of sensitive marine species, including those listed under Directives 92/43/EEC and 2009/147/EC, that are a result of fishing, are minimised and where possible eliminated so that they do not represent a threat to the conservation status of these species (target in common with biodiversity strategy)</t>
  </si>
  <si>
    <t>similar to indicator 16 of the Biodiversity strategy (209) but here the focus is on marine species</t>
  </si>
  <si>
    <t>Fisheries and aquaculture (PF10) + Biodiversity (PF10)</t>
  </si>
  <si>
    <t>As for the indicator 16 of the Biodiversity Strategy, thereare no data yet to measure it</t>
  </si>
  <si>
    <t>EU Biodiversity Strategy for 2030</t>
  </si>
  <si>
    <t>14. Cities with at least 20.000 inhabitants have an ambitious Urban Greening Plan</t>
  </si>
  <si>
    <t>Biodiversity (PF10)</t>
  </si>
  <si>
    <t>No data and no plan to get them yet</t>
  </si>
  <si>
    <t>no data</t>
  </si>
  <si>
    <t>BIODIVERSITY</t>
  </si>
  <si>
    <t>11.b</t>
  </si>
  <si>
    <t>13. The losses of nutrients from fertilisers are reduced by 50%, resulting in the reduction of the use of fertilisers by at least 20%</t>
  </si>
  <si>
    <t>similar target repeated (187-282). Check with Sust Food System and Zephir</t>
  </si>
  <si>
    <t>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may call for further measures to be taken.</t>
  </si>
  <si>
    <t>Nutrients in freshwater in Europe</t>
  </si>
  <si>
    <t>no gap analysis. Data: EA</t>
  </si>
  <si>
    <t>12. There is a 50% reduction in the number of Red List species threatened by invasive alien species</t>
  </si>
  <si>
    <t>asked to Ana Cristina Cardoso and Eugenio Gervasini (JRC.D2) for confirmation if red or yellow. they decided for grey</t>
  </si>
  <si>
    <t>The expected increase in alien species introductions and establishment of IAS due to global trade (including web trade), travel, and climate change, will possibly lead to increased adverse impacts on biodiversity and ecosystems, human health and the economy. However, there are also actions to mitigate the effects of IAS which should (partly) counterbalance the expected increase in impact, but actually there are not indicators to measure this. The assessment by the ERL Pulse project is due in 2024.</t>
  </si>
  <si>
    <t>to check: red or yellow?</t>
  </si>
  <si>
    <t xml:space="preserve">8 At least 25% of agricultural land is under organic farming management, and the uptake of agro-ecological practise is significantly increased </t>
  </si>
  <si>
    <t>Current trends in the share of area under organic farming signal that further efforts are required to achieve this target by 2030. Currently, there is 9 % of agricultural land under organic farming. If the trend continues as over the past decade (from 3% in 2000 to 9% in 2020), the target will not be met by 2030.</t>
  </si>
  <si>
    <t>Agricultural area under organic farming in Europe</t>
  </si>
  <si>
    <t>agreement - not on track. Gap analysis present. Data: member states</t>
  </si>
  <si>
    <t>2</t>
  </si>
  <si>
    <t>7. At least 10% of agricultural area is under high-diversity landscape features</t>
  </si>
  <si>
    <t xml:space="preserve">The JRC is currently developing an indicator to monitor progress towards this target but it is not ready yet, so it is too early to draw any conclusion </t>
  </si>
  <si>
    <t>6. The risk and use of chemical pesticides is reduced by 50%, and the use of more hazardous pesticides is reduced by 50% (target partially in common with the Farm to Fork Strategy)</t>
  </si>
  <si>
    <t xml:space="preserve">same targets repeated above (SFS fiche). The conclusion is the same (checked with the Sust Food Syst). 
Stephanie Bopp: Agree, what I used is based on data up to 2021. This is my source: https://food.ec.europa.eu/plants/pesticides/sustainable-use-pesticides/farm-fork-targets-progress/eu-trends_en </t>
  </si>
  <si>
    <t>The use and risk of chemical pesticides shows a decrease of 6% from 2020. And an overall decrease - in the first four years - of 33% from the baseline period of 2015-2017. The use of more hazardous pesticides shows an increase of 5% from 2020. And an overall decrease - in the first 4 years - of 21% from the baseline period of 2015-2017. The overall downward trends, in the first 4 years, shows that both targets can be achieved by 2030.</t>
  </si>
  <si>
    <t>2b. Strictly protect all remaining EU primary and old-growth forests (target partially in common with the Forest Strategy)</t>
  </si>
  <si>
    <t>all by 2030</t>
  </si>
  <si>
    <t xml:space="preserve">The strict protection of primary and old-growth forests is planned to occur in 2029. The COMM and MS are working in close cooperation for achieving this target. </t>
  </si>
  <si>
    <t>ongoing as planned</t>
  </si>
  <si>
    <t>2.a Strictly protect at least a third of the EU'S protected areas</t>
  </si>
  <si>
    <t>at least one third by 2030</t>
  </si>
  <si>
    <t xml:space="preserve">We lack indicators to check whether we are on track or not. Seven out of the nine actions set in the EU BDS to foster biodiversity protection in the EU still need to be implemented by 2030, but they all appear on track so far. We have no official information reported to EEA by MS. However, there is an independant scientific assessment (https://link.springer.com/article/10.1007/s10531-023-02644-5) showing that currently only 3.5 % of protected areas are strictly protected. </t>
  </si>
  <si>
    <t>Restore degraded land and soil, including land affected by desertification, drought and floods</t>
  </si>
  <si>
    <t>On the production and marketing of forest reproductive material, amending Regulations (EU) 2016/2031 and 2017/625 of the European Parliament and of the Council and repealing Council Directive 1999/105/EC (Regulation on forest reproductive material)</t>
  </si>
  <si>
    <t>Ensuring resilient and sustainable use of EU's natural resources</t>
  </si>
  <si>
    <t>(Specific targets are included in the proposals under this communication)</t>
  </si>
  <si>
    <t>Giving the time issue for restoration and limitations of soft law for SFM, it is questionable of this target can be achieved in a meaningful way.</t>
  </si>
  <si>
    <t>New EU Forest Strategy for 2030</t>
  </si>
  <si>
    <t>Providing financial incentives for forest owners and managers for improving the quantity and quality of EU forests</t>
  </si>
  <si>
    <t>asked COLDITZ Rene (D1)</t>
  </si>
  <si>
    <t xml:space="preserve">Forests </t>
  </si>
  <si>
    <t>The Sustainable Carbon Cycles Communication and the legal proposal for a carbon removal certification framework lay the foundation for financial incentives for forest owners and managers. Also soft law has been adopted, such as guidelines for public and private Payment schemes for Ecosystem services (SWD(2023) 285 final). As the target does not say how much money should be leveraged, this target will likely be achieved, but it remains open whether the financial incentives will be sufficient to raise the quality and quantity of EU forests at the level that is needed.</t>
  </si>
  <si>
    <t>Ensuring forest restoration and reinforced sustainable forest management for climate adaptation and forest resilience</t>
  </si>
  <si>
    <t>With the NRL politically agreed, there is a binding legal basis for reaching restoration targets in the EU. Assuming no major obstacles in definitive political adoption, it will be mid 2024 until the law is in force, hence there is not much time. 
On the reinforced SFM, guidelines have been adopted this year (SWD(2023) 284 final, SWD(2023)61). These non-legally binding documents and in particular the Closer-to-Nature Forest Management guidelines were heavily discussed. There are very ample definition and documents are rather unspecific, certainly no limiting or labelling a management as non SFM for specific regions.</t>
  </si>
  <si>
    <t>Protecting EU’s last remaining primary and old-growth forests</t>
  </si>
  <si>
    <t xml:space="preserve">The target has been welcomed and endorsed by Council, which is key for this target. This year COM issued guidelines (SWD(2023)62). However, the targets still lacks a common non-ambiguous definition of what is primary and old growth forest. Therefore it is likely that the target will be achieved but it is unclear whether all forest will be protected that should fall under protection. </t>
  </si>
  <si>
    <t>Developing skills and empowering people for sustainable forest-based bioeconomy</t>
  </si>
  <si>
    <t xml:space="preserve">very general, too keep or not? (asked Sara + Andrea)
Sara Mub: These ambitions are “to promote”, “to ensure”, “to develop” and they are not targets per se. In any case, in order to assess progress, there would need to be dedicated indictors. </t>
  </si>
  <si>
    <t>Bioeconomy</t>
  </si>
  <si>
    <t>4</t>
  </si>
  <si>
    <t>Measures to support deforestation-free value chains</t>
  </si>
  <si>
    <t>Promoting non-wood forest-based bioeconomy, including ecotourism</t>
  </si>
  <si>
    <t>Ensuring sustainable use of wood-based resources for bioenergy</t>
  </si>
  <si>
    <t>Promoting the sustainable forest bioeconomy for long-lived wood products</t>
  </si>
  <si>
    <t>On the making available on the Union market and the export from the Union of certain commodities and products associated with deforestation and forest degradation and repealing Regulation (EU) No 995/2010</t>
  </si>
  <si>
    <t>Relevant commodities and relevant products shall not be placed or made available on the market or exported, unless all the following conditions are fulfilled: (a) they are deforestation-free; (b) they have been produced in accordance with the relevant legislation of the country of production; and (c) they are covered by a due diligence statement.</t>
  </si>
  <si>
    <t>Updated on 06.11.2023, asked to Elena
not quantified, deleted</t>
  </si>
  <si>
    <t>Proposal on ecosystem accounts</t>
  </si>
  <si>
    <t>https://ecosystem-accounts.jrc.ec.europa.eu/</t>
  </si>
  <si>
    <t>The supply and use tables shall be reported for provisioning services in the following physical units: (a) Crop provision, defined as the ecosystem contribution to plant growth as approximated by the amount of harvested crops for different uses. This includes food and fibre production, fodder and energy, and grazed biomass. (b) Pollination, defined as the ecosystem contribution by wild pollinators to the production of the crops above. The contributions shall be reported in tonnes of pollinator-dependent crops that can be attributed to wild pollinators, by type of crop for the main types of pollinator-dependent crops comprising fruit trees, berries, tomatoes, oilseeds and ‘other’. (c) Wood provision, defined as the ecosystem contribution to the growth of trees and other woody biomass, shall be reported as net increment in over-bark, in thousand m3.</t>
  </si>
  <si>
    <t>Member States should compile Ecosystem Services Accounts as Supply and Use tables. Ecosystem services can be (i) provisioning, (ii) regulating and maintenance, (iii) cultural. The supply table shall record the supply of ecosystem services from ecosystems to society. The use table shall record the use of ecosystem services by the type of use.</t>
  </si>
  <si>
    <t xml:space="preserve">Member States should compile Condition Accounts. Ecosystem condition is the quality of an ecosystem measured in terms of its abiotic, biotic and landscape characteristics, by ecosystem types. Ecosystem condition accounts record ecosystem characteristics for the reporting period as follows: (a) Settlements and other artificial areas: –green areas in cities and adjacent towns and suburbs in % of total area, calculated for the entire area of the cities and adjacent towns and suburbs, including all ecosystem types in that area; –concentration of particulate matter, with a diameter up to 2.5 μm in cities in μg/m3. as a national average. (b) Cropland: –soil organic carbon stock in topsoilin tonne/ha, as a national average. (c) Grassland: –soil organic carbon stock in topsoil in tonne/ha, as a national average. (d) Cropland and grassland together: –common farmland bird index as a national aggregate index. (e) Forest and woodland: –dead wood in m3/ha, as a national average; –tree cover density in %, as a national average. (f) Coastal beaches, dunes and wetlands: –the share of artificial impervious area cover, present in coastal area that includes ecosystem type coastal beaches, dunes and wetlands in % as a national average. </t>
  </si>
  <si>
    <t xml:space="preserve">Common bird index in Europe </t>
  </si>
  <si>
    <t>(forest ecosystems) Member States shall achieve an increasing trend at national level of at least six out of seven of the following indicators in forest ecosystems, as further set out in Annex VI, chosen on the basis of their ability to demonstrate the enhancement of biodiversity of forest ecosystems within the Member State concerned. The trend shall be measured in the period from the date of entry into force of this Regulation until 31 December 2030, and every six years thereafter, until the satisfactory levels identified in accordance with Article 11(3) are reached: (a) standing deadwood (b) lying deadwood (c) share of forests with uneven-aged structure; (d) forest connectivity; (e) stock of organic carbon; (f) share of forests dominated by native tree species; (g) tree species diversity</t>
  </si>
  <si>
    <t>(agricultural ecosystems) Member States shall put in place measures which shall aim to restore organic soils in agricultural use constituting drained peatlands. Those measures shall be in place on at least: (a) 30 % of such areas by 2030, of which at least a quarter shall be rewetted; (b) 40 % of such areas by 2040, of which at least a third shall be rewetted; (c) 50 % of such areas by 2050, of which at least a third shall be rewetted.</t>
  </si>
  <si>
    <t>SOIL</t>
  </si>
  <si>
    <t>(agricultural ecosystems) Member States shall put in place measures which shall aim to achieve an increasing trend at national level of at least two out of the three following indicators in agricultural ecosystems, as further specified in Annex IV, measured in the period from the date of entry into force of this Regulation until 31 December 2030, and every six years thereafter, until the satisfactory levels, identified in accordance with Article 11(3), are reached: (a) grassland butterfly index; (b) stock of organic carbon in cropland mineral soils; (c) share of agricultural land with high-diversity landscape features.</t>
  </si>
  <si>
    <t xml:space="preserve">Paracchini: the Article with the agricultural targets was not approved by the Parliament at the vote in July but may nevertheless be part of  trilogue negotiations. So at this stage we do not know if there will be any target at all, and which (and if it remains unchanged compared to what initially proposed). </t>
  </si>
  <si>
    <t>We do not know in this moment if this target will be reintroduced through the trilogues</t>
  </si>
  <si>
    <t>(agricultural ecosystems) (taken by original Proposal, chapter II, art. 9, par. 1) Member States shall put in place the restoration measures necessary to enhance biodiversity in agricultural ecosystems, in addition to the areas that are subject to restoration measures under Article 4(1), (2) and (3).</t>
  </si>
  <si>
    <t>(marine ecosystem) Member States shall also ensure, by 2040 at the latest, that the condition is known for at least 50% of the area distributed over all habitat types listed in group 7 of Annex II and 100% by 2050</t>
  </si>
  <si>
    <t>(marine ecosystem) Member States shall put in place the restoration measures for the marine habitats of species listed in Annex III and in Annexes II, IV and V to Directive 92/43/EEC and for the marine habitats of wild birds covered under Directive 2009/147/EC, that are, in addition to the restoration measures put in place in accordance with paragraphs 1 and 2 of this Article, necessary in order to improve the quality and quantity of those habitats, including by reestablishing them, and to enhance connectivity, until sufficient quality and quantity of those habitats is achieved.</t>
  </si>
  <si>
    <t>(pollinator) Member States shall, by putting in place appropriate and effective measures, improve pollinator diversity and reverse the decline of pollinator populations at the latest by 2030 and achieve thereafter an increasing trend of pollinator populations, following the entry into force of the Regulation and measured every six years after 2030, until satisfactory levels are achieved, as set out in accordance with Article 11(3).</t>
  </si>
  <si>
    <t>(urban ecosystems) Member States shall achieve, in each urban ecosystem area, determined in accordance with Article 11(2b), an increasing trend of urban tree canopy cover, measured every six years after 31 December 2030, until the satisfactory level identified in accordance with Article 11(3) is reached.</t>
  </si>
  <si>
    <t>slighltly different. asked to  MENGOLINI Anna (JRC-PETTEN) and KOUKOUFIKIS Giorgos from PF20 C7</t>
  </si>
  <si>
    <t>(urban ecosystems) Member States shall achieve thereafter an increasing trend in the total national area of urban green space, including through integration of urban green space into buildings and infrastructure, in urban ecosystem areas, determined in accordance with Article 11(2b), measured every six years after 31 December 2030, until a satisfactory level identified in accordance with Article 11(3) is reached</t>
  </si>
  <si>
    <t>(urban ecosystems) Member States shall ensure that there is no net loss in the total national area of urban green
space, and of urban tree canopy cover in urban ecosystem areas. Member States may exclude from that total national area the urban ecosystem areas in which the share of urban green space in the urban centres and urban clusters exceeds 45 % and the share of urban tree canopy cover therein exceeds 10 %</t>
  </si>
  <si>
    <t>(terrestrial, coastal and freshwater ecosystems) Member States shall ensure that there is: an increasing trend towards the sufficient quality and quantity of the terrestrial, coastal and freshwater habitats of the species referred to in Annexes II, IV and V to Directive 92/43/EEC and of the species covered by Directive 2009/147/EC</t>
  </si>
  <si>
    <t>(terrestrial, coastal and freshwater ecosystems) (from the original Proposal, chapter II, art. 4, par. 7) Member States shall ensure that areas where the habitat types listed in Annex I occur do not deteriorate</t>
  </si>
  <si>
    <t>(terrestrial, coastal and freshwater ecosystems) Member States shall put in place the restoration measures that are necessary to re-establish the habitat types listed in Annex I in areas not covered by those habitat types with the aim to reach their favourable reference area. Such measures shall be in place on areas representing at least 30 % of the additional overall surface needed to reach the total favourable reference area of each group of habitat types listed in Annex I, as quantified in the national restoration plan referred to in Article 12, by 2030, at least 60 % of that surface by 2040, and 100 % of that surface by 2050</t>
  </si>
  <si>
    <t>not assessed yet</t>
  </si>
  <si>
    <t>(chapter I - art. 2: subject matter) Member States shall put in place effective and area-based restoration measures with the aim to jointly cover, as a Union target, throughout the areas and ecosystems within the scope as defined in Article 2, by 2050 all ecosystems in need of restoration</t>
  </si>
  <si>
    <t>merged with the previous two</t>
  </si>
  <si>
    <t xml:space="preserve">(chapter I - art. 2: subject matter) Member States shall put in place effective and area-based restoration measures with the aim to jointly cover, as a Union target, throughout the areas and ecosystems within the scope as defined in Article 2, by 2030, at least 20 % of land areas in need of restoration and, by 2050, all ecosystems in need of restoration </t>
  </si>
  <si>
    <t>Unclear if MS will react on time</t>
  </si>
  <si>
    <t xml:space="preserve">On the production and marketing of plant reproductive material in the Union, amending Regulations (EU) 2016/2031, 2017/625 and 2018/848 of the European Parliament and of the Council, and repealing Council Directives 66/401/EEC, 66/402/EEC, 68/193/EEC, 2002/53/EC, 2002/54/EC, 2002/55/EC, 2002/56/EC, 2002/57/EC, 2008/72/EC and 2008/90/EC (Regulation on plant reproductive material)
</t>
  </si>
  <si>
    <t>Optimise exploitation patterns to provide protection for juveniles and spawning aggregations of marine biological resources</t>
  </si>
  <si>
    <t>EU Action Plan: Protecting and restoring marine ecosystems for sustainable and resilient fisheries</t>
  </si>
  <si>
    <t>Revision of the EU Pollinators Initiative. A new deal for pollinators</t>
  </si>
  <si>
    <t>The target "Improving pollinator conservation and tackling the causes of their decline" was removed, because similar to another target in biodiv strategy.</t>
  </si>
  <si>
    <t xml:space="preserve">Combat desertification, restore degraded land and soil, including land affected by desertification, drought and floods, and strive to achieve a land degradation-neutral world (SDG 15.3) </t>
  </si>
  <si>
    <t xml:space="preserve">Currently, there is no coherent EU methodology to identify areas affected by desertification nor action to combat and restore affected lands. In addition, the incidences of both droughts and floods have increased during the past decade. </t>
  </si>
  <si>
    <t>https://wad.jrc.ec.europa.eu/</t>
  </si>
  <si>
    <t>On Soil Monitoring and Resilience (Soil Monitoring Law)</t>
  </si>
  <si>
    <t xml:space="preserve">no specific targets, that are not already in other docs </t>
  </si>
  <si>
    <t xml:space="preserve">16. The by-catch of species is eliminated or reduced to a level that allows species recovery and conservation </t>
  </si>
  <si>
    <t>ask Elisa Alonso Aller (JRC.D2) for more information</t>
  </si>
  <si>
    <t>no</t>
  </si>
  <si>
    <t>no data (we do not have indicator yet as threshold levels for by-catch have not been defined yet)</t>
  </si>
  <si>
    <t>15. The negative impacts on sensitive species and habitats, including on the seabed through fishing and extraction activities, are substantially reduced to achieve good environmental status</t>
  </si>
  <si>
    <t>we will use an extended version of SDG 14_30</t>
  </si>
  <si>
    <t>The proportion of fish stocks sustainably exploited has increased from 29.32 % in 2009 to 44.93 % in 2019, so an increase of 1.6% per year. If the trend continues, around 60% of fish stocks will be sustainably exploited by 2030.</t>
  </si>
  <si>
    <t>11. At least 25.000 km of free-flowing rivers are restored</t>
  </si>
  <si>
    <t>THIS SHOULD BE MATCHED WITH THE CORRESPONDANCE IN THE NRL, KEEPING THE ASSESSMENT BUT POINTING IT OUT AS BINDING</t>
  </si>
  <si>
    <t xml:space="preserve">The JRC and EEA are currently developing an indicator to characterise the amount of free-flowing rivers, but no data is available yet, so no conclusion can be drawn.  </t>
  </si>
  <si>
    <t>10. Significant progress in the remediation of contaminated soil sites</t>
  </si>
  <si>
    <t>Currently, with existing national implementation structures and funding, countries’ progress in detecting, investigating and remediating contaminated sites varies considerably, from 20 sites/year to 3,000 sites/year. The total numbers of sites under remediation in 2006, 2011 and 2016 were 6,269, 12,073 and 10,539, respectively. In order to remediate all expected contaminated sites, it would take between 10 years (based on the average current remediation rate of 614 sites/year per country) and 47 years (based on a median remediation rate per country of 129 sites/year).</t>
  </si>
  <si>
    <t>9. Three billion trees are planted in the EU, in full respect of ecological principles</t>
  </si>
  <si>
    <t>Currently, nearly 13.000.000 trees have been planted, but this represents only 0.4 % of the desired target. So unless trees are massively planted, the target will not be reached by 2030.</t>
  </si>
  <si>
    <t>5. The decline of pollinators is reversed (the target is in common with "A New Deal for Pollinators")</t>
  </si>
  <si>
    <t>Based on trends in the grassland butterfly index, pollinators are still declining. Another indicator that would include more pollinators is under development to better characterise the decline of pollinators.</t>
  </si>
  <si>
    <t>negative</t>
  </si>
  <si>
    <t xml:space="preserve">4. By 2030, significant areas of degraded and carbon-rich ecosystems are restored. Habitats and species show no deterioration in conservation trends and status; and at least 30% reach favourable conservation status or at least show a positive trend. </t>
  </si>
  <si>
    <t>The Nature Restoration Law, recently approved, aims to set legally-binding targets at EU level. The monitoring of the trends will be performed by the EEA, which will draw up regular technical reports on progress towards the targets</t>
  </si>
  <si>
    <t>3. Effectively manage all protected areas, defining clear conservation objectives and measures, and monitoring them appropriately</t>
  </si>
  <si>
    <t>We lack indicators to characterise effective management of EU protected areas, but EEA is currently investigating how the information reported by Member States can be used to that purpose. It is too early to draw any conclusion.</t>
  </si>
  <si>
    <t>1.b Legally protect a minimum of 30% of the EU's sea area</t>
  </si>
  <si>
    <t>30% by 2030</t>
  </si>
  <si>
    <t xml:space="preserve">12% of EU's sea area is currently covered by protected areas, including 9% by Natura 2000 designated protected areas and 4.5% by nationally designated protected areas </t>
  </si>
  <si>
    <t>Marine protected areas in Europe’s seas</t>
  </si>
  <si>
    <t>agreement, positive but out of track. Gap analysis present. Data: Natura 2000, CDDA, HELCOM MPAs.
OSPAR Marine Protected Areas Network.
EEA coastline for analysis.
EEA marine assessment areas</t>
  </si>
  <si>
    <t>1.a Legally protect a minimum of 30% of the EU's land area</t>
  </si>
  <si>
    <t>26% of EU’s land area is currently covered by protected areas, including 18.6% by Natura 2000 designated protected areas and 17.3% by nationally designated protected areas. If the designation of protected areas continues at the rate seen in the past decade (1.7 percentage points increase since 2011), the target will not be met (source EEA: https://www.eea.europa.eu/ims/terrestrial-protected-areas-in-europe).</t>
  </si>
  <si>
    <t>Terrestrial protected areas in Europe</t>
  </si>
  <si>
    <t>agreement, positive but out of track. Gap analysis present. Data: Natura 2000, CDDA, EBM 2020.</t>
  </si>
  <si>
    <t>EGD Thematic Areas</t>
  </si>
  <si>
    <t>EGD Actions</t>
  </si>
  <si>
    <t>Key Policy Documents</t>
  </si>
  <si>
    <t>0=Com-asp 1=Com-qu 2=Prop 3=Legal</t>
  </si>
  <si>
    <t>List of Targets</t>
  </si>
  <si>
    <r>
      <rPr>
        <b/>
        <sz val="14"/>
        <color rgb="FFFFFFFF"/>
        <rFont val="EC Square Sans Pro"/>
        <family val="2"/>
      </rPr>
      <t xml:space="preserve">Actions*
</t>
    </r>
    <r>
      <rPr>
        <sz val="14"/>
        <color rgb="FFFFFFFF"/>
        <rFont val="EC Square Sans Pro"/>
        <family val="2"/>
      </rPr>
      <t>*referring to EGD Objectives set out in COM(2019) 640 ANNEX</t>
    </r>
  </si>
  <si>
    <t>Target code</t>
  </si>
  <si>
    <t>TA1.1</t>
  </si>
  <si>
    <t>Climate Neutrality (2040 target under discussion)</t>
  </si>
  <si>
    <t>TA1.2</t>
  </si>
  <si>
    <t>2040 target under discussion</t>
  </si>
  <si>
    <t>TA1.3</t>
  </si>
  <si>
    <t>Reduce of 55% GHG emissions compared to 1990 levels (2040 target under discussion)</t>
  </si>
  <si>
    <t>TA1.4</t>
  </si>
  <si>
    <t>TA1.5</t>
  </si>
  <si>
    <t>CBAM</t>
  </si>
  <si>
    <t>TA1.6</t>
  </si>
  <si>
    <t>Recast</t>
  </si>
  <si>
    <t>TA1.7</t>
  </si>
  <si>
    <t>Reduce methane emissions of 35% if compared to 2005 levels</t>
  </si>
  <si>
    <t>TA1.8</t>
  </si>
  <si>
    <t>on track</t>
  </si>
  <si>
    <t>TA1.9</t>
  </si>
  <si>
    <t>TA1.10</t>
  </si>
  <si>
    <t>TA1.11</t>
  </si>
  <si>
    <t>TA1.12</t>
  </si>
  <si>
    <t>TA1.13</t>
  </si>
  <si>
    <t>TA1.14</t>
  </si>
  <si>
    <t>TA1.15</t>
  </si>
  <si>
    <t>Reduce buildings’ greenhouse gas emissions by 60%, compared to 2015 levels, by 2030</t>
  </si>
  <si>
    <t>TA1.16</t>
  </si>
  <si>
    <t>TA2.1</t>
  </si>
  <si>
    <t>TA2.2</t>
  </si>
  <si>
    <t>TA2.3</t>
  </si>
  <si>
    <t>TA2.4</t>
  </si>
  <si>
    <t>TA2.5</t>
  </si>
  <si>
    <t>TA2.6</t>
  </si>
  <si>
    <t>TA2.7</t>
  </si>
  <si>
    <t>TA2.8</t>
  </si>
  <si>
    <t>TA2.9</t>
  </si>
  <si>
    <t>4. Sustainable and smart mobility</t>
  </si>
  <si>
    <t>TA4.1</t>
  </si>
  <si>
    <t xml:space="preserve">*The amendments in Dir. 2023/2413 are also intended to support the achievement of the Union’s target of an annual production of sustainable biomethane of 35 billion cubic meters by 2030, set out in the SWD(2022) 230 of 18 May 2022 accompanying the REPowerEU Plan
Taken from Directive (EU) 2023/2413 as regards the promotion of energy from renewable sources
</t>
  </si>
  <si>
    <t>TA2.10</t>
  </si>
  <si>
    <t>TA2.11</t>
  </si>
  <si>
    <t>TA2.12</t>
  </si>
  <si>
    <t>TA2.13</t>
  </si>
  <si>
    <t>TA2.14</t>
  </si>
  <si>
    <t>TA2.15</t>
  </si>
  <si>
    <t>By 2022 achieve 18% of the total increase in the share of energy from renewable sources between that Member State's binding 2020 national target, and its contribution to the 2030 target of share of energy from renewable sources in gross final consumption of energy. Achieve 43% by 2025, 65% by 2027</t>
  </si>
  <si>
    <t>TA2.16</t>
  </si>
  <si>
    <t>TA2.17</t>
  </si>
  <si>
    <t>TA2.18</t>
  </si>
  <si>
    <t>TA2.19</t>
  </si>
  <si>
    <t>TA2.20</t>
  </si>
  <si>
    <t>TA2.21</t>
  </si>
  <si>
    <t>TA2.22</t>
  </si>
  <si>
    <t>TA2.23</t>
  </si>
  <si>
    <t>TA2.24</t>
  </si>
  <si>
    <t>TA2.25</t>
  </si>
  <si>
    <t>TA2.26</t>
  </si>
  <si>
    <t>TA2.27</t>
  </si>
  <si>
    <t>TA2.28</t>
  </si>
  <si>
    <t>TA2.29</t>
  </si>
  <si>
    <t>TA2.30</t>
  </si>
  <si>
    <t xml:space="preserve">The revised directive will make zero-emission buildings the new standard for new buildings. Under the agreement all new residential and non-residential buildings must have zero on-site emissions from fossil fuels, as of 1 January 2028 for publicly-owned buildings and as of 1 January 2030 for all other new buildings, with a possibility for specific exemptions. 
See ‘Commission welcomes political agreement on new rules to boost energy performance of buildings across the EU’ </t>
  </si>
  <si>
    <t>TA2.31</t>
  </si>
  <si>
    <t>TA2.32</t>
  </si>
  <si>
    <t>same as TA1.16</t>
  </si>
  <si>
    <t>same as TA2.29</t>
  </si>
  <si>
    <t>TA2.35</t>
  </si>
  <si>
    <t>TA2.36</t>
  </si>
  <si>
    <t>TA2.37</t>
  </si>
  <si>
    <t>TA2.38</t>
  </si>
  <si>
    <t>TA2.39</t>
  </si>
  <si>
    <t>TA2.40</t>
  </si>
  <si>
    <t>TA3.1</t>
  </si>
  <si>
    <t>TA3.2</t>
  </si>
  <si>
    <t>TA3.3</t>
  </si>
  <si>
    <t>TA3.4</t>
  </si>
  <si>
    <t>TA3.5</t>
  </si>
  <si>
    <t>TA3.6</t>
  </si>
  <si>
    <t>TA3.7</t>
  </si>
  <si>
    <t>TA3.8</t>
  </si>
  <si>
    <t>TA3.9</t>
  </si>
  <si>
    <t>TA3.10</t>
  </si>
  <si>
    <t>TA3.11</t>
  </si>
  <si>
    <t>TA3.12</t>
  </si>
  <si>
    <t>TA3.13</t>
  </si>
  <si>
    <t>TA3.14</t>
  </si>
  <si>
    <t>TA3.15</t>
  </si>
  <si>
    <t>TA3.16</t>
  </si>
  <si>
    <t>TA3.17</t>
  </si>
  <si>
    <t>TA3.18</t>
  </si>
  <si>
    <t>TA3.19</t>
  </si>
  <si>
    <t>TA3.20</t>
  </si>
  <si>
    <t>TA3.21</t>
  </si>
  <si>
    <t>TA3.22</t>
  </si>
  <si>
    <t>TA3.23</t>
  </si>
  <si>
    <t>TA3.24</t>
  </si>
  <si>
    <t>TA3.25</t>
  </si>
  <si>
    <t>TA3.26</t>
  </si>
  <si>
    <t>TA3.27</t>
  </si>
  <si>
    <t>TA3.28</t>
  </si>
  <si>
    <t>TA3.29</t>
  </si>
  <si>
    <t>TA3.30</t>
  </si>
  <si>
    <t>TA3.31</t>
  </si>
  <si>
    <t>TA3.32</t>
  </si>
  <si>
    <t>TA3.33</t>
  </si>
  <si>
    <t>TA3.34</t>
  </si>
  <si>
    <t>TA3.35</t>
  </si>
  <si>
    <t>TA3.36</t>
  </si>
  <si>
    <t>TA3.37</t>
  </si>
  <si>
    <t>TA3.38</t>
  </si>
  <si>
    <t>TA3.39</t>
  </si>
  <si>
    <t>TA3.40</t>
  </si>
  <si>
    <t>TA3.41</t>
  </si>
  <si>
    <t>TA3.42</t>
  </si>
  <si>
    <t>TA3.43</t>
  </si>
  <si>
    <t>TA3.44</t>
  </si>
  <si>
    <t>TA3.45</t>
  </si>
  <si>
    <t>TA3.46</t>
  </si>
  <si>
    <t>TA3.47</t>
  </si>
  <si>
    <t>TA3.48</t>
  </si>
  <si>
    <t>Amending Directive 2003/87/EC as regards aviation's contribution to the Union’s economy-wide emission reduction target and appropriately implementing a global market-based measure</t>
  </si>
  <si>
    <t>TA4.2</t>
  </si>
  <si>
    <t>Comprehensive plan to increase the EU 2030 climate target to at least 50% and towards 55% in a responsible way</t>
  </si>
  <si>
    <t>On the use of renewable and low-carbon fuels in maritime transport and amending Directive 2009/16/EC</t>
  </si>
  <si>
    <t>TA4.3</t>
  </si>
  <si>
    <t>The yearly average GHG intensity of the energy used on board by a ship during a reporting period shall not exceed these limits:
2 % from 1 January 2025;
6 % from 1 January 2030;
14,5 % from 1 January 2035;
31 % from 1 January 2040;
62 % from 1 January 2045;
80 % from 1 January 2050.</t>
  </si>
  <si>
    <t>Currently at 0%</t>
  </si>
  <si>
    <t>TA4.4</t>
  </si>
  <si>
    <t>A target for the use of RFNBO of 2% of the energy used on board by a ship from 2034</t>
  </si>
  <si>
    <t>On ensuring a level playing field for sustainable air transport</t>
  </si>
  <si>
    <t>TA4.5</t>
  </si>
  <si>
    <t>Starting from 2025, at least 2% of aviation fuels will be green, with this share increasing every five years: 6% in 2030, 20% in 2035, 34% in 2040, 42% in 2045 and 70% in 2050. Hydrogen and fuel produced from cooking oil or waste gases considered green (link agreement Council - Parliament on 25.04.2023)</t>
  </si>
  <si>
    <t>2% by 2025</t>
  </si>
  <si>
    <t>TA4.6</t>
  </si>
  <si>
    <t>Synthetic aviation fuels are expected to play a role in the decarbonisation of the sector already by 2030 and should contribute to at least 35% of the aviation fuel mix by 2050, according to the EC proposal for ReFuelEU Aviation</t>
  </si>
  <si>
    <t>TA4.7</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</si>
  <si>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 in 2025 and 3,5 % in 2030, of which a share of at least 1 percentage point is from renewable fuels of non-biological origin in 2030</t>
  </si>
  <si>
    <t>1% by 2025%</t>
  </si>
  <si>
    <t>TA4.8</t>
  </si>
  <si>
    <t>Member States with maritime ports should endeavour to ensure that from 2030 the share of renewable fuels of non-biological origin in the total amount of energy supplied to the maritime transport sector is at least 1,2 %.</t>
  </si>
  <si>
    <t>Sustainable and Smart Mobility Strategy – putting European transport on track for the future</t>
  </si>
  <si>
    <t>TA4.9</t>
  </si>
  <si>
    <t>Cut the emissions of transport sector by 90%</t>
  </si>
  <si>
    <t>90% by 2050</t>
  </si>
  <si>
    <t>https://www.eea.europa.eu/ims/greenhouse-gas-emissions-from-transport</t>
  </si>
  <si>
    <t>TA4.10</t>
  </si>
  <si>
    <t>EU fisheries are encouraged to continue the positive trend, as observed for the period 2009-2019, towards reducing fuel intensity by reducing the fossil-fuel consumption per kg of landed product for at least an additional 15% for the period 2019-2030</t>
  </si>
  <si>
    <t>15% by 2030</t>
  </si>
  <si>
    <t>Strategy for sustainable and smart mobility</t>
  </si>
  <si>
    <t>Amending Council Directive 92/106/EEC as regards a support framework for intermodal transport of goods and Regulation (EU) 2020/1056 of the European Parliament and the Council as regards calculation of external costs savings and generation of aggregated data</t>
  </si>
  <si>
    <t>TA4.11</t>
  </si>
  <si>
    <t>Reduce the average door-to-door cost of combined transport operations by at least 10% within 7 years</t>
  </si>
  <si>
    <t>TA4.12</t>
  </si>
  <si>
    <t>GHG intensity reduction target in the maritme sector (link Agreement Council - Parliament on 23.03.2023): -2% from 1 January 2025; -6% from 1 January 2030; -14.5% from 1 January 2035; -31% from 1 January 2040; -62% from 1 January 2045; -80% from 1 January 2050)</t>
  </si>
  <si>
    <t xml:space="preserve">2% by 2025, 6% by 2030, 14.5% by 2035, 31% by 2040, 62% by 2045, 80% by 2050. 
</t>
  </si>
  <si>
    <t>Amending Regulation (EU) 2019/1242 as regards strengthening the CO₂ emission performance standards for new heavy-duty vehicles and integrating reporting obligations, and repealing Regulation (EU) 2018/956</t>
  </si>
  <si>
    <t>TA4.13</t>
  </si>
  <si>
    <t>For new urban buses the share of zeroemissions vehicles shall be 100% as from the reporting period of the year 2030</t>
  </si>
  <si>
    <t>on the use of renewable and low-carbon fuels in maritime transport and amending Directive 2009/16/EC</t>
  </si>
  <si>
    <t>TA4.14</t>
  </si>
  <si>
    <t>Renewable and low-carbon fuels should represent between 6% and 9% of the international maritime transport fuel mix by 2030 and between 86% and 88% by 2050</t>
  </si>
  <si>
    <t>6%-9% by 2030</t>
  </si>
  <si>
    <t>TA4.15</t>
  </si>
  <si>
    <t>The average CO2 emissions of the Union fleet of new heavy-duty motor vehicles, other than special purpose, off-road, off-road special purpose, and vocational vehicles shall be reduced by the following percentages compared to the average CO2 emissions of the reporting period of the year 2019: (a) for vehicle sub-groups 4-UD, 4-RD, 4-LH, 5-RD, 5-LH, 9-RD, 9-LH, 10-RD, 10-LH for the reporting periods of the years 2025 to 2029 by 15 %; for all vehicle sub-groups for the reporting periods of the years 2030 to 2034 by 45 %, (c) for all vehicle sub-groups for the reporting periods of the years 2035 to 2039 by 65 %, (d) for all vehicle sub-groups for the reporting periods of the years 2040 onwards by 90%</t>
  </si>
  <si>
    <t>15% CO2 reduction by 2025, 45% by 2030, 65% by 2035, 90% by 2040</t>
  </si>
  <si>
    <t>setting CO2 emission performance standards for new passenger cars and for new light commercial vehicles, and repealing Regulations (EC) No 443/2009 and (EU) No 510/2011</t>
  </si>
  <si>
    <t>TA4.16</t>
  </si>
  <si>
    <t>From 1 January 2020, this Regulation sets an EU fleet-wide target of 95 g CO2/km for the average emissions of new passenger cars and an EU fleet-wide target of 147 g CO2/km for the average emissions of new light commercial vehicles registered in the Union, as measured until 31 December 2020 in accordance with Regulation (EC) No 692/2008 together with Implementing Regulations (EU) 2017/1152 and (EU) 2017/1153, and from 1 January 2021 measured in accordance with Regulation (EU) 2017/1151.</t>
  </si>
  <si>
    <t>TA4.17</t>
  </si>
  <si>
    <t>This Regulation will, until 31 December 2024, be complemented by additional measures corresponding to a reduction of 10 g CO2/km as part of the Union's integrated approach referred to in the Commission's communication of 7 February 2007 entitled ‘Results of the review of the Community Strategy to reduce CO2 emissions from passenger cars and light-commercial vehicles</t>
  </si>
  <si>
    <t>TA4.18</t>
  </si>
  <si>
    <t>Assessment of legislative options to boost the production and supply of sustainable alternative fuels for the different transport modes</t>
  </si>
  <si>
    <t>TA4.19</t>
  </si>
  <si>
    <t>A hydrogen strategy for a climate-neutral Europe</t>
  </si>
  <si>
    <t>TA4.20</t>
  </si>
  <si>
    <t xml:space="preserve">In the first phase, from 2020 up to 2024, the strategic objective is to install at least 6 GW of renewable hydrogen electrolysers in the EU and the production of up to 1 million tonnes of renewable hydrogen. In the second phase, from 2025 up to 2030, the strategic objective is to install at least 40 GW of renewable hydrogen electrolysers and the production of up to 10 million tonnes of renewable hydrogen in the EU </t>
  </si>
  <si>
    <t>TA4.21</t>
  </si>
  <si>
    <t>In a third phase, from 2030 onwards and towards 2050, renewable hydrogen technologies should reach maturity and be deployed at large scale to reach all hard-to-decarbonise sectors where other alternatives might not be feasible or have higher costs. In this phase, renewable electricity production needs to massively increase as about a quarter of renewable electricity might be used for renewable hydrogen production by 2050</t>
  </si>
  <si>
    <t>Funding call to support the deployment of public recharging and refuelling points as part of alternative fuel infrastructure</t>
  </si>
  <si>
    <t>Annual sustainable growth strategy 2021</t>
  </si>
  <si>
    <t>Communication from the Commission to the European Parliament, the Council, the European Economic and Social Committee, the Committee of the Regions and the European Investment Bank</t>
  </si>
  <si>
    <t>TA4.22</t>
  </si>
  <si>
    <t xml:space="preserve">Build three million public electric charging points by 2030. Build one million public electric charging points by 2025. </t>
  </si>
  <si>
    <t>One million by 2025, 3 millions by 2030</t>
  </si>
  <si>
    <t>https://www.mckinsey.com/industries/automotive-and-assembly/our-insights/europes-ev-opportunity-and-the-charging-infrastructure-needed-to-meet-it</t>
  </si>
  <si>
    <t>TA4.23</t>
  </si>
  <si>
    <t>Build 1.000 hydrogen stations by 2030. By 2025, build half of the 1.000 hydrogen stations needed for 2030</t>
  </si>
  <si>
    <t>https://www.statista.com/statistics/859095/eu-hydrogen-number-of-fueling-stations/</t>
  </si>
  <si>
    <t>A strategic rollout plan to outline a set of supplementary actions to support the rapid deployment of alternative fuels infrastructure</t>
  </si>
  <si>
    <t>TA4.24</t>
  </si>
  <si>
    <t>On the deployment of alternative fuels infrastructure, and repealing Directive 2014/94/EU of the European Parliament and of the Council</t>
  </si>
  <si>
    <t>TA4.25</t>
  </si>
  <si>
    <t>Member States shall ensure that, at the end of each year, starting from the year referred to in Article 26,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t>
  </si>
  <si>
    <t>TA4.26</t>
  </si>
  <si>
    <t>TA4.27</t>
  </si>
  <si>
    <t>TA4.28</t>
  </si>
  <si>
    <t>by 31 December 2030, in each safe and secure parking area at least four publicly accessible recharging stations dedicated to heavy-duty electric vehicles with an individual power output of at least 100 kW are deployed</t>
  </si>
  <si>
    <t>TA4.29</t>
  </si>
  <si>
    <t>By 31 December 2030, in each urban node publicly accessible recharging points dedicated to heavy-duty electric vehicles with an aggregated power output of at least 1 800 kW are deployed, provided by recharging stations with an individual power output of at least 150 kW.</t>
  </si>
  <si>
    <t>TA4.30</t>
  </si>
  <si>
    <t>Member States shall ensure that, by 31 December 2030, at least one publicly accessible hydrogen refuelling station is deployed in each urban node.</t>
  </si>
  <si>
    <t>TA4.31</t>
  </si>
  <si>
    <t>Member States shall ensure that by 31 December 2030 publicly accessible hydrogen refuelling stations designed for a minimum cumulative capacity of 1 tonne per day and equipped with at least a 700 bar dispenser are deployed with a maximum distance of 200 km between them along the TEN-T core network</t>
  </si>
  <si>
    <t>TA4.32</t>
  </si>
  <si>
    <t>Member 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t>
  </si>
  <si>
    <t>TA4.33</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</si>
  <si>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t>
  </si>
  <si>
    <t>TA4.34</t>
  </si>
  <si>
    <t>Initiatives to increase and better manage the capacity of railways and inland waterways</t>
  </si>
  <si>
    <t>NAIADES III: Boosting future-proof European inland waterway transport</t>
  </si>
  <si>
    <t>TA4.35</t>
  </si>
  <si>
    <t>TA4.36</t>
  </si>
  <si>
    <t>Transport by inland waterways and short sea shipping will increase by 25% compared to 2015, by 2030. They will increase by 50% by 2050.</t>
  </si>
  <si>
    <t>+25% by 2030; +50% by 2050</t>
  </si>
  <si>
    <t>https://ec.europa.eu/eurostat/databrowser/view/MAR_SG_AM_CW/default/table?lang=en&amp;category=mar.mar_s</t>
  </si>
  <si>
    <t>TA4.37</t>
  </si>
  <si>
    <t xml:space="preserve">Rail freight traffic will increase by 50% compared to 2015 by 2030. It will double by 2050. </t>
  </si>
  <si>
    <t>+50% by 2030, double by 2050</t>
  </si>
  <si>
    <t>https://ec.europa.eu/eurostat/databrowser/view/RAIL_GO_TYPEPAS__custom_4604115/default/table?lang=en</t>
  </si>
  <si>
    <t>TA4.38</t>
  </si>
  <si>
    <t>High-speed rail traffic will double compared to 2015, by 2030. It will triple by 2050.</t>
  </si>
  <si>
    <t>Double by 2030, triple by 2050</t>
  </si>
  <si>
    <t>https://ec.europa.eu/eurostat/databrowser/view/rail_if_line_sp/default/table?lang=en</t>
  </si>
  <si>
    <t>TA4.39</t>
  </si>
  <si>
    <t>The multimodal Trans-European Transport Network (TEN-T) equipped for sustainable and smart transport with high speed connectivity will be operational for the core network, by 2030. It will be operational for the comprehensive network, by 2050.</t>
  </si>
  <si>
    <t>https://ec.europa.eu/transport/infrastructure/tentec/tentec-portal/site/index_en.htm</t>
  </si>
  <si>
    <t>TA4.40</t>
  </si>
  <si>
    <t>Rail and waterborne-based intermodal transport will be able to compete on equal footing with road-only transport in the EU</t>
  </si>
  <si>
    <t>Review of the Alternative Fuels Infrastructure Directive and the Trans European Network – Transport Regulation</t>
  </si>
  <si>
    <t>on Union guidelines for the development of the trans-European transport network and repealing Decision No 661/2010/EU (revision upcoming)</t>
  </si>
  <si>
    <t>TA4.41</t>
  </si>
  <si>
    <t>Proposal for more stringent air pollutant emissions standards for combustion-engine vehicles</t>
  </si>
  <si>
    <t>'Fit for 55': delivering the EU's 2030 Climate Target on the way to climate neutrality</t>
  </si>
  <si>
    <t>TA4.42</t>
  </si>
  <si>
    <t>TA4.43</t>
  </si>
  <si>
    <t>Scheduled collective travel of under 500 km should be carbon neutral within the EU</t>
  </si>
  <si>
    <t>TA4.44</t>
  </si>
  <si>
    <t>Nearly all cars, vans, buses as well as new heavy-duty vehicles will be zero-emission</t>
  </si>
  <si>
    <t>https://ec.europa.eu/eurostat/databrowser/view/cli_act_noec/default/table?lang=en</t>
  </si>
  <si>
    <t>TA4.45</t>
  </si>
  <si>
    <t>There will be at least 30 million zero-emission cars and 80.000 zero-emission lorries in operation</t>
  </si>
  <si>
    <t>Zero-emission ocean-going vessels will become market ready</t>
  </si>
  <si>
    <t>TA4.46</t>
  </si>
  <si>
    <t>Zero-emission large zero-emission aircraft will become market ready</t>
  </si>
  <si>
    <t>On type-approval of motor vehicles and engines and of systems, components and separate technical units intended for such vehicles, with respect to their emissions and battery durability (Euro 7) and repealing Regulations (EC) No 715/2007 and (EC) No 595/2</t>
  </si>
  <si>
    <t>TA4.47</t>
  </si>
  <si>
    <t>Euro 7 pollutant limits</t>
  </si>
  <si>
    <t>TA4.48</t>
  </si>
  <si>
    <t>Revised proposal for a Directive on Combined Transport</t>
  </si>
  <si>
    <t>TA4.49</t>
  </si>
  <si>
    <t>TA4.50</t>
  </si>
  <si>
    <t>All external costs of transport within the EU will be covered by the transport users</t>
  </si>
  <si>
    <t>TA4.51</t>
  </si>
  <si>
    <t>Seamless multimodal passenger transport will be facilitated by integrated electronic ticketing</t>
  </si>
  <si>
    <t>Freight transport will be paperless</t>
  </si>
  <si>
    <t>TA4.53</t>
  </si>
  <si>
    <t>The death toll for all modes of transport in the EU will be close to zero</t>
  </si>
  <si>
    <t>https://ec.europa.eu/eurostat/databrowser/view/tps00165/default/table?lang=en&amp;category=mar.mar_s</t>
  </si>
  <si>
    <t>TA4.54</t>
  </si>
  <si>
    <t>Active transport modes, such as cycling, have seen growth with cities announcing over 2300 km of extra cycling infrastructure. This should be doubled in the next decade towards 5000 km in safe bike lanes</t>
  </si>
  <si>
    <t>The new EU Urban Mobility Framework</t>
  </si>
  <si>
    <t>TA4.55</t>
  </si>
  <si>
    <t>Zero-emission in urban logistics</t>
  </si>
  <si>
    <t>On a new approach for a sustainable blue economy in the EU. Transforming the EU's Blue Economy for a Sustainable Future</t>
  </si>
  <si>
    <t>TA4.56</t>
  </si>
  <si>
    <t>Increase the uptake of short-sea shipping instead of using more polluting modes</t>
  </si>
  <si>
    <t>POLLUTION</t>
  </si>
  <si>
    <t>TA4.57</t>
  </si>
  <si>
    <t>Renovate the EU’s maritime fleet (e.g. passenger ships and supply vessels for offshore installations) to improve their energy efficiency</t>
  </si>
  <si>
    <t>TA4.58</t>
  </si>
  <si>
    <t>Pursue the objective of zero-emission ports</t>
  </si>
  <si>
    <t>5. Greening the Common Agricultural Policy / ‘Farm to Fork’ Strategy</t>
  </si>
  <si>
    <t>‘Farm to Fork’ Strategy Measures, including legislative, to significantly reduce the use and risk of chemical pesticides, as well as the use of fertilizers and antibiotics</t>
  </si>
  <si>
    <t>A Farm to Fork Strategy</t>
  </si>
  <si>
    <t>TA5.1</t>
  </si>
  <si>
    <t>50% by 2030</t>
  </si>
  <si>
    <t>TA5.2</t>
  </si>
  <si>
    <t xml:space="preserve">Reduce overall EU sales of antimicrobials for farmed animals and in aquaculture by 50% by 2030.   </t>
  </si>
  <si>
    <t>CHEMICALS</t>
  </si>
  <si>
    <t>European Medicines Agency</t>
  </si>
  <si>
    <t>https://www.ema.europa.eu/en/veterinary-regulatory/overview/antimicrobial-resistance/european-surveillance-veterinary-antimicrobial-consumption-esvac#interactive-esvac-database-section</t>
  </si>
  <si>
    <t>Direct link to data: https://esvacbi.ema.europa.eu/analytics/saw.dll?Dashboard</t>
  </si>
  <si>
    <t>Eurostat SDG Monitoring report: https://ec.europa.eu/eurostat/documents/15234730/16817772/KS-04-23-184-EN-N.pdf/845a1782-998d-a767-b097-f22ebe93d422?t=1688373085450&amp;download=true</t>
  </si>
  <si>
    <t>TA5.3</t>
  </si>
  <si>
    <t>Reduce nutrient losses by at least 50%, while ensuring no deterioration on soil fertility</t>
  </si>
  <si>
    <t xml:space="preserve">European Environmental Agency (also ESTAT SDG indicators): </t>
  </si>
  <si>
    <t>SDG_06_40: https://ec.europa.eu/eurostat/databrowser/view/sdg_06_40/default/table?lang=en AND (SDG_06_50):
https://ec.europa.eu/eurostat/databrowser/view/sdg_06_50/default/table?lang=en</t>
  </si>
  <si>
    <t>https://ec.europa.eu/eurostat/statistics-explained/index.php?title=SDG_6_-_Clean_water_and_sanitation#Nitrate_in_groundwater</t>
  </si>
  <si>
    <t>TA5.4</t>
  </si>
  <si>
    <t>https://ec.europa.eu/eurostat/databrowser/view/sdg_02_52/default/table?lang=en</t>
  </si>
  <si>
    <t>https://food.ec.europa.eu/plants/pesticides/sustainable-use-pesticides/farm-fork-targets-progress/eu-trends_en</t>
  </si>
  <si>
    <t>TA5.5</t>
  </si>
  <si>
    <t>https://food.ec.europa.eu/plants/pesticides/sustainable-use-pesticides/farm-fork-targets-progress/member-states-trends_en</t>
  </si>
  <si>
    <t>TA5.6</t>
  </si>
  <si>
    <t>Source:  EUMOFA based on Eurostat (European Market Observatory for Ficheries and Aquculture products)</t>
  </si>
  <si>
    <t>https://www.eumofa.eu/documents/20178/432372/Organic+aquaculture+in+the+EU_final+report_ONLINE.pdf
Table 4 and Figure 4 of the report: https://www.eumofa.eu/documents/20178/432372/Organic+aquaculture+in+the+EU_final+report_ONLINE.pdf</t>
  </si>
  <si>
    <t>ESTAT Organic aquaculture production: https://ec.europa.eu/eurostat/databrowser/view/org_aqtspec/default/table?lang=en</t>
  </si>
  <si>
    <t>Environment and Energy Indicator set - ESTAT (total aquaculture): https://ec.europa.eu/eurostat/databrowser/view/tag00075/default/table?lang=en</t>
  </si>
  <si>
    <t>TA5.7</t>
  </si>
  <si>
    <t xml:space="preserve">Tackle climate change: climate change adaptation and mitigation. Ensure that agriculture, fisheries and aquaculture, and the food value chain contribute to the target of reducing greenhouse gas emissions to at least 55% below 1990 levels by 2030 and to the achievement of the objective for a climate neutral Union in 2050. </t>
  </si>
  <si>
    <t>TA5.8</t>
  </si>
  <si>
    <t xml:space="preserve">Sustainable use of water. Preserving freshwater, boosting water reuse in agriculture.  </t>
  </si>
  <si>
    <t>TA5.9</t>
  </si>
  <si>
    <t>TA5.10</t>
  </si>
  <si>
    <t>Increase renewable energy in agriculture and food sector. Adopt energy efficiency solutions in the agriculture and food sector, by reducing energy consumption in the sector</t>
  </si>
  <si>
    <t>TA5.11</t>
  </si>
  <si>
    <t xml:space="preserve">Protect the environment and restore natural resources. Preserve biodiversity and reduce biodiversity loss.  </t>
  </si>
  <si>
    <t>TA5.12</t>
  </si>
  <si>
    <t xml:space="preserve">Secure and ensure access to a range of quality seeds for plant varieties in order to adapt to the pressures of climate change  </t>
  </si>
  <si>
    <t>TA5.13</t>
  </si>
  <si>
    <t>Reduce food waste. Prevent food loss and waste. Halve per capita food waste at retail and consumer levels</t>
  </si>
  <si>
    <t>TA5.14</t>
  </si>
  <si>
    <t xml:space="preserve">Scale-up and promote sustainable and socially responsible production methods and circular business models in food processing and retail. </t>
  </si>
  <si>
    <t>TA5.15</t>
  </si>
  <si>
    <t>Reduce the environmental and climate footprint of the EU food system, operating within planetary boundaries</t>
  </si>
  <si>
    <t>TA5.16</t>
  </si>
  <si>
    <t xml:space="preserve">Ensure fair income and salaries. Improve income of primary producers to ensure their sustainable livelihood.  </t>
  </si>
  <si>
    <t>TA5.17</t>
  </si>
  <si>
    <t xml:space="preserve">Help farmers and fishers to strengthen their position in the supply chain and to capture a fair share of the added value of sustainable production   </t>
  </si>
  <si>
    <t>TA5.18</t>
  </si>
  <si>
    <t>Improve agricultural rules that strengthen the position of farmers (e.g. producers of products with geographical indications), their cooperatives and producer organisations in the food supply chain. </t>
  </si>
  <si>
    <t>TA5.19</t>
  </si>
  <si>
    <t xml:space="preserve">Preserve the affordability of food.  </t>
  </si>
  <si>
    <t>TA5.20</t>
  </si>
  <si>
    <t xml:space="preserve">Foster the competitiveness of the EU supply sector  </t>
  </si>
  <si>
    <t>TA5.21</t>
  </si>
  <si>
    <t xml:space="preserve">Ensure access to fast broadband to all farmers and all rural areas (enabler for jobs, businesses, investments, improvement in quality of life in rural areas and enabler to mainstream precision farming and use of artificial intelligence)  </t>
  </si>
  <si>
    <t>TA5.22</t>
  </si>
  <si>
    <t xml:space="preserve">Create shorter supply chains will support reducing dependence on long-haul transportation.  </t>
  </si>
  <si>
    <t>TA5.23</t>
  </si>
  <si>
    <t xml:space="preserve">Create new job opportunities.   </t>
  </si>
  <si>
    <t>TA5.24</t>
  </si>
  <si>
    <t xml:space="preserve">Ensure Fair, inclusive and ethical value chains. Improve working conditions, ensure occupation health and safety. Ensure workers’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  </t>
  </si>
  <si>
    <t>TA5.25</t>
  </si>
  <si>
    <t xml:space="preserve">Promote better animal welfare to improve animal health and food quality   </t>
  </si>
  <si>
    <t>TA5.26</t>
  </si>
  <si>
    <t xml:space="preserve">Strengthen educational messages on the importance of healthy nutrition, sustainable food production and consumption, and reducing food waste. </t>
  </si>
  <si>
    <t>TA5.27</t>
  </si>
  <si>
    <t xml:space="preserve">Provide food information and labelling to empower consumers to make informed, healthy and sustainable food choices  </t>
  </si>
  <si>
    <t>TA5.28</t>
  </si>
  <si>
    <t xml:space="preserve">Extend the mandatory origin or provenance indications to certain products.  </t>
  </si>
  <si>
    <t>TA5.29</t>
  </si>
  <si>
    <t xml:space="preserve">Improve availability of sustainable food. Ensure that the healthy option is always the easiest one. Ensure food supply.   </t>
  </si>
  <si>
    <t>TA5.30</t>
  </si>
  <si>
    <t xml:space="preserve">Ensure affordability and access to sufficient, nutritious and sustainable food.  </t>
  </si>
  <si>
    <t>TA5.31</t>
  </si>
  <si>
    <t xml:space="preserve">Increase reformulation of food products in line with guidelines for healthy and sustainable diets  </t>
  </si>
  <si>
    <t>TA5.32</t>
  </si>
  <si>
    <t>Ensuring all access to quality, safe, sustainable, nutritious food.</t>
  </si>
  <si>
    <t>TA5.33</t>
  </si>
  <si>
    <t xml:space="preserve">Move to healthier and more sustainable diets  </t>
  </si>
  <si>
    <t>TA5.34</t>
  </si>
  <si>
    <t xml:space="preserve">Reverse prevalence of overweight and diet-related diseases   </t>
  </si>
  <si>
    <t>TA5.35</t>
  </si>
  <si>
    <t xml:space="preserve">Strengthen the resilience of the EU food system. Build up resilience to possible future diseases and pandemics.  Increasing the sustainability of food producers will ultimately increase their resilience.   </t>
  </si>
  <si>
    <t>TA5.36</t>
  </si>
  <si>
    <t xml:space="preserve">On plants obtained by certain new genomic techniques and their food and feed, and amending Regulation (EU) 2017/625
</t>
  </si>
  <si>
    <t>TA5.37</t>
  </si>
  <si>
    <t>TA6.1</t>
  </si>
  <si>
    <t>TA6.2</t>
  </si>
  <si>
    <t>TA6.3</t>
  </si>
  <si>
    <t>TA6.4</t>
  </si>
  <si>
    <t>TA6.5</t>
  </si>
  <si>
    <t>TA6.7</t>
  </si>
  <si>
    <t>TA6.8</t>
  </si>
  <si>
    <t>TA6.9</t>
  </si>
  <si>
    <t>TA6.10</t>
  </si>
  <si>
    <t>TA6.11</t>
  </si>
  <si>
    <t>TA6.12</t>
  </si>
  <si>
    <t>TA6.13</t>
  </si>
  <si>
    <t>TA6.14</t>
  </si>
  <si>
    <t>TA6.15</t>
  </si>
  <si>
    <t>TA6.16</t>
  </si>
  <si>
    <t>TA6.17</t>
  </si>
  <si>
    <t>TA6.18</t>
  </si>
  <si>
    <t>TA6.19</t>
  </si>
  <si>
    <t>TA6.20</t>
  </si>
  <si>
    <t>TA6.21</t>
  </si>
  <si>
    <t>TA6.22</t>
  </si>
  <si>
    <t>TA6.23</t>
  </si>
  <si>
    <t>TA6.24</t>
  </si>
  <si>
    <t>TA6.25</t>
  </si>
  <si>
    <t>TA6.26</t>
  </si>
  <si>
    <t>Ensure that incidental catches of sensitive marine species, including those listed under Directives 92/43/EEC and 2009/147/EC, that are a result of fishing, are minimised and where possible eliminated so that they do not represent a threat to the conservation status of these species</t>
  </si>
  <si>
    <t>TA6.27</t>
  </si>
  <si>
    <t>TA6.28</t>
  </si>
  <si>
    <t>TA6.29</t>
  </si>
  <si>
    <t>TA6.30</t>
  </si>
  <si>
    <t>TA6.31</t>
  </si>
  <si>
    <t>(Proposal for) Regulation of the European Parliament and of the Council</t>
  </si>
  <si>
    <t>TA6.32</t>
  </si>
  <si>
    <t>TA6.33</t>
  </si>
  <si>
    <t>TA6.34</t>
  </si>
  <si>
    <t>15.1,14.2</t>
  </si>
  <si>
    <t>TA6.35</t>
  </si>
  <si>
    <t>TA6.36</t>
  </si>
  <si>
    <t>TA6.37</t>
  </si>
  <si>
    <t>TA6.38</t>
  </si>
  <si>
    <t>TA6.39</t>
  </si>
  <si>
    <t>TA6.40</t>
  </si>
  <si>
    <t>TA6.41</t>
  </si>
  <si>
    <t>TA6.42</t>
  </si>
  <si>
    <t>TA6.43</t>
  </si>
  <si>
    <t>TA6.44</t>
  </si>
  <si>
    <t>TA6.45</t>
  </si>
  <si>
    <t>TA6.46</t>
  </si>
  <si>
    <t>TA6.47</t>
  </si>
  <si>
    <t>TA6.48</t>
  </si>
  <si>
    <t>TA6.49</t>
  </si>
  <si>
    <t>TA6.50</t>
  </si>
  <si>
    <t>TA6.51</t>
  </si>
  <si>
    <t>TA6.52</t>
  </si>
  <si>
    <t>TA6.53</t>
  </si>
  <si>
    <t>TA6.54</t>
  </si>
  <si>
    <t>TA6.55</t>
  </si>
  <si>
    <t>TA6.56</t>
  </si>
  <si>
    <t>TA6.57</t>
  </si>
  <si>
    <t>TA6.58</t>
  </si>
  <si>
    <t>TA6.59</t>
  </si>
  <si>
    <t>TA6.60</t>
  </si>
  <si>
    <t>TA6.61</t>
  </si>
  <si>
    <t>TA6.62</t>
  </si>
  <si>
    <t>TA6.63</t>
  </si>
  <si>
    <t>7. Towards a zero-pollution ambition for a toxic free environment</t>
  </si>
  <si>
    <t>TA7.1</t>
  </si>
  <si>
    <t>The obligation to set up urban wastewater collecting systems is extended to all agglomerations with a p.e. of 1.000 or more and all source of urban wastewater should be connected to them</t>
  </si>
  <si>
    <t>WATER</t>
  </si>
  <si>
    <t>TA7.2</t>
  </si>
  <si>
    <t>Establish locally integrated urban wastewater management plans to combat pollution from rain waters (urban runoff and storm water overflow). Plans will need to be drawn up for all agglomerations with a p.e. of 100 000 or more and for all agglomerations with a p.e. of between 10 000 and 100 000 p.e. where storm water overflow or urban runoff poses a risk to the environment or human health</t>
  </si>
  <si>
    <t>TA7.3</t>
  </si>
  <si>
    <t>Member States will be required to improve and maintain access to sanitation for all, in particular for vulnerable and marginalised</t>
  </si>
  <si>
    <t>SOCIAL</t>
  </si>
  <si>
    <t>EU SDG indicator 06_10 and 06_20</t>
  </si>
  <si>
    <t>on the quality of water intended for human consumption</t>
  </si>
  <si>
    <t>TA7.4</t>
  </si>
  <si>
    <t>Member States shall take the measures necessary to ensure that water intended for human consumption is wholesome and clean. For the purposes of the minimum requirements of this Directive, water intended for human consumption shall be wholesome and clean if all the following requirements are met: (a) that water is free from any micro-organisms and parasites and from any substances which, in numbers or concentrations, constitute a potential danger to human health; (b) that water meets the minimum requirements set out in Parts A, B and D of Annex I; (c) Member States have taken all other measures necessary to comply with Articles 5 to 14.</t>
  </si>
  <si>
    <t>on ambient air quality and cleaner air for Europe</t>
  </si>
  <si>
    <t>TA7.5</t>
  </si>
  <si>
    <t xml:space="preserve">The Ambient Air Quality Directives set EU air quality standards for 12 air pollutants: sulphur dioxide, nitrogen dioxide / nitrogen oxides, particulate matter (PM10, PM2.5), ozone, benzene, lead, carbon monoxide, arsenic, cadmium, nickel, and benzo(a)pyrene. The Directives take into account relevant World Health Organisation standards, guidelines and programmes. The Directives also guide the assessment of air quality by establishing a representative high-quality monitoring network, with more than 4.000 air quality monitoring stations across the EU, and by exchanging reliable, objective, comparable information on air quality, including to a wider public. Where levels are elevated above limit or target values, Member States should prepare an air quality plan or programme to address the sources responsible to ensure compliance and to keep exceedance periods as short as possible. In addition, information on air quality should be disseminated to the public. </t>
  </si>
  <si>
    <t>Chemicals strategy for sustainability</t>
  </si>
  <si>
    <t>Establishing a European assessment framework for ‘safe and sustainable by design’ chemicals and materials</t>
  </si>
  <si>
    <t>Commission Recommendation</t>
  </si>
  <si>
    <t>TA7.6</t>
  </si>
  <si>
    <t>TA7.7</t>
  </si>
  <si>
    <t>Reach good chemical and quantitative status in groundwaters and surfacewaters</t>
  </si>
  <si>
    <t>Revision of measures to address pollution from large industrial installations</t>
  </si>
  <si>
    <t>On reporting of environmental data from industrial installations and establishing an Industrial Emissions Portal</t>
  </si>
  <si>
    <t>TA7.8</t>
  </si>
  <si>
    <t>Directive 2010/75/EU of the European Parliament and of the Council of 24 November 2010 on industrial emissions (integrated pollution prevention and control) and Council Directive 1999/31/EC of 26 April 1999 on the landfill of waste</t>
  </si>
  <si>
    <t>TA7.9</t>
  </si>
  <si>
    <t xml:space="preserve">Pathway to a Healthy Planet for All EU Action Plan: 'Towards Zero Pollution for Air, Water and Soil'
</t>
  </si>
  <si>
    <t>TA7.10</t>
  </si>
  <si>
    <t>TA7.11</t>
  </si>
  <si>
    <t>TA7.12</t>
  </si>
  <si>
    <t>TA7.13</t>
  </si>
  <si>
    <t>Improve air quality to reduce the number of premature deaths caused by air pollution by 55%</t>
  </si>
  <si>
    <t>55% reduction by 2030 as compared to 2005</t>
  </si>
  <si>
    <t>https://www.eea.europa.eu/ims/health-impacts-of-exposure-to</t>
  </si>
  <si>
    <t>TA7.14</t>
  </si>
  <si>
    <t>Improve water quality by reducing waste, plastic litter at sea (by 50%) and microplastics released into the environment (by 30%)</t>
  </si>
  <si>
    <t>- 50% by 2030</t>
  </si>
  <si>
    <t>TA7.15</t>
  </si>
  <si>
    <t>-30% by 2030</t>
  </si>
  <si>
    <t>TA7.16</t>
  </si>
  <si>
    <t>Reduce by 25% the EU ecosystems where air pollution threatens biodiversity</t>
  </si>
  <si>
    <t>25% reduction by 2030 compared to 2005</t>
  </si>
  <si>
    <t>TA7.17</t>
  </si>
  <si>
    <t>Reduce the share of people chronically disturbed by transport noise by 30%</t>
  </si>
  <si>
    <t>30% reduction by 2030 compared to 2017</t>
  </si>
  <si>
    <t>https://ec.europa.eu/eurostat/databrowser/view/ilc_mddw04/default/table?lang=en</t>
  </si>
  <si>
    <t>TA7.18</t>
  </si>
  <si>
    <t>Reduce significantly total waste generation and by 50% residual municipal waste</t>
  </si>
  <si>
    <t>significant, 50% by 2030</t>
  </si>
  <si>
    <t>https://ec.europa.eu/eurostat/databrowser/view/ENV_WASMUN__custom_368357/bookmark/table?lang=en&amp;bookmarkId=b14ecb70-e7b6-46ad-b426-a1a40727b861</t>
  </si>
  <si>
    <t>TA7.19</t>
  </si>
  <si>
    <t>TA7.20</t>
  </si>
  <si>
    <t>Having all soils in healthy condition by 2050</t>
  </si>
  <si>
    <t>100% by 2050</t>
  </si>
  <si>
    <t>https://www.eea.europa.eu/data-and-maps/data/soil-contamination-2</t>
  </si>
  <si>
    <t>TA7.21</t>
  </si>
  <si>
    <t>On ambient air quality and cleaner air for Europe</t>
  </si>
  <si>
    <t>TA7.22</t>
  </si>
  <si>
    <t>The revision of the Ambient Air Quality Directives would merge the Directives into one, and seek to: align EU air quality standards more closely with WHO recommendations further improve the legislative framework (e.g. in relation to penalties, and public information)
The Directive sets out a zero pollution objective for air quality, so that within the Union air quality is progressively improved to levels no longer considered harmful to human health and natural ecosystems, as defined by scientific evidence, thus contributing to a toxic-free environment at the latest by 2050.</t>
  </si>
  <si>
    <t>TA7.23</t>
  </si>
  <si>
    <t>TA7.24</t>
  </si>
  <si>
    <t>amending Directive 2000/60/EC establishing a framework for Community action in the field of water policy, Directive 2006/118/EC on the protection of groundwater against pollution and deterioration and Directive 2008/105/EC on environmental quality standards in the field of water policy</t>
  </si>
  <si>
    <t>TA7.25</t>
  </si>
  <si>
    <t>N. initial targets</t>
  </si>
  <si>
    <t>N. targets quantified</t>
  </si>
  <si>
    <t>Total targets</t>
  </si>
  <si>
    <t>total</t>
  </si>
  <si>
    <t>1 Legally binding (and quantified)</t>
  </si>
  <si>
    <t>2. Non-legally binding, quantified</t>
  </si>
  <si>
    <t>3. Non-legally-binding, not quantified</t>
  </si>
  <si>
    <t>Total</t>
  </si>
  <si>
    <t>n. quant.</t>
  </si>
  <si>
    <t>Targets from Legal acts (Reg, Direct)</t>
  </si>
  <si>
    <t>Targets from Proposals</t>
  </si>
  <si>
    <t>Targets from Communications</t>
  </si>
  <si>
    <t>ONLY QUANTIFIED:</t>
  </si>
  <si>
    <t>Targets from Comm - quantif</t>
  </si>
  <si>
    <t>Total QUANTIFIED</t>
  </si>
  <si>
    <t>Targets coming from</t>
  </si>
  <si>
    <t>Sum of n</t>
  </si>
  <si>
    <t>Column Labels</t>
  </si>
  <si>
    <t>Row Labels</t>
  </si>
  <si>
    <t>Sum of Targets from legal acts</t>
  </si>
  <si>
    <t>Sum of Targets from Proposal</t>
  </si>
  <si>
    <t>Legal acts</t>
  </si>
  <si>
    <t>Proposals</t>
  </si>
  <si>
    <t>Coms quant</t>
  </si>
  <si>
    <t>Coms not quant</t>
  </si>
  <si>
    <t>(blank)</t>
  </si>
  <si>
    <t>(blank) Total</t>
  </si>
  <si>
    <t>Grand Total</t>
  </si>
  <si>
    <t>1. Climate</t>
  </si>
  <si>
    <t>2. Energy</t>
  </si>
  <si>
    <t>3. Industry CE</t>
  </si>
  <si>
    <t>4. Mobility</t>
  </si>
  <si>
    <t>5. F2F</t>
  </si>
  <si>
    <t>6. Biodiversity</t>
  </si>
  <si>
    <t>7. Zero pollution</t>
  </si>
  <si>
    <t>Total QUANT</t>
  </si>
  <si>
    <t>Target assessment - Total by type of target</t>
  </si>
  <si>
    <t>Targets assessed so far</t>
  </si>
  <si>
    <t>Target assessment by thematic area</t>
  </si>
  <si>
    <t>Targets assessment in %, considering only the targets already assessed</t>
  </si>
  <si>
    <t>Total by type of target</t>
  </si>
  <si>
    <t>Not progressing</t>
  </si>
  <si>
    <t>Not assessed</t>
  </si>
  <si>
    <t>Total assessed</t>
  </si>
  <si>
    <t>%</t>
  </si>
  <si>
    <t>Legal act</t>
  </si>
  <si>
    <t>Proposal</t>
  </si>
  <si>
    <t>Communication - quantified</t>
  </si>
  <si>
    <t>Communication - not quantified</t>
  </si>
  <si>
    <t>N</t>
  </si>
  <si>
    <t>Climate ambition</t>
  </si>
  <si>
    <t>Clean, affordable and secure energy</t>
  </si>
  <si>
    <t>Industrial strategy for a clean and circular economy</t>
  </si>
  <si>
    <t>Sustainable and smart mobility</t>
  </si>
  <si>
    <t>CAP / Farm to Fork</t>
  </si>
  <si>
    <t>Preserving and protecting biodiversity</t>
  </si>
  <si>
    <t>Towards a zero-pollution ambition</t>
  </si>
  <si>
    <t>On track to achieve</t>
  </si>
  <si>
    <t>Communications</t>
  </si>
  <si>
    <t>Total by type of target and fiche</t>
  </si>
  <si>
    <t>not progressing</t>
  </si>
  <si>
    <t>accel needed</t>
  </si>
  <si>
    <t>Type of target</t>
  </si>
  <si>
    <t>no data-Com</t>
  </si>
  <si>
    <t>prop</t>
  </si>
  <si>
    <t>leg</t>
  </si>
  <si>
    <t>com</t>
  </si>
  <si>
    <t>Sustainable fuels (PF2)</t>
  </si>
  <si>
    <t>Quantifiable</t>
  </si>
  <si>
    <t xml:space="preserve">The revised LULUCF regulation sets a target of removing 310 Mt CO2 by 2030. The long-term EU Forest sink is developing away from this target and jeopardizing the fulfilment of the overall LULUCF sector target for 2030. Furthermore, natural disturbances are expected to increase with ongoing climate change, with potentially a further reduction of the carbon sink, making the situation even more difficult. 
In 2020 the gap between the reported LULUCF emissions in 2016-2018 and the target of -310 Mt CO2e for 2030 was -42 Mt CO2e for the EU. The EU GHG inventory 2023 shows that this gap has now widened: to reach -310 Mt CO2e, the EU needs to improve its LULUCF sink by -80 Mt CO2e between 2021 and 2030. The LULUCF targets will be difficult to achieve unless substantial changes in forest management are implemented very soon.  
Shape </t>
  </si>
  <si>
    <t xml:space="preserve">The 55% economy wide reduction objective is not per se enshrined in a legislative instrument accompanied by a target. It follows from the cumulative reduction of 62% in the ETS, together 40% reduction in ESR, (now complemented by 42% in the ETS2), and a land sink contribution of –225 Mt CO2. 
While EU greenhouse gases emissions were reduced by 32.5% between 1990 and 2022, the speed of GHG emission reductions in the decade 2020-2030 needs to triple compared to previous decades.  
According to the Member States’ own projections reported in 2023 under Article 18 of the Governance of the Energy Union Regulation, total EU emissions are expected to fall in 2030 by about 50% below the 2005 level (the exact figure is not reported by the EEA Trends and Projections Report). This falls short of the 55% objective, but the MS projections cannot accurately capture the evolution in the ETS (see discussion on the ETS target) 
Reaching the 55 % objective further depends on the development of the LULUCF sector, where the risk of not reaching the sink of –225 Mt CO2 cannot be ruled out, and on delivery of ESR, which is not fully on track and related functioning of ETS2. The EU forest sink is quickly developing away from the 2030 EU climate targets. If this negative development continues, the overall 55% emissions 2030 target for the EU may be at risk. Furthermore, natural disturbances are expected to increase with the ongoing climate change [18], [19] making the situation even more critical.  
On the other hand, if more stringent policies are set than initially proposed by the EC, this could lead to an overachievement of the 2030 target [20].   
On the way to climate neutrality by 2050, the commission is currently setting interim targets for 2040, in compliance with Art. 4.3 of the Climate law. While 2040 targets are not yet set, it is clear that much of the transition to 2050 has to be realized by 2040. The European Scientific Advisory Board on Climate Change advised emission reductions of 90-95 % by 2040 compared to 1990. This target was recently re-iterated by Commissioner Hoekstra.  
The detailed analyses underlying the Impact Assessment will give first indications on priorities of the development of the technologies and markets, and the policy packages following the 2040 climate target setting. 
Both 2040 and 2050 targets, require a much deeper transformation of the energy system, through large scale deployment of new technologies that are not yet fully mature, and requiring high investment efforts. 
The 2050 climate neutrality target is currently not yet backed by a comprehensive set of legislative instruments to deliver it (as is the case for the 2030 target). While some of the current instruments will keep delivering reductions well beyond 2030 (e.g. CO2 standards for vehicles, ReFuel EU Aviation, FuelEU Maritime), there will be a need to complete the legislative framework to address issues such as carbon capture, industrial carbon removals, the post-2030 emission reduction trajectory overall and across sectors/ policy instruments. 
In addition, larger emission reductions in difficult-to-abate sectors like agriculture will be needed, and a larger role for land as a carbon sink.  
 </t>
  </si>
  <si>
    <t xml:space="preserve">Acceleration is needed to reduce methane emissions, particularly in the energy sector where the most cost-effective methane emission reductions can be achieved. This requires an efficient and timely implementation of emission abatement technologies and setting up monitoring capability of companies to detect and fix methane leaks. </t>
  </si>
  <si>
    <t xml:space="preserve">The ETS2 is a new EU-wide cap-and-trade economic instrument that covers the emissions from fuels in the road transport, buildings, and other (mainly smaller industries) sectors. As such, it overlaps significantly with the ESR in terms of sectors covered, but important differences are that a) it is implemented at the EU level (rather than with individual MS targets to be enacted by MS specific policies), and b) it does not cover non-CO2 emissions (many of which are from the hard-to-tackle agricultural sector). 
Between 2005 and 2022 the emissions covered by the ETS 2 fell by 16% according to own estimates of the JRC (as the instrument is a new, official reporting by the Member States is not yet available). Due to the overlapping sector coverage, similar considerations as for ESR, apply to ETS2 projections. . However, the EU-wide implementation and the exclusion of agricultural emissions in ETS2 contribute to a reduced uncertainty in attaining the 2030 target compared to the ESR. </t>
  </si>
  <si>
    <t xml:space="preserve">The current (2022) reduction is 17% relative to 2005; far from the 40 % reduction target in 2030. Between 2013-2020 MS have met or overachieved their ESD obligations- with the largest reductions in buildings and small industry sectors. Emissions are expected to continue falling in the coming decade owing –among other things- to source control legislation such as improved building standards, building renovations, and CO2 standards for road vehicles. After power generation, the transport and buildings sectors are currently experiencing the fastest decarbonisation rates, but further progress in transport and in buildings is subject to different challenges. While transport emissions are regulated by EU-wide CO2 emission standards for vehicles (which have a relatively fast turnover rate), renovating the building stock is a more challenging effort, largely enshrined in MS policies. Therefore, the MS projections for building emissions significantly lag behind the cost-effective rate of reduction required for meeting the 55% reduction goal (EEA Trends and Projections 2023). 
Overall EU ESR emissions, according to 2023 Member States projections,  are expected to fall by 27-32% (with existing – with additional measures), i.e. 8 -13 percentage point below the more stringent 40% target for 2030, with only 6 MS projected to (over-) achieve their targets. In particular for agriculture, current MS projections for further emission reductions are small (around 0%), while initial JRC analysis suggest small declines in GHG emissions related to changes in agricultural output, and limited impacts from the CAP instruments. The increasing urgency for agriculture to step up emission reductions for reaching ESD targets is mentioned in Climate Action Progress Report 2023. </t>
  </si>
  <si>
    <t>Assessing the distance to target is difficult. Comparing purely the GHG reporting from countries for 2021, it looks that the EU is more or less on the accounting benchmark. However, the recalculations of the inventories will lead to ‘technical corrections’, and we see a risk that these corrections will more likely lead to an overall accounting debit (i.e. not reaching the target) than a credit in LULUCF sector as a whole. 
For years 2022-2025, similar concerns as for 2030 target remain. The decreasing sink has effects on the no debit regulation and on offsetting schemes.</t>
  </si>
  <si>
    <t xml:space="preserve">Intermediary targets for linear trajectories in MS will be affected by several factors, such as historical GHG Inventory corrections, and new requirements on comprehensive land use reporting (2026 onwards) + improved methodologies, i.e. Tier 2 reporting for all pools (2028 onwards) + Tier 3 reporting for special areas (2030 onwards). Overall, this makes it difficult to assess the distance to the target. A situation intermediates between the one in 2021-2025 and the one in 2030 is likely. </t>
  </si>
  <si>
    <t>According to the EEA, in 2015 there was 1091.6 of Million tonnes of CO2 equivalent Greenhouse gas emissions from energy use in buildings in Europe, stemming from both fossil fuel used and electricity and heat used in buildings. In 2021 this vale was reduced to 924.7 MtCO2e, a 15% reduction was achieved in this period of 6 years. In order to achieve a 60% reduction, acceleration is needed</t>
  </si>
  <si>
    <t xml:space="preserve">According to the 2030 Climate Target Plan’s Impact Assessment, the most cost-effective methane emission reductions can be achieved in the energy sector. Reaching the 58% reduction target would imply a further ramping up of CH4 emissions energy sector reductions, requiring an efficient and timely implementation of emission abatement technologies and setting up monitoring capability of companies to detect and fix methane leaks. </t>
  </si>
  <si>
    <t xml:space="preserve">The decreasing trajectory of the number of CO2 emission allowances leads to -62% less CO2 emission in 2030 compared to 2005. ETS 1 emissions fell by 38% between 2005 and 2022. The 2023 greenhouse gas emission projections reported by the MS to the EEA result in a reduction of ETS emissions of 55% to 59% in the ETS sectors in 2030 (with existing measures – with additional measures projection).  While these projections are somewhat short of the 62% target, it is important to note that -being the ETS a EU-wide market-based (cap and trade) instrument, this objective is not directly addressed by MS specific policies and cannot be consistently and comprehensively covered by the individual MS GHG emission projections. As the ETS instrument is in place and functioning, technologies are available and affordable, the target can be met.  </t>
  </si>
  <si>
    <t>The use of renewable hydrogen in Europe is negligible up to now. This includes also industrial processes.</t>
  </si>
  <si>
    <t xml:space="preserve">European production capacity is not yet officially monitored, but there are estimates of production of around 23kH2/y. Very far away from the target of 10 MtH2/y. </t>
  </si>
  <si>
    <t xml:space="preserve">In 2022, there were 177 GWac (ac: alternating current). Solar capacity has to almost double to reach the 2030 target.  </t>
  </si>
  <si>
    <t>Share should be 4,5% by 2030. In 2021, the relative size of solar thermal in overall heat consumption was 0.687 TWh (0.1%), over the total of 651 TWh.   
According to EurObserv'ER, there was a 10% growth in 2022, while the required annual rate growth is 12% to reach the target.</t>
  </si>
  <si>
    <t xml:space="preserve">The  installations in 2022 were : 41 GWp (about 34 GWac).  Market needs to increase to meet the targets </t>
  </si>
  <si>
    <t xml:space="preserve">The EU reached a 21.8 % share of its gross final energy consumption from renewable sources in 2021, with a g. Gap of 20.7% remaining towards the 2030 targetin 2021. Acceleration is needed to reach the 2030 target. </t>
  </si>
  <si>
    <t xml:space="preserve">A 1.6 percentage point annual increase leads to 26% share of renewables by 2030. Share in 2021 was 9.7%, a slight decline from the 2020 share of 10%. Acceleration is needed to reach the 2030 target.   </t>
  </si>
  <si>
    <t>to change the target formulation, based on the text in the doc</t>
  </si>
  <si>
    <t xml:space="preserve">In 2021 the EU average share was 9%, with a g. Gap of 20%  remaining towards the 2030 target.in 2021. Two Mmember Sstates have already reached this target. Acceleration is needed to reach the 2030 target. </t>
  </si>
  <si>
    <t xml:space="preserve">A 2,.2 percentage point annual increase leads to a share of 45% for 2030. The Share was 22.9% in 2021, therefore there is a gap of 22% remaining towards the 2030 target. Acceleration is needed to reach the 2030 target.  </t>
  </si>
  <si>
    <t>changed the target formulation, based on the text in the doc</t>
  </si>
  <si>
    <t xml:space="preserve">The share of renewable energy in the H&amp;C sector increased from 22.9% to 23.2% from 2021 to 2022.  </t>
  </si>
  <si>
    <t xml:space="preserve">2021 FEC consumption = 968.4 Mtoe
Distance to the 2030 target is 21.2 %.
The Energy Efficiency target for 2020 of 959 Mtoe for EU27 has been reached.
</t>
  </si>
  <si>
    <t>2021  primary energy consumption = 1311 Mtoe. Distance to the 2030 target is 24.3%</t>
  </si>
  <si>
    <t>The weighted annual energy renovation rate in the EU is about 1%, rate should double to 2% to achieve the target. For residential buildings, the annual weighted energy renovation rate was estimated close to 1% within the EU (0.4-1.2% depending on the Member State). The annual rate of deep renovation is only 0.2% and 0.3% in residential and non-residential buildings, respectively.</t>
  </si>
  <si>
    <t>In 2022, the cumulative installed capacity for wind offshore is 16.2 GW, requiring a more than 10 times increase in annual installations compared to 2022 (from 1.2 to 13.3 GW/yr) to reach 109 GW by 2030.</t>
  </si>
  <si>
    <t xml:space="preserve">In 2022, EU MS installed in the order of 100 kW of ocean energy and the cumulative ocean energy capacity was 216 mW. While there has been a positive increase, the rate of annual installed capacity should strikingly grow by a factor of 100000 to reach the 2030 target. Strong acceleration is needed.. </t>
  </si>
  <si>
    <t xml:space="preserve">Global manufacturing capacity of electrolysers is expected to more than double at the end of 2023, reaching around 3.3 GW/y in Europe  
If all facilities planned are managing to become fully operational with the expected timing, 104 GW of electrolysers could already be deployed in 2026. </t>
  </si>
  <si>
    <t>The share was 38% in 2021, leaving a gap  of 17% to reach the target of 55% in 2030. One MS has already reached its 2030 target. On track to meet the lower end of the target for 2030 if the current acceleration rate is maintained.</t>
  </si>
  <si>
    <t>Member States shall lay down requirements to ensure that, where technically and economically feasible, non-residential buildings with an effective rated output for heating systems or systems for combined space heating and ventilation of over 290 kW are equipped with building automation and control systems</t>
  </si>
  <si>
    <t xml:space="preserve">The calculation methodology is under development and these targets will be updated accordingly, whilst maintaining the same level of ambition.  
Currently, there is no data to assess the distance to the targets. 
Assuming the ambition of the targets, attention might be paid in the implementation phase at Member State level.  
</t>
  </si>
  <si>
    <t xml:space="preserve">On average, the packaging waste generated increased from 157 kg per person in 2011 to 178 kg per person in 2020. Most Member States have reported a steady growth in packaging waste generation per capita in the period of 2011-2020, particularly Romania, Bulgaria, Croatia, Hungary, Poland and Czechia[93]. Currently, none of the Member States is on track to reach the packaging waste reduction targets.  </t>
  </si>
  <si>
    <t xml:space="preserve">Data for these targets is only available for 2020 in Eurostat. However, based on the analysis performed in the impact assessment of the Proposal for a Directive amending Directive 2008/98/EC on waste [96], it is possible to estimate that the target is feasible, but progress needs to accelerate to reach the target value. </t>
  </si>
  <si>
    <t xml:space="preserve">Data are only available for 18 Member States, 12 Member States have already achieved the 2025 target. The 6 other Member States that are not yet meeting the target have indicated a clear drop from 2018 plastic bag consumption values, suggesting that these Member States are on track to reach the 2025 target. Currently, data are not available for the following 9 Member States: Bulgaria, Denmark, Estonia, Greece, Italy, Malta, Netherlands, Romania and Finland [92].   </t>
  </si>
  <si>
    <t xml:space="preserve">For all packaging, at EU level, the 2025 recycling rate target is feasible. However, 10 Member States are at risk of missing the 2025 target, including Bulgaria, Croatia, Cyprus, Greece, Hungary, Lithuania, Malta, Poland, Romania and Slovakia [90]. </t>
  </si>
  <si>
    <t xml:space="preserve">Plastic is the most critical packaging category for which the targets are clearly above current levels of recycling. 19 Member States are at risk of missing the 2025 target, including Austria, Bulgaria, Croatia, Cyprus, Denmark, Finland, France, Greece, Hungary, Ireland, Italy, Latvia, Luxembourg, Malta, Poland, Portugal, Romania, Slovakia and Spain [90]. </t>
  </si>
  <si>
    <t xml:space="preserve">Existing data provides little information on the current recycled content in plastic packaging. For ‘PET bottles’, the recycled content is estimated to be between 11.7% to 17% [88], [89]. As such, acceleration is needed to achieve the 2025 and 2030 recycled plastic content targets in ‘PET bottles’.  </t>
  </si>
  <si>
    <t xml:space="preserve">The achievement of the 2025 and 2029 collection targets seems to be mainly depending on the type of collection system implemented by the Member States. Member States using deposit return systems (DRS) can achieve higher separate collection rates than those not implementing DRS [89]. In fact, the 7 Member States that have implemented DRS have already achieved the 2025 target. From those without DRS, only Belgium has achieved the 2025 and 2029 targets [89]. The widely planned uptake of DRS until 2025 suggests that more Member States may reach the targets.  </t>
  </si>
  <si>
    <t xml:space="preserve">Currently, 18 Member States are at risk of missing the 2025 target for preparing for the re-use and recycling of municipal waste. These include Bulgaria, Croatia, Cyprus, Estonia, Finland, France, Greece, Hungary, Ireland, Latvia, Lithuania, Malta, Poland, Portugal, Romania, Slovakia, Spain and Sweden [90]. </t>
  </si>
  <si>
    <t xml:space="preserve">Based on the existing draft guidance for calculation and verification rules for recycling efficiency, the targets for lead-acid, nickel-cadmium and other waste batteries are feasible. 
Since, for lead-acid batteries, the battery chemistry and related recycling technologies are fully mature and efficient. For both nickel-cadmium and other waste batteries, it will be important to monitor the performances due to the evolving market for these chemistries.  
</t>
  </si>
  <si>
    <t xml:space="preserve">Based on the current draft guidance for the calculation and verification rules for material recovery, the targets for cobalt, copper, lead and nickel are feasible.  </t>
  </si>
  <si>
    <t xml:space="preserve">For wooden packaging, at EU level, the recycling rates are very feasible or have already been achieved. Nonetheless, Croatia and Malta are at risk of missing the 2025 target [90]. </t>
  </si>
  <si>
    <t xml:space="preserve">Considering the high recycling rates for metallic packaging, at EU level2, the 2025 and 2030 recycling targets seem achievable. However, 5 Member States are at risk of missing the 2025 target, including Croatia, Denmark, Malta, Portugal and Romania [90]. </t>
  </si>
  <si>
    <t xml:space="preserve">Similarly for aluminium, the high recycling rates registered for metallic packaging suggest that both recycling targets are achievable, at least at EU level. Nonetheless, 9 Member States are at risk of missing the 2025 target, including Croatia, Cyprus, Czechia, Greece, Malta, Portugal, Romania, Slovakia and Spain [90]. </t>
  </si>
  <si>
    <t>For glass packaging, at least at EU level, the recycling rate targets are very feasible or have already been achieved. Several Member States are at risk of missing the 2025 target, including Bulgaria, Croatia, Cyprus, Greece, Hungary, Lithuania, Malta, Poland, Portugal and Romania [90].</t>
  </si>
  <si>
    <t xml:space="preserve">For paper and cardboard packaging, at least at EU level, the recycling rate targets are very feasible or have already been achieved. Nonetheless, Croatia, Malta, Slovakia and Spain are at risk of missing the 2025 target [90]. </t>
  </si>
  <si>
    <t xml:space="preserve">Most EU Member States have already set up a separate collection system for textile waste, in preparation of this mandatory target. 
</t>
  </si>
  <si>
    <t>new, asked Monica</t>
  </si>
  <si>
    <t>No data available</t>
  </si>
  <si>
    <t>check Matteo</t>
  </si>
  <si>
    <t>Difficult to identify KPIs covering different high speed connectivity aspects</t>
  </si>
  <si>
    <t xml:space="preserve">Use of collective transport modes for passenger transport and non-road transport modes for freight transport in Europe </t>
  </si>
  <si>
    <t>no gap analysis. Data: Statistical pocketbook 2022, SDG_09_69, SDG_09_50.</t>
  </si>
  <si>
    <t>asked to Monica, also to Isabel and Thomas</t>
  </si>
  <si>
    <t>It is very difficult to capture all external costs and how they are covered by the transport users.</t>
  </si>
  <si>
    <t>moved from area 1 to 4</t>
  </si>
  <si>
    <t>Synthetic fuels are not available on the market, conversion pathways are at early technology development levels, facing major techno-economic challenges. The target for 2025 seems unlikely to be reached.</t>
  </si>
  <si>
    <t>Renewable fuels of non-biological origin (RFNBO)
moved from area 1 to 4</t>
  </si>
  <si>
    <t>Synthetic fuels are not available on the market, conversion pathways are at early technology development levels, facing major  techno-economic challenges</t>
  </si>
  <si>
    <t>Share of aviation fuels</t>
  </si>
  <si>
    <t>Several plants are being built to produce sustainable aviation fuels and sustainable aviation fuels are tested by companies. The contribution of aviation fuels is practically negligible currently. No sustainable biofuel use was reported in Eurostat in aviation in 2021</t>
  </si>
  <si>
    <t xml:space="preserve">Sustainable and smart mobility + Greenhouse gas emission (PF8) </t>
  </si>
  <si>
    <t>The EEA projections suggest that, even with measures currently planned in the Member States, emissions from domestic navigation are projected to remain relatively stable in the coming years. International maritme transport emissions are projected to continue increasing.</t>
  </si>
  <si>
    <t>partially covered by "Use of collective transport modes for passenger transport and non-road transport modes for freight transport in Europe"</t>
  </si>
  <si>
    <t>Gap analysis not present. We also don't specify a trend to compare to. Data: Statistical pocketbook 2022, SDG_9_60, SDG_9_50</t>
  </si>
  <si>
    <t>Share of renewable and low-carbon fuels in international maritime transport fuel mix</t>
  </si>
  <si>
    <t>The contribution of renewable and low-carbon fuels in maritime is practically negligible currently.  No sustainable biofuel use was reported in Eurostat in maritime in 2021</t>
  </si>
  <si>
    <t>Progress is slow and might be even reversing in some cases. Currently it does not seem a viable economic option to maintain a large network of HRS</t>
  </si>
  <si>
    <t>31.5 bcm from 2021. Biomethane production in 2021 reached 3.5 bcm; this target requires additional 5,000 plants. </t>
  </si>
  <si>
    <t>moved from area 1 to 4, check the assessment, looking at EEA projections</t>
  </si>
  <si>
    <t>Decarbonisation of ROAD transport (PF6) + Greenhouse gas emission (PF8) + Sustainable and smart mobility</t>
  </si>
  <si>
    <t>GHG emission from transport</t>
  </si>
  <si>
    <t xml:space="preserve">The current steady reduction of emissions is expected to continue in the coming decades. 
More info at https://www.eea.europa.eu/en/analysis/indicators/greenhouse-gas-emissions-from-transport?activeAccordion=309c5ef9-de09-4759-bc02-802370dfa366
Following six years of steady growth in greenhouse gas emissions from the EU’s transport sector, transport emissions dropped substantially in 2020 because of reduced activity during the COVID-19 pandemic. Preliminary estimates of emissions in 2021 indicate a rebound of 8.6% in transport, followed by further growth of 2.7% in 2022. National projections compiled by the European Environment Agency (EEA) suggest that, even with measures currently planned in the Member States, domestic transport emissions will only drop below their 1990 level in 2032. </t>
  </si>
  <si>
    <t>there is an idicator (Use of collective transport modes for passenger transport and non-road transport modes for freight transport in Europe ) for the use of public transport</t>
  </si>
  <si>
    <t>Decarbonisation of ROAD transport (PF6)</t>
  </si>
  <si>
    <t xml:space="preserve">12.7% of all new busses registered in the EU27 in 2022 were BEV. </t>
  </si>
  <si>
    <t>"Use of collective transport modes for passenger transport and non-road transport modes for freight transport in Europe "</t>
  </si>
  <si>
    <t>No gap analysis. Data: Statistical pocketbook 2022, SDG_09_60, SDG_09_50</t>
  </si>
  <si>
    <t>Amending Regulation (EU) 2019/631 as regards strengthening the CO2 emission performance standards for new passenger cars and new light commercial vehicles in line with the Union’s increased climate ambition</t>
  </si>
  <si>
    <t>From 1 January 2025, a zero- and low-emission vehicles' benchmark equal to a 25 % share of the respective fleets of new passenger cars and 17% of the respective fleets of new light commercial vehicles shall apply in accordance with points 6.3 of Parts A and B of Annex I, respectively.</t>
  </si>
  <si>
    <t xml:space="preserve">share of zero- and low-emission vehicles' benchmark for new passenger cars </t>
  </si>
  <si>
    <t>25% by 2025</t>
  </si>
  <si>
    <t>12% share of BEV in first half 2023. NIR data set for EVs indicates around 2.5 million lower than the plan set out for 2025 (to have 13 million zero- and low-emission vehicles on EU roads). Even with contribution of fuel cell electric vehicles (FCEV) (another 88,000 vehicles according to the NIRs), the complete NIR estimates are around 20% lower than the GD goal for 2025.</t>
  </si>
  <si>
    <t>share of zero- and low-emission vehicles' benchmark for new light commercial vehicles (Vans)</t>
  </si>
  <si>
    <t>17% by 2025</t>
  </si>
  <si>
    <t>For vans, the new registration share of BEV and PHEV together was 5% in 2022.</t>
  </si>
  <si>
    <t xml:space="preserve">From 1 January 2025, the following EU fleet-wide targets shall apply: (a) for the average emissions of the new passenger car fleet, an EU fleet-wide target equal to a 15 % reduction of the target in 2021 
From 1 January 2030, the following EU fleet-wide targets shall apply: (a) for the average emissions of the new passenger car fleet, an EU fleet-wide target equal to a 55 % reduction of the target in 2021
From 1 January 2035, the following EU fleet-wide targets shall apply: (a) for the average emissions of the new passenger car fleet, an EU fleet-wide target equal to a 100 % reduction of the target in 2021 </t>
  </si>
  <si>
    <t>Reductions of CO2 emissions in the annual new passenger car fleet, compared to the target of 2021</t>
  </si>
  <si>
    <t>15% CO2 reduction (corresponding to 93.6 g/km) by 2025, 55% (49.5 g/km) by 2030, 100 % (0 g/km) by 2035</t>
  </si>
  <si>
    <t xml:space="preserve">Emissions decreasing, today at 110 g/km (reaching 2021 WLTP ref.), but still above 2025 target. On-road real world emissions (JRC certified) still about 140 g/km
</t>
  </si>
  <si>
    <t xml:space="preserve">From 1 January 2025, the following EU fleet-wide targets shall apply: (a) for the average emissions of the new light commercial vehicles fleet, an EU fleet-wide target equal to a 15 % reduction of the target in 2021 
From 1 January 2030, the following EU fleet-wide targets shall apply: (a) for the average emissions of the new light commercial vehicles fleet, an EU fleet-wide target equal to a 55 % reduction of the target in 2021
From 1 January 2035, the following EU fleet-wide targets shall apply: (a) for the average emissions of the new light commercial vehicles fleet, an EU fleet-wide target equal to a 100 % reduction of the target in 2021 </t>
  </si>
  <si>
    <t>Reductions of CO2 emissions in the annual new light commercial vehicles (Vans) fleet, compared to the target of 2021</t>
  </si>
  <si>
    <t>15% CO2 reduction (corresponding to 153.9  g/km) by 2025, 55% (90.6  g/km) by 2030, 100 % (0 g/km) by 2035</t>
  </si>
  <si>
    <t xml:space="preserve">Emissions decreasing, today at 181 g/km (reaching 2021 WLTP ref.). On-road real world emissions above 200 g/km </t>
  </si>
  <si>
    <t xml:space="preserve">CO2 emissions reduction from HDV (heavy duty vehicles) </t>
  </si>
  <si>
    <t>The average specific CO2 emissions of new heavy-duty vehicles in groups 4, 5, 9 and 10 has decreased by 0.55%, from 52.75g/t.km in 2019 to 52.45g/t.km in 2020. If the same yearly reduction rate persists, the reduction target will not be achieved in time.</t>
  </si>
  <si>
    <t>Initiative are ongoing and deployment of electrolysers is increasing, but it is unlikely that the target of deploying 6 GW of hydrogen generation capacity will be reached by the end of 2024</t>
  </si>
  <si>
    <t>NIR data set for RPs indicates around 374,600 lower than the goal set out for 2025 (-37.5%). Even considering also hydrogen public refuelling points (i.e. at least 850 points in 2025), NIR figures remain considerably lower (- 37.4%). The gap with the EU goals decreases in relative terms when considering the 2030 target for RPs. In this case, the NIR estimates are around 654,300 lower (-21.8%). NIR hydrogen points for 2030 have not been counted, as the EU goal apparently refers only to BEVs and public recharging points.</t>
  </si>
  <si>
    <t>This target could be reached in a few MSs, but for the majority we do not have information. Hydrogen was not mandatory in the AFID 2014/94/EU. That target is mandatory for the AFIR  (EU) 2023/1804 applicable from 13 April 2024.</t>
  </si>
  <si>
    <t xml:space="preserve">Considering the gross weight of goods transported, in thousand tonnes: in short sea shipping it increased by 7.4% the last 6 years (2021 compared to 2015), while in inland waterways it decreased by -9.8%. Summing the thousand tonnes, the values shows an increase of 4.4% from 2015 to 2021. The trend is going in the right direction, but not with the desired pace to reach the target of +25% by 2030.   </t>
  </si>
  <si>
    <t>The rail freight traffic, measured in billion tonne-kilometres (tkm), showed an increase of 2.8% in 2021 compared to 2015. The trend is going in the right direction, but not with the desired pace to reach the target of +50% by 2030.</t>
  </si>
  <si>
    <t xml:space="preserve">The trend of the high-speed rail transport, in terms of billion passengers-kilometres (pkm), showed an increase from 2010 until 2019 (+25% in 9 years) with a fall in 2020 due to the Covid crisis, and then a small increase again in the last year when data is available (2021). If the trend continues to grow as expected before 2020, it goes in the right direction but a strong acceleration is needed to reach the target by 2030 and 2050.  </t>
  </si>
  <si>
    <t>Share of biofuels</t>
  </si>
  <si>
    <t>The contribution of advanced biofuels and biogas produced from the feedstock listed in Part A of Annex IX in transport already reached 0.8 % in 2021 (without multipliers). Future developments depend on the availability of Part A of Annex IX feedstock</t>
  </si>
  <si>
    <t>Road traffic deaths in EU showed a decrease of 63% in the last 21 years (from 53419 in 2000 to 19917 in 2021). The number of railway passenger killed in accidents involving railway decreased of 60% in 10 years (from 1092 in 2012 to 683 in 2021). The number of air transport lives lost is variable every year, but the decreasing trend is clear in the last decade. 
UNR157 and EU Regulation 2022/1426 represent two important milestones in this area as they allow the introduction of automated vehicles of different levels in the EU market. Even if their effect on road fatalities will hardly be visible in the years to come, on the long run, automated vehicles are considered an essential tool to achieve vision zero. For the time being the two regulations require that AVs to be placed on the market guarantee the same safety level of a competent and careful human driver supported by state-of-the-art vehicle technologies. 
Another aspect worth mentioning is the plan to put in place a Road Transport Agency in the EU.</t>
  </si>
  <si>
    <t>3</t>
  </si>
  <si>
    <t>reduction of fossil-fuel consumption per kg of landed product</t>
  </si>
  <si>
    <t>Sustainable fuels (PF2) ?</t>
  </si>
  <si>
    <t>Member States shall ensure that along the TEN-T core network, publicly accessible recharging pools dedicated to light-duty vehiclesdeployed in each direction of travel with a maximum distance of 60 km in-between them offering a power output of at least 600kW and including at least one recharging point with an individual power output of at least 150 kW</t>
  </si>
  <si>
    <t>Member States shall ensure that along the TEN-T comprehensive network, publicly accessible recharging pools dedicated to light-duty vehiclesdeployed in each direction of travel with a maximum distance of 60 km in-between them offering a power output of at least 600kW and including at least one recharging point with an individual power output of at least 150 kW</t>
  </si>
  <si>
    <t>Member States shall ensure a minimum coverage of publicly accessible recharging points dedicated to heavy-duty electric vehicles in their territory.To that end, by 31 December 2025, along at least 15 % of the length of the TEN-T road network, publicly accessible recharging pools dedicated to heavy-duty electric vehicles are deployed in each direction of travel and that each recharging pool offers a power output of at least 1 400 kW and includes at least one recharging point with an individual power output of at least 350 kW</t>
  </si>
  <si>
    <t>By 31 December 2027, along at least 50 % of the length of the TEN-T road network, publicly accessible recharging pools dedicated to heavy-duty electric vehicles are deployed in each direction of travel and that each recharging pool: (i) along the TEN-T core road network, offers a power output of at least 2 800 kW and includes at least two recharging points with an individual power output of at least 350 kW; (ii) along the TEN-T comprehensive road network, offers a power output of at least 1 400 kW and includes at least one recharging point with an individual power output of at least 350 kW</t>
  </si>
  <si>
    <t>by 31 December 2030, along the TEN-T core road network, publicly accessible recharging pools dedicated to heavy-duty electric vehicles are deployed in each direction of travel with a maximum distance of 60 km between them and that each recharging pool offers a power output of at least 3 600 kW and includes at least two recharging points with an individual power output of at least 350 kW;</t>
  </si>
  <si>
    <t>by 31 December 2030, along the TEN-T comprehensive road network, publicly accessible recharging pools dedicated to heavy-duty electric vehicles are deployed in each direction of travel with a maximum distance of 100 km between them and each recharging pool offers a power output of at least 1 500 kW and includes at least one recharging point with an individual power output of at least 350 kW</t>
  </si>
  <si>
    <t>Member States shall ensure that a minimum shore-side electricity supply for seagoing container and passenger ships is provided in maritime ports by 1 January 2030 to meet at least 90% of their demands. More specifics according to the type of ports are available in the Regulation</t>
  </si>
  <si>
    <t>At least 30 million zero-emission vehicles will be in operation on European roads</t>
  </si>
  <si>
    <t>asked to  MENGOLINI Anna (JRC-PETTEN) and KOUKOUFIKIS Giorgos from PF20 C7</t>
  </si>
  <si>
    <t>Sustainable cities + Greenhouse gas emission (PF8)</t>
  </si>
  <si>
    <t>ask to evaluate</t>
  </si>
  <si>
    <t>F2F Monitoring System - from Food System Fiche (Annex II)</t>
  </si>
  <si>
    <t>No adequate indicator is available at the moment to assess this objective.</t>
  </si>
  <si>
    <t xml:space="preserve">The Overview Report on the Use of Indicators for Animal Welfare at Farm” of DG SANTE recommended the use of the five freedoms (British Farm Animal Welfare Council): 1) Freedom from hunger and thirst, 2) Freedom from discomfort, 3) Freedom from pain, injury or disease, 4) Freedom to express normal behaviour, 5) Freedom from fear and distress. The majority of the EU requirements for animal welfare at farm focus on the provision of resources rather than animal based requirements. Consequently, only limited data are available for measuring these latter. While freedom 1) is the absolute precondition of welfare, its real progress could be measured in areas of freedom 2-5. An overarching indicator would be to look at stocking densities of various species. However such (or other relevant) data are not reported at EU level. </t>
  </si>
  <si>
    <t>Food Waste (F2F Monitor 0270 - Headline)</t>
  </si>
  <si>
    <t xml:space="preserve">The indicator measures the amount of food waste for all stages of the supply chain reported by the MS. Note that  at the moment two data points are available, 2020 and 2021, therefore it is still early to define a clear trend. The MS should report on food waste every four years. </t>
  </si>
  <si>
    <t>Cannot be currently assessed due to lack of data.</t>
  </si>
  <si>
    <t>8</t>
  </si>
  <si>
    <t xml:space="preserve">Indicator 0015 - Obesity rate by body mass index (BMI). </t>
  </si>
  <si>
    <t>The indicator as reported in Eurostat indicates that the proportion of overweight adults in the EU has slightly increase from 51% in 2014 to 53% in 2019. Reversing the prevalence of overweight in the EU remains a public health challenge considering the negative trends observed.</t>
  </si>
  <si>
    <t>Final energy consumption in agriculture, forestry and food industry</t>
  </si>
  <si>
    <t>Overall, there has been an increase in energy consumption for both agriculture and forestry, as well as the overall food industry, by 7.4 % and 13.5% respectively compared to 2011. The annual rate of increase is 0.8% for agriculture and forestry and 1.7% for the food industry. Across Europe, these two sectors have consumed 54,317 thousand tonnes of oil equivalent, evenly split between them. France and Germany lead in total energy consumption. For the overall food industry, there has been a noticeable decrease of 1% in France, while Germany experienced an increase of 5.8% compared to 2011. In agriculture and forestry, France and the Netherlands lead in energy consumption, with increases of 1.3% and 9.9%, respectively. Consequently, efforts are required to enhance energy efficiency and achieve the objective of reducing energy consumption at the EU level.</t>
  </si>
  <si>
    <t>Common Farmland Birds Indicator</t>
  </si>
  <si>
    <t>Birds are sensitive to environmental pressures and their populations can reflect changes in the health of the environment. Long-term trends show that between 1990 and 2021, the index decreased by 36% in the EU. At present, it seems unlikely that the decline in populations of common farmland birds can be reversed by 2030. To ensure the recovery, Member States need to significantly increase the implementation of existing policies and put new appropriate conservation and restoration objectives and measures in place.</t>
  </si>
  <si>
    <t>According to JRC study, the EU food system is transgressing some Planetary Boundaries including climate change and novel entities (particulate matter, freshwater ecotoxicity). JRC study reference: Sala, S., De Laurentiis, V. and Sanye Mengual, E., Food consumption and waste: environmental impacts from a supply chain perspective, European Commission, 2023, JRC129245.</t>
  </si>
  <si>
    <t>Indicator 0284 - Consumer food inflation</t>
  </si>
  <si>
    <t xml:space="preserve">Indicator 0284 - Consumer food inflation
Indexed to 2015 – Increase from 80.52% (2005) to 125.18% (2022). Since 2015, the increase has been 25%
Indicator 0065 - Price indices of the means of agricultural production, input
In real prices, the goods and services currently consumed in agriculture became almost 26% more expensive since 2015, while the goods and services contributing to agricultural investment increased by 8%. Combined, the increase of total inputs was 22%.
</t>
  </si>
  <si>
    <t>Employment by economic activity. It gives total employment in agriculture, the food industry and food services in absolute terms and also as a share of total employment.</t>
  </si>
  <si>
    <t xml:space="preserve">The employment in the food sector by economic activity has decreased over the last decade, from 8,474 (in 2013) to 6,326 (in 2022) million persons. During this period the mean annual decrease was 2.88% based on CGAR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t>
  </si>
  <si>
    <t>Indicator 0282 -  Headline indicator: Self-sufficiency rates - commodities</t>
  </si>
  <si>
    <t>This indicator is very dependent on the type of commodity, as there are commodities that are not even produced in the EU in significant quantities (e.g. soya). Within the “main” commodities, the EU is self-sufficient in meat, but has a 17% deficit in dairy. As for cereals, the EU is self-sufficient in soft wheat and barley, but not in maize.</t>
  </si>
  <si>
    <t xml:space="preserve">F2F Monitoring System - from Food System Fiche (Annex II) - changed, previously it was "Create a healthy and sustainable food environment"  </t>
  </si>
  <si>
    <t>Prevalence of moderate or severe food insecurity in the population</t>
  </si>
  <si>
    <t>In Europe, the FAO estimated prevalence of moderate or severe food insecurity was 8% in 2022. This figure has remained stable since 2014 indicating slow progress on this indicator. Among EU countries, values for 2022 ranged between 3% in Luxembourg and 16% in Romania and Bulgaria.</t>
  </si>
  <si>
    <t>Percent of the population who cannot afford a healthy diet</t>
  </si>
  <si>
    <t>The percent population who cannot afford a healthy diet as reported by FAO and the World Bank for global monitoring. A healthy diet is considered unaffordable when its cost exceeds 52 percent of income per capita per day. This percentage accounts for a portion of income that can be credibly reserved for food, based on observations that the population in low-income countries spend, on average, 52 percent of their income on food. The estimated proportion of the population who cannot afford a healthy diet in Europe has dropped from 2.5% in 2017 to 1.5% in 2021. Across EU countries, values ranged between &lt;1% for several countries and 7% in Romania in 2021. The indicator does not account for non-food spending and likely underestimates food affordability issues in the context of the EU region.</t>
  </si>
  <si>
    <t>Ratio plant to total protein supply</t>
  </si>
  <si>
    <t>The ratio plant to total protein supply indicator is derived from FAO supply data. It examines the contribution of plant food sources to total protein (animal+plant) supply and can inform on the transition towards more plant-based food diets based on food supply data. Since 2012, a slight decrease has been observed across most EU countries (between 1 and 5%) suggesting plant food sources are contributing less to protein supply in relation to animal food sources. Data from national dietary surveys can provide actual food consumption estimates and better inform about the transition towards healthy, sustainable diets.</t>
  </si>
  <si>
    <t>F2F Monitoring System - from Food System Fiche (Annex II)
similar target with Biodiv strategy and Zero Pollution</t>
  </si>
  <si>
    <t>Water quality - Nitrates in groundwater (F2F Monitor 0087 - Headline, ESTAT SDG_06_40). Phosphate in rivers (F2F Monitor 0032 - Pool, ESTAT SDG_06_50)</t>
  </si>
  <si>
    <t>The EU aggregate based on 18 MS show a positive trend (– 0.7 % annual growth rate) between 2015-2020. However, this slight reduction still far away from the 50% aimed by 2030. It should be noted that the long-term trend (2005-2020) for the EU aggregate was slighlty negative (0.003 % annual growth rate). The amount of phosphate in rivers at EU level showed negative trend (4.4 % annual growth rate) in short-run (2015-2020) and positive trend (– 0.5 % annual growth rate) in long-run (2005-2020).</t>
  </si>
  <si>
    <t>Increase sustainable fishing and aquaculture. Bring fish stocks to sustainable levels. Significant increase in organic aquaculture (target in common with CFP)</t>
  </si>
  <si>
    <t xml:space="preserve">Fishing pressure relative to maximum sustainable yield (trends in F/FMSY) #0008 - Headline
Organic aquaculture production. (EUMOFA report), Proportion of organic aquaculture production (EUMOFA report, F2F Monitor 0307 - Placeholder). </t>
  </si>
  <si>
    <t xml:space="preserve">This is the most relevant existing indicator for tracing the reduction in fishing effort that is still partly responsible for overfishing in EU seas for the F2F objective "sustainable level of fish stocks" (current CFP indicator). The trend of this indicator shows the progress made towards the first desired value of 1 (1.99 in 2004, 1.17 in 2020), noting however that the median of F/FMSY equal to 1 indicates that only 50% of the included stocks are likely to be sustainably managed in terms of fishing effort. The 2013 CFP reform sought to achieve sustainable exploitation of all stocks by 2020. The intermediate target of 1 value was not reached (the lower value the better).
According to EUMOFA, based on EU (EUROSTAT) and national sources, the total organic aquaculture production in the EU-27 is estimated at 74.032 tonnes in 2020 accounting for 6,4% of the total EU aquaculture production. The EU organic aquaculture production in 2015 was estimated at 46.341 tonnes at EU 27 level (49.723 tonnes at EU 28 level), accounting for 4% of the EU aquaculture sector. Therefore the trend is positive, there is a significant increase (60% in 5 years) in organic aquaculture at EU level, however the share of the total aquaculture production has decreased and shows a relatively low proportion (4%). A strong growth of organic aquaculture is observed in Italy, France, Spain, Germany, Denmark and Bulgaria, while a decrease is reported in Ireland and Hungary. </t>
  </si>
  <si>
    <t>Indicator: GHG food system emissions. (Headline).   https://edgar.jrc.ec.europa.eu/edgar_food</t>
  </si>
  <si>
    <t>The trend (from 1990 to 2018) for the whole EU is in the desired direction to reach the target. However, the lack of current data, and the unpredictability of certain components of this indicator, make the prediction to 2030 very uncertain to assess the distance from the target by 2030. In 2018 (the last recorded year in the time series) the global EU emissions represented 85.86% of the emissions in 1990).</t>
  </si>
  <si>
    <t>Water use in agriculture (WEI+)</t>
  </si>
  <si>
    <t>Overall, using a 3-year moving average, the EU27 has seen a 14% improvement in the Water Exploitation Index (WEI+) compared to 2011. This improvement was observed in 14 Member States (MSs). However, further improvements are necessary. Efforts are needed to reduce the inequality in total water use as a percentage of the renewable freshwater resources (groundwater and surface water) between MSs, especially in the Mediterranean area. For example, Cyprus had a WEI+ of 102 in 2019, in contrast to France's 2.6. Seven MSs recorded a WEI+ score of less than 1, indicating that their water storage capacity exceeded their consumption.</t>
  </si>
  <si>
    <t xml:space="preserve">Increase organic farming with the aim to achieve at least 25% of total farmland under organic farming by 2030 (target in common with the Biodiversity Strategy 2030)  </t>
  </si>
  <si>
    <t xml:space="preserve">Area under organic farming (% of the total utilised agricultural area). </t>
  </si>
  <si>
    <t xml:space="preserve">Moderate progress rate, but not enough to reach the target by 2030. Compound annual growth rate (CAGR): 6.7% per year (observed i.e. increased from 5.6% to 9.1% (2012-2020)) and 9.3% per year (required to meet target). </t>
  </si>
  <si>
    <t>Indicator 0077 - Agricultural and food products trade balance</t>
  </si>
  <si>
    <t>Trade balance of food products has increased. Between 2002 and 2022, the EU28 transformed from a net importer to a net exporter of food products, with a positive trade balance of 40 billion EUR (current prices). However, we are still a net exporter of both agricultural products and fish and fish products. In aggregate, the EU became a net exporter of agricultural products, fish and fish products and food products in 2020 and continues to be one, although the growing trend was discontinued in 2022.</t>
  </si>
  <si>
    <t>Indicator 0212 - Annual road freight transport by distance class</t>
  </si>
  <si>
    <t>There have been almost no changes in the number of tonnes transported in the difference distance categories. Since 2013, approximately 30% of the freight is transported less than 50 km, and another 30% is transported between 50 and 150 km.</t>
  </si>
  <si>
    <t>Sales of antimicrobials for food producing animals (F2F Monitor 0099 - Headline)</t>
  </si>
  <si>
    <t xml:space="preserve">The sales of antimicrobials for use in food-producing animals in Europe (25 countries) fell considerably since 2011. The sales decreased in 22 countries by a range between 5% and 65%. However, 1 country saw only a minor reduction in sales while 2 countries saw sales increase by more than 5%. By 2021, EU Member States had already achieved around one third of this overall reduction target. (18 % reduction in EU sales of antimicrobials for farmed animals and in aquaculture compared with the 2018 baseline). </t>
  </si>
  <si>
    <t>Reduce by 50% the use of more hazardous pesticides (target in common with the Biodiversity Strategy and Zero Pollution Action Plan)</t>
  </si>
  <si>
    <t>F2F Monitoring System - from Food System Fiche (Annex II)
same target with Biodiversity. The conclusion is the same (checked with the Biodiv fiche)</t>
  </si>
  <si>
    <t>Use of more hazardous pesticides (F2F Monitor 0028 - Headline, ESTAT SDG_02_52)</t>
  </si>
  <si>
    <t>According to a trend analysis by DG SANTE, the use of more hazardous pesticides fell by 26 % between the baseline period of 2015–2017 and 2020. The use of more hazardous pesticides shows an increase of 5% from 2020, and an overall decrease - in the first 4 years - of 21% from the baseline period of 2015-2017. The overall downward trends, in the first 4 years, shows that the target can be achieved by 2030.</t>
  </si>
  <si>
    <t>Reduce by 50% the use and risk of chemical pesticides (target in common with the Biodiversity Strategy and Zero Pollution Action Plan)</t>
  </si>
  <si>
    <t>Use and risk of chemical pesticides (F2F Monitor 0211 - Headline)</t>
  </si>
  <si>
    <t>According to a trend analysis by DG SANTE, the use and risk of chemical pesticides decreased by 14 % between the baseline period of 2015–2017 and 2020. The use and risk of chemical pesticides shows a decrease of 6% from 2020, and an overall decrease - in the first four years - of 33% from the baseline period of 2015-2017. The overall downward trends, in the first 4 years, shows that the target can be achieved by 2030.</t>
  </si>
  <si>
    <t>Number of plant genetic resources for food and agriculture secured in either medium- or long-term conservation facilities</t>
  </si>
  <si>
    <t>The FAO progress assessment of SDG INDICATOR 2.5.1.a, for the period 1995-2021, observes a global trend of improvement in Europe, with a slowdown in improvement particularly in the last five years.</t>
  </si>
  <si>
    <t>Indicator 0072 - Farmers income compared to wages in the rest of the economy</t>
  </si>
  <si>
    <t>Indicator 0072 - Farmers income compared to wages in the rest of the economy
This indicator compares agricultural income to average wages in the economy and provides an estimate for the average income opportunities that a person would have outside of agriculture.It has increased from 31% to 52% between 2005 and 2021 at the EU level, reflecting a CAGR of 3% in this time frame. However, there are discrepancies among MSs. While in certain MSs, such as Poland and Latvia, farmers' income compared to other wages in the economy has grown more than the EU average, in other MSs like Austria and Belgium, it has experienced a slightly decreasing trend
Indicator 0075- Agricultural farm income by type of farming, region, by farm size also shows a positive trend. Farm net income has nearly doubled from EUR 17 152 in 2013 to EUR 32 107 in 2021 at the EU27 level – corresponding to a CAGR equal to 8%. There are of course discrepancies in growth rates per type of farming activity and per MS.</t>
  </si>
  <si>
    <t>Indicator 0079 - Value Added along the food chain</t>
  </si>
  <si>
    <t>Indicator 0079 - Value Added along the food chain
Value added along the food chain - measures the economic contribution in the agriculture, fishing and aquaculture, as well as the food, beverage, and tobacco sectors. Among these sectors, the food, beverage, and tobacco sector constitute the largest portion of the overall agri-food value chain (over 50%), followed by the agriculture sector.
The total value added in the food and agriculture sector has Increased from 340K in 2008 to 433.5K in 2020 in the EU, with a CAGR of 2%. The compound growth in the manufactured food sector has been higher (2,5%) than the growth in the agriculture sector (1.5%). 
Indicator 0134 - Labour productivity in agriculture, in forestry and in the food industry – also indicates a stable yet slow increase over the last decade.</t>
  </si>
  <si>
    <t>Indicator 0132 - Gross fixed capital formation in agriculture</t>
  </si>
  <si>
    <t xml:space="preserve">Gross fixed capital formation is an important indicator to assess the level of investment and development in the agricultural sector. Among MSs, the level of gross fixed capital formation varies. Most MSs surpass the EU average. While countries such as France and Germany have the highest capital formation in agriculture, some MSs lag behind e.g. Czechia, Bulgaria, Estonia.
In the EU as whole, total capital formation have Increased from 44K in 2005 to 68K in 2022 , corresponding to a CAGR of 2.8% and percentage increase of 55%. The growth rates also vary across MSs. As expected, the countries with the highest capital formation show limited growth trend e.g. Germany, while highest growth rates are observed in the countries that had lower starting values e.g. Romania, Bulgaria.
</t>
  </si>
  <si>
    <t>Indicator 0286 - Rural next generation access (NGA) broadband coverage</t>
  </si>
  <si>
    <t xml:space="preserve">Rural NGA broadband availability in NGA has significantly improved over the past decade, with the percentage of households having access increasingfrom 18% of rural households in 2013 to 73% in 2022. Most MSs remain above the EU average of 73%. However, despite of showing growth in the last decade, some MSs e.g. Poland (2013: 18%, 2022: 40%) Croatia (2013:&gt;1%, 2022: 52%) still lag behind.  
In addition, indicator 0344 - Gross fixed capital formation in fixed intangible assets, which reports on the investment of farm in intangible assets e.g. computer software, shows positive trend at the EU level. However, the complete analysis across multiple MSs  is constrained due to limited data availability in some countries.
</t>
  </si>
  <si>
    <t>Source: EUVR</t>
  </si>
  <si>
    <t>Waste generation</t>
  </si>
  <si>
    <t>In 2021, the EU residents generated 236.8 million tonnes of municipal waste, corresponding to 530 kilograms (kg) of waste per capita per year. Since 2016, the annual amount of waste generated per capita increased by 37 kg, which represents an increase of 7.5% between 2016 and 2021.
Source: EUROSTAT (2023), pagg. 209-210 (online data code: env_wasmun).</t>
  </si>
  <si>
    <t xml:space="preserve">Remove micropollutants from wastewater. An additional treatment, i.e. quaternary treatment, should therefore be introduced in order to ensure that a large spectrum of micro-pollutants is removed from urban wastewater. All urban wastewater treatment plants of 100 000 p.e. and above should provide quaternary treatment. For agglomerations of between 10 000 p.e. and 100 000 p.e., Member States should be required to apply quaternary treatment to areas identified as sensitive to pollution with micro-pollutants based on clear criteria, which should be specified. </t>
  </si>
  <si>
    <t xml:space="preserve">While secondary and tertiary wastewater treatment is being implemented compliant with Directive 91/271/EEC, several chemical micropollutants escape treatment plants and contribute to pollution of the receiving waters. Only a few Member states have already started implementing quaternary treatment for the removal of micropollutants. The ongoing revision of the Directive will require quaternary treatment for all larger plants, also based on an extended producer responsibility (EPR) scheme that will help finance the corresponding treatment costs.  </t>
  </si>
  <si>
    <t>Share of healthy soil</t>
  </si>
  <si>
    <t xml:space="preserve">The EU Soil Health Assessment estimated that 60-70% of EU soils are not in healthy condition. 25% of the EU soils and 33% of EU Agricultural soils have soil erosion rates higher than sustainability ones. Soil erosion has decreased by around 10% in the period 2000-2016, but future trends are alarming due to climate change. Soil loss by water erosion is projected to increase by 13–22.5 % in EU and UK by 2050. </t>
  </si>
  <si>
    <t>Improve soil quality by reducing nutrient losses and chemical pesticides’ use by 50% (target partially in common with the Farm to Fork strategy and Biodiversity strategy) - focus on water quality and nutrient loss</t>
  </si>
  <si>
    <t>same target of above, but focus on a specific aspect</t>
  </si>
  <si>
    <t>ZEPHIR (PF9)</t>
  </si>
  <si>
    <t>Nutrient (N and P) load in the water</t>
  </si>
  <si>
    <t xml:space="preserve">Possible reduction of nutrient inputs into marine ecosystems:  nitrogen 32 %, phosphorous 17 %.
50 % reduction of nutrient input could be achieved in four of ten examined  regions for nitrogen and in two of ten for phosphorous. </t>
  </si>
  <si>
    <t>info Zero Pollution Outlook</t>
  </si>
  <si>
    <t>Number of people highly annoyed</t>
  </si>
  <si>
    <t>Current estimates show that the number will not decline by more than 19% by 2030</t>
  </si>
  <si>
    <t>Ecosystem area in the EU-27 where the critical loads for eutrophication are exceeded (km2)</t>
  </si>
  <si>
    <t>Current and proposed EU policies do not appear sufficient to enable the EU to reduce the area of EU ecosystems under threat from air pollution by 25% in 2030 compared to 2005. However, with the implementation of the recently proposed revision of the Ambient Air Quality Directives, this target could be achieved.</t>
  </si>
  <si>
    <t xml:space="preserve">Concentration microplastics </t>
  </si>
  <si>
    <t xml:space="preserve">Microplastic concentration in soils is expected to further increase (double by 2060 compared to 2019) due to the incorporation of sewage sludge. </t>
  </si>
  <si>
    <t>Concentration of plastic litter at sea</t>
  </si>
  <si>
    <t xml:space="preserve">14 % reduction of plastic litter (in 8% of the basin surface of the Mediteranean Sea and 44 % of all beaches) with a total ban on single-use-plastic items. 
25 % reduction of plastic litter (in 50 % of the basin surface and 54 % of all beaches) with a total ban on plastic littering in the EU. </t>
  </si>
  <si>
    <t>Improve soil quality by reducing nutrient losses and chemical pesticides’ use by 50% (target partially in common with the Farm to Fork strategy and Biodiversity strategy) - focus on water quality and chemical pesticides</t>
  </si>
  <si>
    <t>Chemicals load (duoran and terbuthylazine) in water</t>
  </si>
  <si>
    <t xml:space="preserve">56 % reduction in pesticides concentration can be achieved in shelf seas, 12 % in open seas, depending on the persistence of the pesticide.  </t>
  </si>
  <si>
    <t xml:space="preserve">“During rainfall events, storm water overflows […] and urban runoff represent a sizeable remaining source of loads sent to the environment […] expected to increase due to the combined effects of urbanisation and progressive change of the rain regime due to climate change. Most of this pollution takes place during a relatively short period of time bringing suddenly, in the receiving water body, a peak of untreated pollutants including waste and litters from the streets, such as plastics and micro-plastics (‘flushing effect’). […] Part of this pollution is due to a lack of detailed provisions […]. Reporting under the WFD showed that at least 15% of UWWTPs above 10.000 p.e. are in waterbodies failing to meet the WFD ecological status due to [storm water overflows]. According to a report from the EEA, the absence of proper management measures […] combined with the increasing number of heavy rains events due to climate change are the main reasons why the limit values of the BWD for bacteria are exceeded in several EU bathing areas. The situation differs from one agglomeration to another depending on the local conditions (rainfall patterns, density of population, urbanisation green spaces), but also according to the performance of the collecting/treatment system. The Evaluation also showed that the lack of specific provisions in the Directive has led to an uneven management of the issue across the MS […]. Only very few MS have put in place systematic integrated water management approaches in their cities: the division of competences between services in charge of wastewater collection and/ortreatment, urban planning, monitoring of water bodies quality, often represents an obstacle for designing integrated, optimal and cost effective solutions” (source: SWD(2022) 541 final). The ongoing revision of the Directive will improve the homogeneity and effectiveness of response by requiring member states to set up appropriate management plans. </t>
  </si>
  <si>
    <t>Improve nutrient removal from wastewater. Tertiary treatment should be systematically imposed to all urban wastewater treatment plants of 100 000 p.e. and above, as such plants represent an important remaining source of nitrogen and phosphorus discharge. Tertiary treatment should also be mandatory in agglomerations of 10 000 p.e. and above that are discharging in areas subject to, or at risk of, eutrophication.</t>
  </si>
  <si>
    <t>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91/271/EEC. The ongoing revision of the Directive will push nutrient removal further by imposing stricter standards. This will also contribute indirectly to the reduction of GHG emissions.</t>
  </si>
  <si>
    <t>Premature deaths attributable to exposure to total PM2.5 (number of cases)</t>
  </si>
  <si>
    <t>As a result of the revision to the Ambient Air Quality Directive proposed by the Commission, it is likely that reductions by over 70%, compared to 2005 levels, can be achieved in 2030.</t>
  </si>
  <si>
    <t>Premature deaths due to exposure to fine particulate matter in Europe</t>
  </si>
  <si>
    <t>agreement - on track. Gap analysis present. Data:</t>
  </si>
  <si>
    <t>Improve soil quality by reducing nutrient losses and chemical pesticides’ use by 50% (target partially in common with the Farm to Fork strategy and Biodiversity strategy) - focus on soil quality and pesticides</t>
  </si>
  <si>
    <t>target similar to the ones above: Soil (PF9) + Biodiversity (PF10). Here the focus should be on soil quality</t>
  </si>
  <si>
    <t>Pesticide concentration in soil</t>
  </si>
  <si>
    <t xml:space="preserve">Reduction of (more hazardous) pesticide concentration in soil due to increased organic farming and other farm-to-fork objectives. </t>
  </si>
  <si>
    <t xml:space="preserve">asked to colleagues in D2 (Quaranta e Pistocchi)
not sure to keep it quantified, but we decided yes since there is a proper indicator measuring it </t>
  </si>
  <si>
    <t>The Eurostat SDG report 2023 shows a positive trend in the access to basic sanitation and connection to secondary waste water treatment. In particular, the share of the population without a bath, shower, or indoor flushing toilet in their household fell from 2.2 % in 2015 to 1.5 % in 2020. Data also show that the share of the EU population connected to secondary waste water treatment has increased continuously since 2000, reaching 81.1 % in 2020. Growth in the share of people connected to secondary treatment indicates that the Urban Waste Water Treatment Directive has helped to reduce pollution and improve water quality in Europe’s rivers, lakes and coastal waters. The ongoing revision of the Directive will bring additional improvements not only for water quality but also for access to sanitation.</t>
  </si>
  <si>
    <t xml:space="preserve">“Small agglomerations are covered by Directive [91/271/EEC] only in a very general manner and yet constitute a significant pressure on 11% of the EU’s surface water bodies (EEA): […] around 24,9% of the remaining load for BOD, 15,8% for N, 18,9% for P, 26,2% for E. coli and 9,7% for micro-pollutants. The situation varies across MS: some MS like AT, DE, SE and FR have established in their legislation that all urban wastewater needs to be treated. Other MS have set standards for smaller agglomerations with a few, like EE, IE and PT, going beyond the requirements set out in the Directive” (source: SWD(2022) 541 final). The ongoing revision of the Directive will bring additional improvements by requiring collection and treatment of wastewater for agglomerations between 1000 and 2000 p.e.  </t>
  </si>
  <si>
    <t>On persistent organic pollutants</t>
  </si>
  <si>
    <t>Member States shall identify and remove from use equipment (e.g. transformers, capacitors or other receptacles containing liquid stocks) containing more than 0,005 % PCBs and volumes greater than 0,05 dm3, as soon as possible but no later than 31 December 2025</t>
  </si>
  <si>
    <t xml:space="preserve">The ETS2 is a new EU-wide cap-and-trade economic instrument that covers the emissions from fuels in the road transport, buildings, and other (mainly smaller industries) sectors. As such, it overlaps significantly with the ESR in terms of sectors covered, but important differences are that a) it is implemented at the EU level (rather than with individual MS targets to be enacted by MS specific policies), and b) it does not cover non-CO2 emissions (many of which are from the hard-to-tackle agricultural sector). 
Between 2005 and 2022 the emissions covered by the ETS 2 fell by 16% according to own estimates of the JRC (as the instrument is a new, official reporting by the Member States is not yet available). Due to the overlapping sector coverage, similar considerations as for ESR, apply to ETS2 projections. However, the EU-wide implementation and the exclusion of agricultural emissions in ETS2 contribute to a reduced uncertainty in attaining the 2030 target compared to the ESR. </t>
  </si>
  <si>
    <t xml:space="preserve">The EU reached a 21.8 % share of its gross final energy consumption from renewable sources in 2021, with a gap of 20.7% remaining towards the 2030 target. Acceleration is needed to reach the 2030 target. </t>
  </si>
  <si>
    <t xml:space="preserve">In 2021 the EU average share was 9%, with a gap of 20%  remaining towards the 2030 target. Two Member States have already reached this target. Acceleration is needed to reach the 2030 target. </t>
  </si>
  <si>
    <t xml:space="preserve">A 2.2 percentage point annual increase leads to a share of 45% for 2030. The share was 22.9% in 2021, therefore there is a gap of 22% remaining towards the 2030 target. Acceleration is needed to reach the 2030 target.  </t>
  </si>
  <si>
    <t xml:space="preserve">Target set in 2023, data is currently not available to assess this target. </t>
  </si>
  <si>
    <t xml:space="preserve">This target aims to increase the circular material use rate (CMUR) from 11.7% in 2020 to 23.4% in 2030.  This target has been steady since 2010, registering an increase of less than 1 percentage point [101]. As such, there is a stagnation in the pace of improvement of the CMUR indicator.   </t>
  </si>
  <si>
    <t xml:space="preserve">The municipal waste recycling rate has been steadily increasing since 2010 (38%), reaching 49.6% in 2021 [100].   </t>
  </si>
  <si>
    <t xml:space="preserve">In 2021, the average landfilling rate of municipal waste was 20% (EU-27), which has been steadily decreasing since 2010 (79%) [100]. Currently, 13 Member States are still far from reaching the 2035 target on landfilling for municipal waste, including Bulgaria, Croatia, Cyprus, Czechia, Greece, Hungary, Latvia, Malta, Poland, Portugal, Romania, Slovakia and Spain [90]. </t>
  </si>
  <si>
    <t xml:space="preserve">The historical time trends (2011-2022) for the EU self-sufficiency at extraction phase for EU self-sufficiency at extraction phase for the 16 strategic materials can be extracted based on data from [97] and [98] and [99]. Results show that: 
     In 2022, cobalt, copper, lithium and nickel are above the benchmark of 10%, while for their trends have been stably above the benchmark (i.e., copper and nickel) or increased slightly in the period 2011-2022 (i.e., cobalt and lithium)3.  
    For bismuth, boron, gallium, germanium, magnesium, natural graphite, titanium, platinum group metals, heavy rare earth element (HREE) and Light Rare Earth Elements (LREE)), EU’s self-sufficiency has always been below 2%.  
    Between 2016 and 2022, EU’s self-sufficiency for manganese was below the benchmark, with values ranging from 4 to 10% in the timeframe 2016-2022. </t>
  </si>
  <si>
    <t xml:space="preserve">The historical time trends (2011-2022) for the EU self-sufficiency at processing phase for the 16 strategic materials ancan be extracted based on data from [97] and [98] and [99]. Results show that:  
    The EU’s self-sufficiency for copper, cobalt and germanium was above the benchmark in 2022. For copper, this value has been stably above 80% in the period 2011-2022. For cobalt and germanium, the trend was fluctuating and more unstable, but increasing in between 2018 and 2022.  
    The EU’s self-sufficiency was below the benchmark in 2022 for bismuth, boron, gallium, PGM, with gallium showing a drastic decrease from 2011 (100%) to 2022 (2%).  
    The EU has no self-sufficiency to process lithium, magnesium, natural graphite, titanium, HREE, LREE, while there is no sufficient data available for tungsten, nickel and manganese. 
</t>
  </si>
  <si>
    <t xml:space="preserve">The historical trends of the recycling capacity for strategic materials can be assessed looking at the evolution of the End-of-Life Recycling Input Rate (EoL-RIR) over time.   
Out of 16 strategic materials:   
    For copper, tungsten cobalt, nickel, HREE, the recycling capacity was above the 25% benchmark in 2022. 
    For bismuth, boron, gallium, germanium, lithium, natural graphite, the EoL-RIR has varied between 0% and 5%. 
    Between 2013 and 2022, for magnesium, manganese, titanium and LREE, the EoL-RIR has been stably below the benchmark. 
Half of the 16 strategic raw materials have values above the 65% target, therefore there is a low diversification of sourcing countries.  These include bismuth, gallium, lithium, magnesium, platinum group metals, HREE and LREE.  
</t>
  </si>
  <si>
    <t xml:space="preserve">Half of the 16 strategic raw materials have values above the 65% target, therefore there is a low diversification of sourcing countries.  These include bismuth, gallium, lithium, magnesium, platinum group metals, HREE and LREE.  </t>
  </si>
  <si>
    <t>Data for this indicator is available for 2020 and 2021only in Eurostat,  therefore it is still early to define a clear trend.. However, based on the analysis performed in the impact assessment of the Proposal for a Directive of the European Parliament and of the Council amending Directive 2008/98/EC on waste, it is possible to estimate that the target is feasible, but progress needs to accelerate to reach the target value (European Commission, 2023).</t>
  </si>
  <si>
    <t>Synthetic fuels are not available on the market, conversion pathways are at early technology development levels, facing major  techno-economic challenges.</t>
  </si>
  <si>
    <t xml:space="preserve">The EEA projections suggest that, even with measures currently planned in the Member States, emissions from domestic navigation are projected to remain relatively stable in the coming years. International maritime transport emissions are projected to continue increasing. 
More information on EU Agreement reached on cutting maritime transport emissions  
</t>
  </si>
  <si>
    <t xml:space="preserve">The current steady reduction of emissions is expected to continue in the coming decades.  
Following six years of steady growth in greenhouse gas emissions from the EU’s transport sector, transport emissions dropped substantially in 2020 because of reduced activity during the COVID-19 pandemic. Preliminary estimates of emissions in 2021 indicate a rebound of 8.6% in transport, followed by further growth of 2.7% in 2022. National projections compiled by the European Environment Agency (EEA) suggest that, even with measures currently planned in the Member States, domestic transport emissions will only drop below their 1990 level in 2032.  </t>
  </si>
  <si>
    <t xml:space="preserve">12% share of BEV in first half 2023. NIR data set for EVs indicates around 2.5 million lower than the plan set out for 2025 (to have 13 million zero- and low-emission vehicles on EU roads). Even with contribution of fuel cell electric vehicles (FCEV) (another 88,000 vehicles according to the NIRs), the complete NIR estimates are around 20% lower than the GD goal for 2025. </t>
  </si>
  <si>
    <t xml:space="preserve">The average specific CO2 emissions of new heavy-duty vehicles in groups 4, 5, 9 and 10 has decreased by 0.55%, from 52.75g/t.km in 2019 to 52.45g/t.km in 2020. If the same yearly reduction rate persists, the reduction target will not be achieved in time. </t>
  </si>
  <si>
    <t>Initiative are ongoing and deployment of electrolysers is increasing, but it is unlikely that the target of deploying 6 GW of hydrogen generation capacity will be reached by the end of 2024.</t>
  </si>
  <si>
    <t xml:space="preserve">Road traffic deaths in EU showed a decrease of 63% in the last 21 years (from 53419 in 2000 to 19917 in 2021). The number of railway passenger killed in accidents involving railway decreased of 60% in 10 years (from 1092 in 2012 to 683 in 2021). The number of air transport lives lost is variable every year, but the decreasing trend is clear in the last decade.  </t>
  </si>
  <si>
    <t xml:space="preserve">0.2% from 2021. The contribution of advanced biofuels and biogas produced from the feedstock listed in Part A of Annex IX in transport already reached 0.8 % in 2021 (without multipliers). Future developments depend on the availability of Part A of Annex IX feedstock. </t>
  </si>
  <si>
    <t>under assessment</t>
  </si>
  <si>
    <t>No adequate indicator is available at the moment to assess this objective</t>
  </si>
  <si>
    <t xml:space="preserve">The impacts on global species richness due to the supply chain of food products consumed in the EU (produced either in the EU or in other world regions) have increased during the last decade. This results from increasing food consumption, as well as increasing consumption of animal-based products. Main drivers of biodiversity loss are associated to land use and climate change impacts. Observed trends in consumption patterns are not expected to change to an extent to revert this trend by 2030. </t>
  </si>
  <si>
    <t xml:space="preserve">According to JRC study #(Sala et al., 2023), the EU food system is transgressing some Planetary Boundaries including climate change and novel entities (particulate matter, freshwater ecotoxicity).  </t>
  </si>
  <si>
    <t xml:space="preserve">The annual average of food prices, indexed to 2015, has increased from 80% (2005) to 125% (2022), an average yearly inflation of almost 2.5%. Since 2015, food prices have risen by 25%, and the biggest increase has taken place in 2022. 
</t>
  </si>
  <si>
    <t xml:space="preserve">This indicator gives total employment in agriculture, the food industry and food services in absolute terms and also as a share of total employment. The employment in the food sector by economic activity has decreased over the last decade, from 8,474 (in 2013) to 6,326 (in 2022) million persons. During this period the mean annual decrease was 2.88% based on CGAR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t>
  </si>
  <si>
    <t>This indicator is very dependent on the type of commodity, as there are commodities that are not even produced in the EU in significant quantities (e.g. soya). Within the “main” commodities, the EU is self-sufficient in meat, and dairy products. As for cereals, the EU is self-sufficient in soft wheat and barley, but not in maize or sorghum.</t>
  </si>
  <si>
    <t xml:space="preserve">The ratio plant to total protein supply indicator is derived from FAO supply data. The closest to 1, the highest is the contribution of plant based sources to protein supply; the average of previous 3 years is taken to reduce error variation. This indicator examines the contribution of plant food sources 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data suggests that a positive transition towards plant-based diets for more sustainable food systems is not yet observed across the EU. Data from national dietary surveys can add more information on actual food consumption estimates and better inform about the transition towards healthy, sustainable diets. </t>
  </si>
  <si>
    <t xml:space="preserve">The sales of antimicrobials for use in food-producing animals within the EU27 have fallen between 2018, the baseline year, and 2022 by an annual average of 0.859%, which represents an overall decrease of 4.2%. During this period, sales decreased in 17 Member States, with reductions ranging from 1.1% (Czech Republic) to 10.8% (Germany). Conversely, sales increased in the remaining ten Member States. Excluding Malta, whose sales represent less than 0.1% of the total EU27 sales, all other Member States saw antimicrobial sales increase by less than 5%. In Estonia, Romania, and Hungary, sales increased by less than 0.5%. However, despite this progress, by 2022, EU Member States were still far from reaching the proposed target. </t>
  </si>
  <si>
    <t>The EU aggregate based on 18 MS show a positive trend (– 0.7 % annual growth rate) between 2015-2020. However, this slight reduction is still far away from the 50% aimed by 2030. It should be noted that the long-term trend (2005-2020) for the EU aggregate was slighlty negative (0.003 % annual growth rate). The amount of phosphate in rivers at EU level showed negative trend (4.4 % annual growth rate) in the short-run (2015-2020) and positive trend (– 0.5 % annual growth rate) in the long-run (2005-2020).</t>
  </si>
  <si>
    <t>This is the most relevant existing indicator for tracing the reduction in fishing effort that is still partly responsible for overfishing in EU seas for the F2F objective "sustainable level of fish stocks" (current CFP indicator). The trend of this indicator shows the progress made towards the first desired value of 1 (1.99 in 2004, 1.17 in 2020), noting however that the median of F/FMSY equal to 1 indicates that only 50% of the included stocks are likely to be sustainably managed in terms of fishing effort. The 2013 CFP reform sought to achieve sustainable exploitation of all stocks by 2020. The intermediate target of 1 value was not reached (the lower value the better).</t>
  </si>
  <si>
    <t>The trend (from 1990 to 2018) for the whole EU is in the desired direction to reach the target. However, the lack of current data, and the unpredictability of certain components of this indicator, make the prediction to 2030 very uncertain to assess the distance from the target by 2030. In 2018 (the last recorded year in the time series) the global EU emissions represented 85.9% of the emissions in 1990).</t>
  </si>
  <si>
    <t>Overall, using a 3-year moving average, the EU27 has seen a 14% improvement in the Water Exploitation Index (WEI+) compared to 2011. This improvement was observed in 14 Member States (MSs). However, further improvements are necessary. Efforts are needed to reduce the inequality in total water use as a percentage of the renewable freshwater resources (groundwater and surface water) between MSs, especially in the Mediterranean area. For example, Cyprus had a WEI+ of 113% in 2019, in contrast to France's 2.8%. Seven MSs recorded a WEI+ score of less than 1, indicating that their water storage capacity exceeded their consumption.</t>
  </si>
  <si>
    <t>The Food Waste indicator measures the amount of food waste for all stages of the supply chain reported by the MS. Note that  at the moment two data points are available, 2020 and 2021, therefore it is still early to define a clear trend. The MS should report on food waste every year, using primary data at least once every four years. Based on the analysis performed in the impact assessment of the Proposal for a Directive of the European Parliament and of the Council amending Directive 2008/98/EC on waste, this target was not deemed to be feasible to achieve (European Commission, 2023). In the Proposal the target has been redefined with a reduction of food consumption by 30% at retail and consumption level, plus a reduction by 10% in manufacturing (see thematic area 3).</t>
  </si>
  <si>
    <t>Trade balance of food products has increased. Between 2002 and 2022, the EU28 transformed from a net importer to a net exporter of food products, with a positive trade balance of 40 billion EUR (current prices). On aggregate, the EU became a net exporter of agricultural products, fish and fish products and food products in 2020 and continues to be one, although the growing trend was discontinued in 2022.</t>
  </si>
  <si>
    <t xml:space="preserve">Rural next generation access (NGA) broadband availability has significantly improved over the past decade, with the percentage of households having access increasing from 18% of rural households in 2013 to 73% in 2022. However, the objective of achieving 100% coverage by 2025 is at risk at the current pace. Most MSs remain above the EU average of 73%. However, despite showing growth in the last decade, some MSs e.g. Poland (2013: 18%, 2022: 40%) Croatia (2013:&gt;1%, 2022: 52%) still lag behind. 
</t>
  </si>
  <si>
    <t xml:space="preserve">There have been almost no changes in the number of tonnes transported in the difference distance categories. Since 2013, approximately 30% of the freight of food products, beverages and tobacco is transported less than 50 km, and another 30% is transported between 50 and 150 km. Between 2013 and 2021, the tonnes per kilometre transported for all activities related to the food system (agriculture, fisheries, food manufacturing, trade and services) have increased by 9%, although the tonnes per kilometre transported in the food and beverages manufacturing sector decreased by 5%. </t>
  </si>
  <si>
    <t>This indicator compares agricultural income to average wages in the economy and provides an estimate for the average income opportunities that a person would have outside of agriculture. It has increased from 31% to 52% between 2005 and 2021 at the EU level, reflecting a CAGR of 3% in this time frame. However, there are discrepancies among MSs. While in certain MSs, such as Poland and Latvia, farmers' income compared to other wages in the economy has grown more than the EU average, in other MSs like Austria and Belgium, it has experienced a slightly decreasing trend.</t>
  </si>
  <si>
    <t xml:space="preserve">Value added along the food chain - measures the economic contribution in the agriculture, fishing and aquaculture, as well as the food, beverage, and tobacco sectors. Among these sectors, the food, beverage, and tobacco sector constitute the largest portion of the overall agri-food value chain (over 50%), followed by the agriculture sector. The total value added in the food and agriculture sector has Increased from 340K in 2008 to 433.5K in 2020 in the EU, with a CAGR of 2%. The compound growth in the manufactured food sector has been higher (2,5%) than the growth in the agriculture sector (1.5%).  </t>
  </si>
  <si>
    <t xml:space="preserve">This  indicator is important to assess the level of investment and development in the agricultural sector. Among MSs, the level of gross fixed capital formation varies. Most MSs surpass the EU average. While countries such as France and Germany have the highest capital formation in agriculture, some MSs lag behind e.g. Czechia, Bulgaria, Estonia. 
In the EU as a whole, gross fixed capital formation in agriculture has Iincreased from 44K in 2005 to 68K in 2022, corresponding to a CAGR of 2.8% and a percentage increase of 55%. The growth rates also vary across MSs. As expected, the countries with the highest capital formation show limited growth trend e.g. Germany, while highest growth rates are observed in the countries that had lower starting values e.g. Romania, Bulgaria. 
</t>
  </si>
  <si>
    <t xml:space="preserve">Only accessible through the passive restoration methods (i.e. as no take marine protected area) we have reached only 12% of MPA and &lt;1% are strictly protected. It could be partially achieved if the NRL will immediately implemented (including a clear financial system), as well as other BDS targets (as 30% and 10% of MPA) and MS react in time. 
The complete achievement of the target is strictly dependent on the restoration methods and selected marine ecosystems to be restored. The timescale of the recovery period varies as diverse are the marine habitats to restored. Beyond this there are other challenges that MS has to face [140] . 
Finally, the actual implementation of BDS target on EFFECTIVE marine protected areas (30% and 10% strictly protected by 2030), i.e. as passive restoration method, as well as the other directives (e.g. WFD, MSFD),  would contribute in achieving the EDG target 
Regarding the condition and restoration, there are only two ways to judge this: (a) comparison to old large fully protected MPA, and (b) use indicators that in some case need to be developed (FYI potential ongoing discussion). To our knowledge, there is no data on how impacted most areas are but maybe indicators such as e.g. present fishing of any kind will alter food webs, or bottom trawling and dredging destroys benthic habitats, etc) would contribute in the final assessment. However, we should use the precautionary principle, assuming everywhere marine ecosystem is impacted unless there is evidence to the contrary. </t>
  </si>
  <si>
    <t>Only passive restoration methods are available (i.e. no take of marine protected area), we have reached only 12% of MPA and &lt;1% are strictly protected. In addition, for sea bird species connectivity, it is important to align the BDS and the REPowerEU targets and for habitat connectivity, it is important to develop a useful indicator in time for MS reporting. Because of the current status of NRL, not enough data is available yet.</t>
  </si>
  <si>
    <t>Data on the extension of areas under restoration measures are not yet available at EU level.</t>
  </si>
  <si>
    <t>Protected areas do not necessarily mean that they have a restoration programme. Currently, data on the extension of areas under restoration is not available at EU level.</t>
  </si>
  <si>
    <t>New target. Data on restoration has not been collected systematically at EU level yet.</t>
  </si>
  <si>
    <t>No data is yet available</t>
  </si>
  <si>
    <t xml:space="preserve">The expected increase in alien species introductions and establishment of IAS due to global trade (including web trade), travel, and climate change, can lead to increased adverse impacts on biodiversity and ecosystems, human health and the economy. There are actions to mitigate the effects of IAS which should (partly) counterbalance the expected increase in impact. </t>
  </si>
  <si>
    <t xml:space="preserve">The common farmland bird index is steadily decreasing [143]  </t>
  </si>
  <si>
    <t>In the last report on the conservation status and trend in conservation status of marina habitats,  there is still a quite important percentage of UNKNOWN status (either XX or U1/U2) [142]. MS should implement more effective monitoring program to assess the status of marine habitats in order to achieve the EGD target. MS should implement more effective monitoring program to assess the status of marine habitats in order to achieve the EGD target</t>
  </si>
  <si>
    <t xml:space="preserve">Considering the last report on the conservation status and trend in conservation status of marine habitats, most of the marine areas are between categories UNFAVOURABLE (U1/U2) and UNKNOWN (XX) status.
There are some examples of restoration measures already put in place across European Sea, but without an immediate implementation of NRL, as well as other directives (e.g. BBS, WFD, MSFD), the EGD target would not be achieved
Additional observation: As mentioned before marine restoration can be achieved passively by no take MPA. Then the increase in area that is fully protected would be a reasonable indicator of restoration. No evidence that part-protection works to our knowledge, evidence of recovered species usually within 5 years but full recovery e.g., of urchin-kelp trophic cascades, may take 20 years. As restoration is by definition towards natural conditions then partly protected areas could not qualify as restoration. 
Regarding the condition and restoration, there are only two ways to judge this: (a) comparison to old large fully protected MPA, and (b) use indicators that in some case need to be developed (FYI potential ongoing discussion). To our knowledge, there is no data on how impacted most areas are but maybe indicators such as e.g. present fishing of any kind will alter food webs, or bottom trawling and dredging destroys benthic habitats, etc) would contribute in the final assessment. However, we should use the precautionary principle, assuming everywhere marine ecosystem is impacted unless there is evidence to the contrary.
</t>
  </si>
  <si>
    <t xml:space="preserve">Based on trends in the grassland butterfly index, pollinators are still declining. Another indicator that would include more pollinators is under development to better characterise the decline of pollinators. </t>
  </si>
  <si>
    <t xml:space="preserve">Considering the last report on the conservation status and trend in conservation status of marina habitats, there is still a quite important percentage of unknown status [142]. MS should implement more effective monitoring program to assess the status of marine habitats in order to achieve the EGD target </t>
  </si>
  <si>
    <t xml:space="preserve">Only passive restoration methods are available to access this target (i.e. as no take marine protected area), we have reached only 12% of MPA and &lt;1% are strictly protected </t>
  </si>
  <si>
    <t xml:space="preserve">Only passive restoration methods are available for the assessment (i.e. as no take marine protected area), we have reached 12% of MPA and &lt;1% are strictly protected. Could be partially achieved if the NRL will immediately implemented (including a clear financial system), as well as other BDS targets (i.e. 30% and 10% of MPA), and MS react in time. The complete achievement of the target also depends on the restoration methods and the marine ecosystems to be restored. The length of the recovery period varies with the marine habitats to restore. In addition, there are other challenges that MS has to face [140] Finally, the actual implementation of BDS target on EFFECTIVE marine protected areas (30% and 10% strictly protected by 2030), i.e. as passive restoration method, as well as the other directives (e.g. WFD, MSFD),  would contribute in achieving the EDG target </t>
  </si>
  <si>
    <t xml:space="preserve">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calls for further measures. </t>
  </si>
  <si>
    <t xml:space="preserve">We lack indicators to check whether we are on track or not. Seven out of the nine actions set in the EU BDS to foster biodiversity protection in the EU still need to be implemented by 2030, but they all appear on track so far. MS did not report official information reported to EEA. An independent scientific assessment [144] shows that currently only 3.5 % of protected areas are strictly protected. </t>
  </si>
  <si>
    <t xml:space="preserve">12% of EU's sea area is currently covered by protected areas, including 9% by Natura 2000 designated protected areas and 4.5% by nationally designated protected areas. </t>
  </si>
  <si>
    <t>26% of EU’s land area is currently covered by protected areas, including 18.6% by Natura 2000 designated protected areas and 17.3% by nationally designated protected areas.</t>
  </si>
  <si>
    <t xml:space="preserve">A clear picture is expected by end 2023 or early 2024. For the time being, the assessment of the trend is on-going work as planned.
</t>
  </si>
  <si>
    <t>The target has been welcomed and endorsed by Council, which is key for this target. This year COM issued guidelines [145]. However, the target still lacks a common non-ambiguous definition of what is primary and old growth forest.   
The strict protection of all primary and old-growth forests is planned to occur in 2029. The COMM and MS are working in close cooperation for achieving this target.</t>
  </si>
  <si>
    <t>In 2021, the EU residents generated 236.8 million tonnes of municipal waste, corresponding to 530 kilograms (kg) of waste per capita per year. Since 2016, the annual amount of waste generated per capita increased by 37 kg, which represents an increase of 7.5% between 2016 and 2021.
Source: EUROSTAT (2023)</t>
  </si>
  <si>
    <t xml:space="preserve">Considering water quality and nutrient losses, possible reduction of nutrient inputs into marine ecosystems: nitrogen 32%, phosphorous 17%. 50 % reduction of nutrient input could be achieved in four of ten examined regions for nitrogen and in two of ten for phosphorous. 
Source: Zero Pollution Outlook, 2022 </t>
  </si>
  <si>
    <t xml:space="preserve">Current estimates show that the number will not decline by more than 19% by 2030 Source: Zero Pollution Outlook, 2022 </t>
  </si>
  <si>
    <t xml:space="preserve">Concentration of plastic litter at sea: 14 % reduction of plastic litter (in 8% of the basin surface of the Mediterranean Sea and 44 % of all beaches) with a total ban on single-use-plastic items. </t>
  </si>
  <si>
    <t xml:space="preserve">Considering water quality and chemical pesticides, and in particular chemicals load (diuron and terbuthylazine, as examples of low- and high-persistence chemicals, respectively) in water: 56 % reduction in pesticides concentration can be achieved in shelf seas, 12 % in open seas, depending on the persistence of the pesticide.   
Source: Zero Pollution Outlook, 2022  </t>
  </si>
  <si>
    <t>The lack of detailed provisions in Directive 91/271/EEC, where in the case of heavy rain, Member States have the possibility to send directly to the environment part of the storm water overflows and urban run-off without previous treatment; and, a complex division of competences between local authorities, water and wastewater treatment services, and urban planners has led to only a few Member States implementing systematic integrated water management approaches in their urban areas [166]. The ongoing revision of the Directive will improve the homogeneity and effectiveness of response by requiring member states to set up appropriate management plans</t>
  </si>
  <si>
    <t xml:space="preserve">As a result of the revision to the Ambient Air Quality Directive proposed by the Commission, it is likely that reductions by over 70%, compared to 2005 levels, can be achieved in 2030. Source: First 'zero pollution' monitoring and outlook. COM(2022) 674 final </t>
  </si>
  <si>
    <t xml:space="preserve">Considering soil quality and pesticides, reduction of (more hazardous) pesticide concentration in soil due to increased organic farming and other farm-to-fork objectives. </t>
  </si>
  <si>
    <t xml:space="preserve">There is a positive trend in the access to basic sanitation and connection to secondary wastewater treatment. Overall, the share of population without a bath, shower, or indoor flushing toilet in their household has decreased from 2.2% in 2015 to 1.5% in 2020 [28]. However, in some Member States, there are still high shares of the population without access to basic sanitary facilities in 2020, such as Romania (21.2%).  
The share of the EU population connected to secondary wastewater treatment has also increased continuously since 2000, reaching 81.1% in 2020 [28]. The ongoing revision of the Urban Waste Water Treatment Directive will bring additional improvements not only for water quality, but also for access to sanitation. </t>
  </si>
  <si>
    <t xml:space="preserve">Small agglomerations constitute a significant pressure on 11% of the EU’s surface water bodies [165]. Currently, the situation varies across Member States, for example, Austria, Germany, Sweden, and France have required in their national legislation that all urban wastewater needs to be treated. In addition, other Member States, such as Portugal, Ireland and Estonia, have set standards for small agglomerations, which go beyond the requirements set in Directive 91/271/EEC [166] . The ongoing revision of the Directive 91/271/EEC will  bring additional improvements by requiring collection and treatment of wastewater for agglomerations between 1,000 and 2,000 p.e.  </t>
  </si>
  <si>
    <t>In zones and agglomerations where the levels of sulphur dioxide, nitrogen dioxide, particulate matter (PM10 and PM2.5), lead, benzene, and carbon monoxide, arsenic, cadmium, nickel and benzo(a)pyrene in ambient air are below the respective limit values specified in Section 1 of Annex I Annexes XI and XIV, Member States shall maintain the levels of those pollutants below the limit values</t>
  </si>
  <si>
    <t>Details for Sum of n - Main thematic areas*
*referring to EGD Objectives set out in COM(2019) 640 final ANNEX: 1. Climate ambition</t>
  </si>
  <si>
    <t>Reduce methane emissions from 35 to 37% if compared to 2005 levels</t>
  </si>
  <si>
    <t>asked to evaluate</t>
  </si>
  <si>
    <t>Non binding targets, i.e. not included in regulations (e.g. Renewable Energy Directive), therefore highly aspirational comment by PF8: "as the agreed RES and EE targets are lower than in REPowerEU, unclear how to deal with these more granular aspirational targets, some of which may be considered obsolete and are not covered by any specific targets in legislation)"</t>
  </si>
  <si>
    <t>0.2% from 2021. The contribution of advanced biofuels and biogas produced from the feedstock listed in Part A of Annex IX in transport already reached 0.8 % in 2021 (without multipliers). Future developments depend on the availability of Part A of Annex IX feedstock</t>
  </si>
  <si>
    <t xml:space="preserve">The amendments set out in this Directive are also intended to support the achievement of the Union’s target of an annual production of sustainable biomethane of 35 billion cubic meters by 2030, set out in the Commission staff working document of 18 May 2022 accompanying the REPowerEU Plan, entitled ‘Implementing the Repower EU Action Plan: Investment needs, hydrogen accelerator and achieving the bio-methane targets’ </t>
  </si>
  <si>
    <t>Details for Sum of Targets from legal acts - Main thematic areas*
*referring to EGD Objectives set out in COM(2019) 640 final ANNEX: 6. Preserving and protecting biodiversity</t>
  </si>
  <si>
    <t>check with Matteo</t>
  </si>
  <si>
    <t xml:space="preserve">PF number and title </t>
  </si>
  <si>
    <t>Leadership Team</t>
  </si>
  <si>
    <t>1. Shaping Green transitions for a Sustainable Europe</t>
  </si>
  <si>
    <t>Ardente Fulvio (D.3)</t>
  </si>
  <si>
    <t>Avraamides Marios (D.1)</t>
  </si>
  <si>
    <t>Georgakaki Aliki (C.7)</t>
  </si>
  <si>
    <t>Gourdon Thomas (B.5)</t>
  </si>
  <si>
    <t>Marelli Louisa (D.1)</t>
  </si>
  <si>
    <t>M'Barek Robert (D.4)</t>
  </si>
  <si>
    <t>Mubareka Sarah (D.1)</t>
  </si>
  <si>
    <t>Pennington David (D.3)</t>
  </si>
  <si>
    <t>Sala Serenella (D.3)</t>
  </si>
  <si>
    <t>2. Sustainable, clean, innovative, and competitive energy solutions</t>
  </si>
  <si>
    <t>Christou Michalis (C.7)</t>
  </si>
  <si>
    <t>Dunlop Ewan (C.2)</t>
  </si>
  <si>
    <t>Koolen Derck (C.7)</t>
  </si>
  <si>
    <t>Kotsakis Evangelos (C.3)</t>
  </si>
  <si>
    <t>Scarlat Nicolae (C.2)</t>
  </si>
  <si>
    <t>Scholz Harald (C.4)</t>
  </si>
  <si>
    <t>Szabo Sandor (C.2)</t>
  </si>
  <si>
    <t>Taylor Nigel (C.2)</t>
  </si>
  <si>
    <t>Thomassen Georg (C.3)</t>
  </si>
  <si>
    <t>Uihlein Andreas (C.7)</t>
  </si>
  <si>
    <t>Vitiello Silvia (C.3)</t>
  </si>
  <si>
    <t>3. Clean hydrogen and other decarbonised gases</t>
  </si>
  <si>
    <t>Acosta Iborra Beatriz (C.1)</t>
  </si>
  <si>
    <t>Bolado Lavin Ricardo (C.3)</t>
  </si>
  <si>
    <t>Bonani Walter</t>
  </si>
  <si>
    <t>Cologna Marco (G.I.2)</t>
  </si>
  <si>
    <t>Dolci Francesco (C.1)</t>
  </si>
  <si>
    <t>Efthimiadis Tilemahos (C.3)</t>
  </si>
  <si>
    <t>Seibert Alice (G.II.6)</t>
  </si>
  <si>
    <t>4. Safety of nuclear technology in support of the transition towards climate neutrality</t>
  </si>
  <si>
    <t>Aldave De Las Heras Laura (G.I.3)</t>
  </si>
  <si>
    <t>Bremier Stephane (G.I)</t>
  </si>
  <si>
    <t>Kopecky Stefan (G.II.5)</t>
  </si>
  <si>
    <t>Martin Oliver (G.I.4)</t>
  </si>
  <si>
    <t>Raison Philippe (G.II.6)</t>
  </si>
  <si>
    <t>Wiss Thierry (G.I.2)</t>
  </si>
  <si>
    <t>5. Small modular reactors</t>
  </si>
  <si>
    <t>Freis Daniel (G.I.2)</t>
  </si>
  <si>
    <t>Fuetterer Michael (G.I.4)</t>
  </si>
  <si>
    <t>Tanarro Collodron Jorge (02)</t>
  </si>
  <si>
    <t>Van Uffelen Paul (G.II.6)</t>
  </si>
  <si>
    <t>6. Decarbonised, small and safe mobility</t>
  </si>
  <si>
    <t>Bonnel Pierre (C.4)</t>
  </si>
  <si>
    <t>Christidis Panayotis (C.6)</t>
  </si>
  <si>
    <t>Ciuffo Biagio (C.4)</t>
  </si>
  <si>
    <t>Fontaras Georgios (C.4)</t>
  </si>
  <si>
    <t>Ibanez Juan (C.6)</t>
  </si>
  <si>
    <t>Minarini Fabrizio (C.4)</t>
  </si>
  <si>
    <t>Paffumi Elena (C.4)</t>
  </si>
  <si>
    <t>7. Cities and buildings for better lives</t>
  </si>
  <si>
    <t>Bavetta Maurizio (C.2)</t>
  </si>
  <si>
    <t>Bertoldi Paola (C.2)</t>
  </si>
  <si>
    <t>Carlsson Johan (C.7)</t>
  </si>
  <si>
    <t>Lavalle Carlo (B.3)</t>
  </si>
  <si>
    <t>Martinez Fernandez Ana Maria (C.2)</t>
  </si>
  <si>
    <t>Monforti-Ferrario Fabio (C.5)</t>
  </si>
  <si>
    <t>Tsionis Georgios (E.3)</t>
  </si>
  <si>
    <t>Vetters Nadja (C.2)</t>
  </si>
  <si>
    <t>8. Pathways to climate neutrality through a low-carbon energy system and land use management</t>
  </si>
  <si>
    <t>Dentener Frank (D.5)</t>
  </si>
  <si>
    <t>Dowling Paul (C.6)</t>
  </si>
  <si>
    <t>Grassi Giacomo (D.1)</t>
  </si>
  <si>
    <t>Manca Giovanni (C.5)</t>
  </si>
  <si>
    <t>Migliavacca Mirco (D.1)</t>
  </si>
  <si>
    <t>Neuwahl Frederik (C.6)</t>
  </si>
  <si>
    <t>Perez Dominguez Ignacio (D.4)</t>
  </si>
  <si>
    <t>Weitzel Matthias (C.6)</t>
  </si>
  <si>
    <t>9. Zero pollution for planetary health</t>
  </si>
  <si>
    <t>Aschberger Karin (D.2)</t>
  </si>
  <si>
    <t>Astorga-Llorenz Maria (C.4)</t>
  </si>
  <si>
    <t>Belz Susanne (F.2)</t>
  </si>
  <si>
    <t>Gawlik Bernd (D.2)</t>
  </si>
  <si>
    <t>Held Andrea (F.6)</t>
  </si>
  <si>
    <t>Jones Arwyn (D.3)</t>
  </si>
  <si>
    <t>Martini Giorgio (C.4)</t>
  </si>
  <si>
    <t>Pisoni Enrico (C.5)</t>
  </si>
  <si>
    <t>Rauscher Hubert (F.2)</t>
  </si>
  <si>
    <t>Thunis Philippe (C.5)</t>
  </si>
  <si>
    <t>Wojda Piotr (D.3)</t>
  </si>
  <si>
    <t>Worth Andrew (F.3)</t>
  </si>
  <si>
    <t>10. Healthy biodiversity and natural capital accounting</t>
  </si>
  <si>
    <t>Barredo Cano Jose Ignacio (D.1)</t>
  </si>
  <si>
    <t>Bopp Stephanie (F.3)</t>
  </si>
  <si>
    <t>Cardoso Ana (D.2)</t>
  </si>
  <si>
    <t>Dubois Gregoire (D.6)</t>
  </si>
  <si>
    <t>Marin Ferrer Montserrat (D.6)</t>
  </si>
  <si>
    <t>Paracchini Maria-Luisa (D.5)</t>
  </si>
  <si>
    <t>Petracco Giudici Marco (B.1)</t>
  </si>
  <si>
    <t>Tamborra Marialuisa (D.3)</t>
  </si>
  <si>
    <t>Van Der Velde Marijn (D.5)</t>
  </si>
  <si>
    <t>11. Transition to sustainable food systems in a European and Global context</t>
  </si>
  <si>
    <t>Barreiro Hurle Jesus (D.4)</t>
  </si>
  <si>
    <t>Barrero Josefa (F.2)</t>
  </si>
  <si>
    <t>Ciaian Pavel (D.4)</t>
  </si>
  <si>
    <t>Crutzen Hugues (F.5)</t>
  </si>
  <si>
    <t>De La Calle Guntinas Maria Beatriz (F.4)</t>
  </si>
  <si>
    <t>Dehouck Pieter (F.5)</t>
  </si>
  <si>
    <t>Fellman Thomas (D.4)</t>
  </si>
  <si>
    <t>Louro Caldeiro Sandra (F.1)</t>
  </si>
  <si>
    <t>Maes Olivier (D.5)</t>
  </si>
  <si>
    <t>Niemeyer Stefan (D.5)</t>
  </si>
  <si>
    <t>Panagos Panagiotis (D.3)</t>
  </si>
  <si>
    <t>Rembold Felix (D.5)</t>
  </si>
  <si>
    <t>Terres Jean (D.5)</t>
  </si>
  <si>
    <t>Vandenberg Maurits (D.5)</t>
  </si>
  <si>
    <t>Wollgast Jan (F.1)</t>
  </si>
  <si>
    <t>12. Sustainable materials and products for a circular and resilient Europe</t>
  </si>
  <si>
    <t>De Oliveira Gama Caldas Miguel Nuno (B.5)</t>
  </si>
  <si>
    <t>Mathieux Fabrice (D.3)</t>
  </si>
  <si>
    <t>Pfrang Andreas (C.1)</t>
  </si>
  <si>
    <t>Saveyn Hans (B.5)</t>
  </si>
  <si>
    <t>13. Industrial transformations for sustainability, competitiveness and open strategic autonomy</t>
  </si>
  <si>
    <t>Aries Eric (B.5)</t>
  </si>
  <si>
    <t>De Prato Giuditta (T.1)</t>
  </si>
  <si>
    <t>Fazio Alessandro (B.6)</t>
  </si>
  <si>
    <t>Genty Aurelien (B.6)</t>
  </si>
  <si>
    <t>Moya Jose (C.7)</t>
  </si>
  <si>
    <t>Nardo Michela (B.1)</t>
  </si>
  <si>
    <t>Van Wimersma Greidanus Herman (E.6)</t>
  </si>
  <si>
    <t>14. Monitoring and shaping the digital transition</t>
  </si>
  <si>
    <t>Di Girolamo Francesca (B.1)</t>
  </si>
  <si>
    <t>Nai Fovino Igor (T.2)</t>
  </si>
  <si>
    <t>Tuebke Alexander (B.6)</t>
  </si>
  <si>
    <t>Vespe Michele (T.1)</t>
  </si>
  <si>
    <t>15. Trustworthy AI</t>
  </si>
  <si>
    <t>Gomez Gutierrez Emilia (T.3)</t>
  </si>
  <si>
    <t>Sanchez Martinez Jose Ignacio (T.2)</t>
  </si>
  <si>
    <t>16. Cybersecurity of society and industry</t>
  </si>
  <si>
    <t>Baldini Gianmarco (E.2)</t>
  </si>
  <si>
    <t>Fulli Gianlucca</t>
  </si>
  <si>
    <t>Herrera Alcantara Antonio (T.2)</t>
  </si>
  <si>
    <t>Lutz Michael (T.1)</t>
  </si>
  <si>
    <t>Nai Fovina Igor (T.2)</t>
  </si>
  <si>
    <t>Rana Antonia (T.2)</t>
  </si>
  <si>
    <t>17. Exploiting data as a strategic resource for science and policy</t>
  </si>
  <si>
    <t>Cardoso Domingos (T.4)</t>
  </si>
  <si>
    <t>Eulaerts Olivier (T.5)</t>
  </si>
  <si>
    <t>Friis-Christensen Anders (T.4)</t>
  </si>
  <si>
    <t>Moslinger Margot (T.4)</t>
  </si>
  <si>
    <t>Torti Fransesca (T.5)</t>
  </si>
  <si>
    <t>Tsois Aris (T.5)</t>
  </si>
  <si>
    <t>18. Observing the earth for policy</t>
  </si>
  <si>
    <t>Achard Frederic (D.1)</t>
  </si>
  <si>
    <t>Beck Pieter (D.1)</t>
  </si>
  <si>
    <t>Borio Daniele (D.5)</t>
  </si>
  <si>
    <t>Camia Andrea (D.6)</t>
  </si>
  <si>
    <t>Cherlet Michael (D.6)</t>
  </si>
  <si>
    <t>Devos Wim (D.5)</t>
  </si>
  <si>
    <t>Dowell Mark (D.6)</t>
  </si>
  <si>
    <t>Gobron Nadine (D.6)</t>
  </si>
  <si>
    <t>Kristopaitis Evaldas (E.6)</t>
  </si>
  <si>
    <t>Loudjani Philippe (D.5)</t>
  </si>
  <si>
    <t>Melin Frederic (D.2)</t>
  </si>
  <si>
    <t>Urbano Ferdinando (D.5)</t>
  </si>
  <si>
    <t>19. Galileo next generation</t>
  </si>
  <si>
    <t>Cerutti Isabella (E.2)</t>
  </si>
  <si>
    <t>Ferragut Jaime (E.2)</t>
  </si>
  <si>
    <t>Fortuny Guasch Joaquim (E.2)</t>
  </si>
  <si>
    <t>20. Towards an inclusive and resilient society</t>
  </si>
  <si>
    <t>Benczur Peter (B.1)</t>
  </si>
  <si>
    <t>Della Valle Nives (C.2)</t>
  </si>
  <si>
    <t>D'Hombres Beatrice (S.3)</t>
  </si>
  <si>
    <t>Koukoufikis Georgios (C.7)</t>
  </si>
  <si>
    <t>Mengolini Ana Maria (C.3)</t>
  </si>
  <si>
    <t>Stasio Andrzej Leszek (B.2)</t>
  </si>
  <si>
    <t>Weitzel Mathias (C.6)</t>
  </si>
  <si>
    <t>21. Education, skills and employment for a fair twin transition</t>
  </si>
  <si>
    <t>Biagi Federico (B.6)</t>
  </si>
  <si>
    <t>Cachia Romina (T.1)</t>
  </si>
  <si>
    <t>Fernandez Macias Enrique (B.6)</t>
  </si>
  <si>
    <t>22. Economic governance and structural reforms</t>
  </si>
  <si>
    <t>Ciriaci Daria (B.7)</t>
  </si>
  <si>
    <t>Papini Andrea (B.2)</t>
  </si>
  <si>
    <t>Ratto Marco (B.1)</t>
  </si>
  <si>
    <t>23. Territorial intelligence for EU policies</t>
  </si>
  <si>
    <t>Auteri Davide (B.3)</t>
  </si>
  <si>
    <t>Conte Andrea (B.7)</t>
  </si>
  <si>
    <t>Marques Santos Anabela (B.7)</t>
  </si>
  <si>
    <t>Siragusa Alice (B.3)</t>
  </si>
  <si>
    <t>24. Science for the global gateway and the international Green Deal</t>
  </si>
  <si>
    <t>Belis Claudio (C.5)</t>
  </si>
  <si>
    <t>Boden John Mark (B.3)</t>
  </si>
  <si>
    <t>Carmona Moreno Cesar (D.2)</t>
  </si>
  <si>
    <t>Clerici Marco (D.6)</t>
  </si>
  <si>
    <t>Dobricic Srdan (C.5)</t>
  </si>
  <si>
    <t>Ferrari Emanuele (D.4)</t>
  </si>
  <si>
    <t>Manfredi Simone (D.3)</t>
  </si>
  <si>
    <t>Minnebo Philip (C.3)</t>
  </si>
  <si>
    <t>Peedell Stephen (D.6)</t>
  </si>
  <si>
    <t>Silverii Rocco (G.I.4)</t>
  </si>
  <si>
    <t>25. Enhanced situational awareness for crisis management</t>
  </si>
  <si>
    <t>Baruth Bettina (D.5)</t>
  </si>
  <si>
    <t>De Groeve Tom (E.1)</t>
  </si>
  <si>
    <t>Doherty Brian (T.5)</t>
  </si>
  <si>
    <t>Pla Freixa Patricia (G.I.4)</t>
  </si>
  <si>
    <t>Poljansek Karmen (E.1)</t>
  </si>
  <si>
    <t>Salamon Peter (E.1)</t>
  </si>
  <si>
    <t>26. Understanding and acting on future risks and opportunities of the future</t>
  </si>
  <si>
    <t>Alessi Lucia (B.1)</t>
  </si>
  <si>
    <t>Bock Anne-Katrin (S.1)</t>
  </si>
  <si>
    <t>Cescatti Alessandro (D.1)</t>
  </si>
  <si>
    <t>Ciscar Martinez Juan Carlos (C.6)</t>
  </si>
  <si>
    <t>Dimova Silvia (E.3)</t>
  </si>
  <si>
    <t>Muench Stefan (S.1)</t>
  </si>
  <si>
    <t>Toreti Andrea (E.1)</t>
  </si>
  <si>
    <t>27. Better preparedness and response to health crises</t>
  </si>
  <si>
    <t>Coecke Sandra (F.7)</t>
  </si>
  <si>
    <t>Corbisier Philippe (F.5)</t>
  </si>
  <si>
    <t>Ruiz Ana Maria (F.2)</t>
  </si>
  <si>
    <t>28. Innovation in life and health sciences</t>
  </si>
  <si>
    <t>Bettio Manola (F.1)</t>
  </si>
  <si>
    <t>Deceuninck Pierre (F.3)</t>
  </si>
  <si>
    <t>Griesinger Claudius (F.2)</t>
  </si>
  <si>
    <t>Martin Simona (F.1)</t>
  </si>
  <si>
    <t>Patak Dennstedt Alexandre (F.7)</t>
  </si>
  <si>
    <t>29. Tackling cancer and other NCD</t>
  </si>
  <si>
    <t>Janusch Roi Annett (F.1)</t>
  </si>
  <si>
    <t>Morgenstern Alfred (G.II.6)</t>
  </si>
  <si>
    <t>Stepien Magdalena (F.1)</t>
  </si>
  <si>
    <t>30. Science for security</t>
  </si>
  <si>
    <t>Beslay Laurent (T.2)</t>
  </si>
  <si>
    <t>Ferraro di Silvi e Castiglione Guido (E.4)</t>
  </si>
  <si>
    <t>Iatan Alina (02)</t>
  </si>
  <si>
    <t>Jungwirth Rainer (E.2)</t>
  </si>
  <si>
    <t>Larcher Martin (E.3)</t>
  </si>
  <si>
    <t>Mayer Klaus (G.II.08)</t>
  </si>
  <si>
    <t>31. Support to nuclear compliance assurance</t>
  </si>
  <si>
    <t>Aregbe Yetunde (G.II.5)</t>
  </si>
  <si>
    <t>Matuzas Vaidas (G.I.3)</t>
  </si>
  <si>
    <t>Sequeira Vitor (G.II.7)</t>
  </si>
  <si>
    <t>Sevini Filippo (G.II.7)</t>
  </si>
  <si>
    <t>Simola Kaisa (G.I.4)</t>
  </si>
  <si>
    <t>Zuleger Evelyn (G.II.8)</t>
  </si>
  <si>
    <t>32. Challenges and opportunities of population dynamics and migration</t>
  </si>
  <si>
    <t>Barbossa Ferreira Paulo</t>
  </si>
  <si>
    <t>Ciriolo Emanuele (S.1)</t>
  </si>
  <si>
    <t>Kajander Nina (E.5)</t>
  </si>
  <si>
    <t>Scapolo Fabiana (E.5)</t>
  </si>
  <si>
    <t>Tarchi Dario (E.5)</t>
  </si>
  <si>
    <t>33. Innovative policymaking in a complex world: science, foresight and evaluation for policy-making and democracy </t>
  </si>
  <si>
    <t>Baggio Marianna (S.1)</t>
  </si>
  <si>
    <t>Balahur Alexandra (S.1)</t>
  </si>
  <si>
    <t>Bock Ann-Katrin (S.1)</t>
  </si>
  <si>
    <t>Gadzina-Kolodziejska Agnieszka (S.2)</t>
  </si>
  <si>
    <t>Jenet Andreas (S.4)</t>
  </si>
  <si>
    <t>Kourti Naouma (S.4)</t>
  </si>
  <si>
    <t>Kovacic Matija (S.3)</t>
  </si>
  <si>
    <t>Krieger Kristian (S.2)</t>
  </si>
  <si>
    <t>Martinho Guimaraes Pires Pereira Angela (S.2)</t>
  </si>
  <si>
    <t>Paruolo Paulo (S.3)</t>
  </si>
  <si>
    <t>Smits Paul (S.3)</t>
  </si>
  <si>
    <t>List of Portfolios (https://joint-research-centre.ec.europa.eu/jrc-science-and-knowledge-activities_en)</t>
  </si>
  <si>
    <r>
      <t xml:space="preserve">2. Sustainable, clean, innovative, and competitive </t>
    </r>
    <r>
      <rPr>
        <b/>
        <sz val="11"/>
        <color theme="1"/>
        <rFont val="Calibri"/>
        <family val="2"/>
        <scheme val="minor"/>
      </rPr>
      <t>energy</t>
    </r>
    <r>
      <rPr>
        <sz val="11"/>
        <color theme="1"/>
        <rFont val="Calibri"/>
        <family val="2"/>
        <scheme val="minor"/>
      </rPr>
      <t xml:space="preserve"> solutions</t>
    </r>
  </si>
  <si>
    <r>
      <t xml:space="preserve">3. Clean </t>
    </r>
    <r>
      <rPr>
        <b/>
        <sz val="11"/>
        <color theme="1"/>
        <rFont val="Calibri"/>
        <family val="2"/>
        <scheme val="minor"/>
      </rPr>
      <t>hydrogen</t>
    </r>
    <r>
      <rPr>
        <sz val="11"/>
        <color theme="1"/>
        <rFont val="Calibri"/>
        <family val="2"/>
        <scheme val="minor"/>
      </rPr>
      <t xml:space="preserve"> and other decarbonised gases</t>
    </r>
  </si>
  <si>
    <r>
      <t xml:space="preserve">4. Safety of </t>
    </r>
    <r>
      <rPr>
        <b/>
        <sz val="11"/>
        <color theme="1"/>
        <rFont val="Calibri"/>
        <family val="2"/>
        <scheme val="minor"/>
      </rPr>
      <t>nuclear</t>
    </r>
    <r>
      <rPr>
        <sz val="11"/>
        <color theme="1"/>
        <rFont val="Calibri"/>
        <family val="2"/>
        <scheme val="minor"/>
      </rPr>
      <t xml:space="preserve"> technology in support of the transition towards climate neutrality</t>
    </r>
  </si>
  <si>
    <r>
      <t xml:space="preserve">6. Decarbonised, small and safe </t>
    </r>
    <r>
      <rPr>
        <b/>
        <sz val="11"/>
        <color theme="1"/>
        <rFont val="Calibri"/>
        <family val="2"/>
        <scheme val="minor"/>
      </rPr>
      <t>mobility</t>
    </r>
  </si>
  <si>
    <r>
      <t xml:space="preserve">7. Cities and </t>
    </r>
    <r>
      <rPr>
        <b/>
        <sz val="11"/>
        <color theme="1"/>
        <rFont val="Calibri"/>
        <family val="2"/>
        <scheme val="minor"/>
      </rPr>
      <t>buildings</t>
    </r>
    <r>
      <rPr>
        <sz val="11"/>
        <color theme="1"/>
        <rFont val="Calibri"/>
        <family val="2"/>
        <scheme val="minor"/>
      </rPr>
      <t xml:space="preserve"> for better lives</t>
    </r>
  </si>
  <si>
    <r>
      <t xml:space="preserve">8. Pathways to </t>
    </r>
    <r>
      <rPr>
        <b/>
        <sz val="11"/>
        <color theme="1"/>
        <rFont val="Calibri"/>
        <family val="2"/>
        <scheme val="minor"/>
      </rPr>
      <t>climate</t>
    </r>
    <r>
      <rPr>
        <sz val="11"/>
        <color theme="1"/>
        <rFont val="Calibri"/>
        <family val="2"/>
        <scheme val="minor"/>
      </rPr>
      <t xml:space="preserve"> neutrality through a low-carbon energy system and land use management</t>
    </r>
  </si>
  <si>
    <r>
      <t xml:space="preserve">9. Zero </t>
    </r>
    <r>
      <rPr>
        <b/>
        <sz val="11"/>
        <color theme="1"/>
        <rFont val="Calibri"/>
        <family val="2"/>
        <scheme val="minor"/>
      </rPr>
      <t>pollution</t>
    </r>
    <r>
      <rPr>
        <sz val="11"/>
        <color theme="1"/>
        <rFont val="Calibri"/>
        <family val="2"/>
        <scheme val="minor"/>
      </rPr>
      <t xml:space="preserve"> for planetary health</t>
    </r>
  </si>
  <si>
    <r>
      <t xml:space="preserve">10. Healthy </t>
    </r>
    <r>
      <rPr>
        <b/>
        <sz val="11"/>
        <color theme="1"/>
        <rFont val="Calibri"/>
        <family val="2"/>
        <scheme val="minor"/>
      </rPr>
      <t>biodiversity</t>
    </r>
    <r>
      <rPr>
        <sz val="11"/>
        <color theme="1"/>
        <rFont val="Calibri"/>
        <family val="2"/>
        <scheme val="minor"/>
      </rPr>
      <t xml:space="preserve"> and natural capital accounting</t>
    </r>
  </si>
  <si>
    <r>
      <t xml:space="preserve">11. Transition to sustainable </t>
    </r>
    <r>
      <rPr>
        <b/>
        <sz val="11"/>
        <color theme="1"/>
        <rFont val="Calibri"/>
        <family val="2"/>
        <scheme val="minor"/>
      </rPr>
      <t>food systems</t>
    </r>
    <r>
      <rPr>
        <sz val="11"/>
        <color theme="1"/>
        <rFont val="Calibri"/>
        <family val="2"/>
        <scheme val="minor"/>
      </rPr>
      <t xml:space="preserve"> in a European and Global context</t>
    </r>
  </si>
  <si>
    <r>
      <t xml:space="preserve">12. Sustainable materials and products for a </t>
    </r>
    <r>
      <rPr>
        <b/>
        <sz val="11"/>
        <color theme="1"/>
        <rFont val="Calibri"/>
        <family val="2"/>
        <scheme val="minor"/>
      </rPr>
      <t>circular</t>
    </r>
    <r>
      <rPr>
        <sz val="11"/>
        <color theme="1"/>
        <rFont val="Calibri"/>
        <family val="2"/>
        <scheme val="minor"/>
      </rPr>
      <t xml:space="preserve"> and resilient Europe</t>
    </r>
  </si>
  <si>
    <r>
      <t xml:space="preserve">13. </t>
    </r>
    <r>
      <rPr>
        <b/>
        <sz val="11"/>
        <color theme="1"/>
        <rFont val="Calibri"/>
        <family val="2"/>
        <scheme val="minor"/>
      </rPr>
      <t>Industrial</t>
    </r>
    <r>
      <rPr>
        <sz val="11"/>
        <color theme="1"/>
        <rFont val="Calibri"/>
        <family val="2"/>
        <scheme val="minor"/>
      </rPr>
      <t xml:space="preserve"> transformations for sustainability, competitiveness and open strategic autonomy</t>
    </r>
  </si>
  <si>
    <r>
      <t xml:space="preserve">14. Monitoring and shaping the </t>
    </r>
    <r>
      <rPr>
        <b/>
        <sz val="11"/>
        <color theme="1"/>
        <rFont val="Calibri"/>
        <family val="2"/>
        <scheme val="minor"/>
      </rPr>
      <t>digital</t>
    </r>
    <r>
      <rPr>
        <sz val="11"/>
        <color theme="1"/>
        <rFont val="Calibri"/>
        <family val="2"/>
        <scheme val="minor"/>
      </rPr>
      <t xml:space="preserve"> transition</t>
    </r>
  </si>
  <si>
    <r>
      <t xml:space="preserve">20. Towards an </t>
    </r>
    <r>
      <rPr>
        <b/>
        <sz val="11"/>
        <color theme="1"/>
        <rFont val="Calibri"/>
        <family val="2"/>
        <scheme val="minor"/>
      </rPr>
      <t>inclusive</t>
    </r>
    <r>
      <rPr>
        <sz val="11"/>
        <color theme="1"/>
        <rFont val="Calibri"/>
        <family val="2"/>
        <scheme val="minor"/>
      </rPr>
      <t xml:space="preserve"> and </t>
    </r>
    <r>
      <rPr>
        <b/>
        <sz val="11"/>
        <color theme="1"/>
        <rFont val="Calibri"/>
        <family val="2"/>
        <scheme val="minor"/>
      </rPr>
      <t>resilient</t>
    </r>
    <r>
      <rPr>
        <sz val="11"/>
        <color theme="1"/>
        <rFont val="Calibri"/>
        <family val="2"/>
        <scheme val="minor"/>
      </rPr>
      <t xml:space="preserve"> society</t>
    </r>
  </si>
  <si>
    <r>
      <t xml:space="preserve">21. Education, skills and employment for a </t>
    </r>
    <r>
      <rPr>
        <b/>
        <sz val="11"/>
        <color theme="1"/>
        <rFont val="Calibri"/>
        <family val="2"/>
        <scheme val="minor"/>
      </rPr>
      <t>fair twin transition</t>
    </r>
  </si>
  <si>
    <r>
      <t xml:space="preserve">22. </t>
    </r>
    <r>
      <rPr>
        <b/>
        <sz val="11"/>
        <color theme="1"/>
        <rFont val="Calibri"/>
        <family val="2"/>
        <scheme val="minor"/>
      </rPr>
      <t>Economic</t>
    </r>
    <r>
      <rPr>
        <sz val="11"/>
        <color theme="1"/>
        <rFont val="Calibri"/>
        <family val="2"/>
        <scheme val="minor"/>
      </rPr>
      <t xml:space="preserve"> governance and structural reforms</t>
    </r>
  </si>
  <si>
    <r>
      <t xml:space="preserve">23. </t>
    </r>
    <r>
      <rPr>
        <b/>
        <sz val="11"/>
        <color theme="1"/>
        <rFont val="Calibri"/>
        <family val="2"/>
        <scheme val="minor"/>
      </rPr>
      <t>Territorial</t>
    </r>
    <r>
      <rPr>
        <sz val="11"/>
        <color theme="1"/>
        <rFont val="Calibri"/>
        <family val="2"/>
        <scheme val="minor"/>
      </rPr>
      <t xml:space="preserve"> intelligence for EU policies</t>
    </r>
  </si>
  <si>
    <r>
      <t>24. Science for the</t>
    </r>
    <r>
      <rPr>
        <b/>
        <sz val="11"/>
        <color theme="1"/>
        <rFont val="Calibri"/>
        <family val="2"/>
        <scheme val="minor"/>
      </rPr>
      <t xml:space="preserve"> global gateway</t>
    </r>
    <r>
      <rPr>
        <sz val="11"/>
        <color theme="1"/>
        <rFont val="Calibri"/>
        <family val="2"/>
        <scheme val="minor"/>
      </rPr>
      <t xml:space="preserve"> and the international Green Deal</t>
    </r>
  </si>
  <si>
    <r>
      <t xml:space="preserve">25. Enhanced situational awareness for </t>
    </r>
    <r>
      <rPr>
        <b/>
        <sz val="11"/>
        <color theme="1"/>
        <rFont val="Calibri"/>
        <family val="2"/>
        <scheme val="minor"/>
      </rPr>
      <t>crisis management</t>
    </r>
  </si>
  <si>
    <r>
      <t xml:space="preserve">26. Understanding and acting on </t>
    </r>
    <r>
      <rPr>
        <b/>
        <sz val="11"/>
        <color theme="1"/>
        <rFont val="Calibri"/>
        <family val="2"/>
        <scheme val="minor"/>
      </rPr>
      <t>future risks</t>
    </r>
    <r>
      <rPr>
        <sz val="11"/>
        <color theme="1"/>
        <rFont val="Calibri"/>
        <family val="2"/>
        <scheme val="minor"/>
      </rPr>
      <t xml:space="preserve"> and opportunities of the future</t>
    </r>
  </si>
  <si>
    <r>
      <t>27. Better preparedness and response to</t>
    </r>
    <r>
      <rPr>
        <b/>
        <sz val="11"/>
        <color theme="1"/>
        <rFont val="Calibri"/>
        <family val="2"/>
        <scheme val="minor"/>
      </rPr>
      <t xml:space="preserve"> health crises</t>
    </r>
  </si>
  <si>
    <r>
      <t xml:space="preserve">28. Innovation in life and </t>
    </r>
    <r>
      <rPr>
        <b/>
        <sz val="11"/>
        <color theme="1"/>
        <rFont val="Calibri"/>
        <family val="2"/>
        <scheme val="minor"/>
      </rPr>
      <t>health sciences</t>
    </r>
  </si>
  <si>
    <r>
      <t xml:space="preserve">29. Tackling </t>
    </r>
    <r>
      <rPr>
        <b/>
        <sz val="11"/>
        <color theme="1"/>
        <rFont val="Calibri"/>
        <family val="2"/>
        <scheme val="minor"/>
      </rPr>
      <t>cancer</t>
    </r>
    <r>
      <rPr>
        <sz val="11"/>
        <color theme="1"/>
        <rFont val="Calibri"/>
        <family val="2"/>
        <scheme val="minor"/>
      </rPr>
      <t xml:space="preserve"> and other NCD</t>
    </r>
  </si>
  <si>
    <r>
      <t xml:space="preserve">30. Science for </t>
    </r>
    <r>
      <rPr>
        <b/>
        <sz val="11"/>
        <color theme="1"/>
        <rFont val="Calibri"/>
        <family val="2"/>
        <scheme val="minor"/>
      </rPr>
      <t>security</t>
    </r>
  </si>
  <si>
    <r>
      <t xml:space="preserve">31. Support to </t>
    </r>
    <r>
      <rPr>
        <b/>
        <sz val="11"/>
        <color theme="1"/>
        <rFont val="Calibri"/>
        <family val="2"/>
        <scheme val="minor"/>
      </rPr>
      <t>nuclear compliance</t>
    </r>
    <r>
      <rPr>
        <sz val="11"/>
        <color theme="1"/>
        <rFont val="Calibri"/>
        <family val="2"/>
        <scheme val="minor"/>
      </rPr>
      <t xml:space="preserve"> assurance</t>
    </r>
  </si>
  <si>
    <r>
      <t xml:space="preserve">32. Challenges and opportunities of </t>
    </r>
    <r>
      <rPr>
        <b/>
        <sz val="11"/>
        <color theme="1"/>
        <rFont val="Calibri"/>
        <family val="2"/>
        <scheme val="minor"/>
      </rPr>
      <t>population</t>
    </r>
    <r>
      <rPr>
        <sz val="11"/>
        <color theme="1"/>
        <rFont val="Calibri"/>
        <family val="2"/>
        <scheme val="minor"/>
      </rPr>
      <t xml:space="preserve"> dynamics and migration</t>
    </r>
  </si>
  <si>
    <r>
      <t xml:space="preserve">33. Innovative </t>
    </r>
    <r>
      <rPr>
        <b/>
        <sz val="11"/>
        <color theme="1"/>
        <rFont val="Calibri"/>
        <family val="2"/>
        <scheme val="minor"/>
      </rPr>
      <t>policymaking</t>
    </r>
    <r>
      <rPr>
        <sz val="11"/>
        <color theme="1"/>
        <rFont val="Calibri"/>
        <family val="2"/>
        <scheme val="minor"/>
      </rPr>
      <t xml:space="preserve"> in a complex world: science, </t>
    </r>
    <r>
      <rPr>
        <b/>
        <sz val="11"/>
        <color theme="1"/>
        <rFont val="Calibri"/>
        <family val="2"/>
        <scheme val="minor"/>
      </rPr>
      <t>foresight</t>
    </r>
    <r>
      <rPr>
        <sz val="11"/>
        <color theme="1"/>
        <rFont val="Calibri"/>
        <family val="2"/>
        <scheme val="minor"/>
      </rPr>
      <t xml:space="preserve"> and evaluation for policy-making and democracy </t>
    </r>
  </si>
  <si>
    <t>Assessment</t>
  </si>
  <si>
    <t>orange</t>
  </si>
  <si>
    <t>The at least 55% economy-wide net reduction objective is enshrined in the Climate Law as an overall ambition at the EU level. Specific legislation covering different sectors translates this into sectoral ambition levels which cumulatively achieve the -55% target. This corresponds to greenhouse gas reductions of 62% in the existing ETS compared to 2005, a 40% reduction in ESR, (this is now complemented by 42% reduction target compared to 2005 in the newly established ETS2). With the aim of ensuring strong emissions reduction in other sectors, the overall contribution of the LULUCF sector to EU’s economy-wide target of − 55% by 2030 is limited to a maximum of − 225 MtCO2e/year. Achieving the LULUCF sector target of -310 MtCO2e in 2030 will elevate the total EU GHG emission reduction to approximately 57% compared to 1990. The total net EU greenhouse gases emissions, including LULUCF, were reduced by 32.5% between 1990 and 2022 [21]. GHG emission reductions need to double in the current decade compared to the previous decades (see charts in the annexes).
According to the Member States’ own projections reported in 2023 under Article 18 of the Governance of the Energy Union Regulation, total EU emissions are expected to fall in 2030 by about 50% below the 1990 level when factoring in additional measures. This falls short of the at least 55% objective, but the Member States projections do not accurately capture the evolution driven by EU-wide instruments such as the ETS.
Reaching the -55 % objective further depends on delivery of ESR, which is not fully on track, as well as the related functioning of ETS2. In addition, the -55% objective assumes that the LULUCF sink is at least -225 MtCO2e. The agreed LULUCF commitment of -310 MtCO2e could even achieve -57%. However, the current development of the LULUCF sink is opposite to the targets, including natural disturbances that are expected to further increase with the ongoing climate change [27], [28]. If this negative development continues, the risk of not reaching the sink of –225 MtCO2 cannot be ruled out.
On the other hand, the implementation of the complete Fit for 55 legislative package is expected to reduce EU net greenhouse gas emissions by 57% by 2030, putting EU on track to exceed 2030 targets [29].
On the way to climate neutrality by 2050, the Commission adopted a Communica- tion [23] in February 2024 that launches the process of setting the 2040 climate target for the EU, in compliance with Art. 4.3 of the Climate Law. While 2040 targets are not yet set, it is clear that much of the transition to 2050 has to be realised
by 2040. Based on the recommended emission reductions of 90-95 % by 2040 compared to 1990, of the European Scientific Advisory Board on Climate Change advised, the Commission has recommended a net 90% GHG reduction target for 2040.
Both 2040 and 2050 targets require a much deeper transformation of the energy system, through large scale deployment of climate-neutral technologies that require high investment efforts with some technologies not yet deployed at market scale. While some of the current instruments will keep delivering reductions well beyond 2030 (notably the EU ETS but also CO2 standards for vehicles, ReFuelEU Aviation, FuelEU Maritime and the Fluorinated gas (F-gas) Regulation), there will be a need
to review, update and complete the legislative framework for the post-2030 period. This will include topics such as carbon capture, industrial carbon removals, and overall and sector specific emission reduction trajectories. In addition, larger emis- sion reductions in difficult-to-abate sectors like agriculture will be needed, along with a larger role for carbon removals, including utilising land as a carbon sink.</t>
  </si>
  <si>
    <t>The decreasing trajectory of the number of CO2 emission allowances is expected to lead to -62% less CO2 emission in 2030 compared to 2005 levels. EU ETS emissions fell by 47% between 2005 and 2022. The most important driver for the decrease in EU ETS emissions has been the power sector, due to a substantial in- crease in renewable electricity production (primarily wind and solar) at the expense of both coal and gas. The system covers the electricity sector, large industry, and since 2012, aviation (initially intra-European Economic Area, with an upcoming extension of scope). Since 1 January 2024, it has been expanded to include the maritime sector [30]. The 2023 greenhouse gas emission projections reported by the Member States to the EEA [15], [22] result in a reduction of ETS emissions of 55% to 59% (with existing measures – with additional measures projection) in
the ETS sectors in 2030. While these projections are short of the 62% target, it is important to note that, the ETS being an EU-wide market-based (cap and trade) instrument, this objective is not directly addressed by Member States specific policies and cannot be consistently and comprehensively covered by the individual Member States GHG emission projections.
Given that the ETS instrument is established and operational, and that the nec- essary technologies are both available and affordable, it is anticipated that the target can be achieved.</t>
  </si>
  <si>
    <t>green</t>
  </si>
  <si>
    <t>The ETS2 is a new EU-wide cap-and-trade economic instrument that covers the CO2 emissions from the combustion of fuels in road transport, buildings, and other sectors (mainly smaller industries), excluding agriculture. Monitoring starts in 2025, with cap and trade applying from 2027. As such, it overlaps significantly with the ESR in terms of sectors covered, but important differences are that a) it is implemented at the EU level, rather than through Member State-specific policies, and b) it does not cover non-CO2 emissions, many of which are from the hard-to- tackle agricultural sector.
Between 2005 and 2022, the emissions covered by the ETS 2 fell by 16% according to own estimates of the JRC. However, since the ETS2 instrument is newly implemented and official reporting by Member States is not yet available, the progress cannot currently be evaluated.</t>
  </si>
  <si>
    <t>grey</t>
  </si>
  <si>
    <t>The current (2022) reduction is 17% relative to 2005, far from the 40% reduction target set for 2030. Between 2013 and 2020, Member States met or overa- chieved their ESR obligations- with the largest reductions in the buildings and small industry sectors. Emissions are expected to continue decreasing in the com- ing decade due to –among others- source control legislation, such as improved building standards, building renovations, CO2 standards for road vehicles and EU policies on phasing down hydrofluorocarbons (HFC) and other fluorinated gases. Progress in the transport and building sectors faces different challenges. While transport emissions are regulated by EU-wide CO2 emission standards for vehicles (which have a relatively fast turnover rate), renovating the building stock is a more challenging effort, primarily driven by Member States' policies. Therefore, Member States' projections for building emissions significantly lag behind the expected cost-effective rate of reduction [31].
Overall, EU emissions in the sectors covered by the ESR, according to 2023 Member States projections, are expected to fall by 27-32% (with existing and ad- ditional measures, respectively) by 2030 compared to 2005, i.e. 8 -13 percentage points below the 40% target for 2030, with only 6 Member States projected to (over-) achieve their targets [22].
Absolute emissions in the agriculture sector have stagnated since 2010, while agricultural aggregate output has increased, decreasing emission intensity of EU agricultural products by 13%.
Concerning emission reductions, current Member States' projections under the Governance Regulation foresee 2030 emissions with existing measures to be 373 MtCO2e (or -3% compared to 2021) and 359 MtCO2e (or -7 %) with additional measures. The 2030 ‘MIX (55 Euro/t CO2e)’ scenario, used to assess the Fit for 55 targets corresponds to a -7 % decline in the agricultural sector by 2030 compared to 2021, aligning with the Member States ‘with additional measures’ scenario. The current (2023-2027) CAP aims to contribute to climate mitigation, with Member State strategies outlined in their Strategic Plans. Estimates of the CAP 2023-2027 impact on emissions require detailed information on the implementation and effectiveness of farming practices from the CAP instruments, which are currently being evaluated.</t>
  </si>
  <si>
    <t>The revised LULUCF regulation sets a target of removing 310 MtCO2e by 2030. The long-term EU forest sink is developing away from this target and jeopard- ising the fulfilment of the overall LULUCF sector target for 2030. Furthermore, natural disturbances are expected to increase with ongoing climate change, with potentially a further reduction of the carbon sink, making the situation even more difficult.
In 2020, the gap between the reported LULUCF emissions in 2016-2018 and the target of -310 MtCO2e for 2030 was -42 MtCO2e for the EU. 2024 shows that this gap has now widened: instead of -42 MtCO2e, the EU needs to improve its LULUCF sink by -80 MtCO2e between 2022 and 2030 to meet the targets. The LULUCF targets will be difficult to achieve unless substantial changes in forest manage- ment are implemented very soon.</t>
  </si>
  <si>
    <t>red</t>
  </si>
  <si>
    <t>Assessing the distance to the target is difficult. Comparing purely the GHG re- porting from countries for 2021 and 2022, to the accounting benchmark of -229 MtCO2e determined by the delegated act, it looks like the EU is slightly exceeding the accounting benchmark. However, the recalculations of the inventories have increased the net sink historical time series reported by the Member States, and those recalculations will be considered in the accounting. Given the sharp decline of the forest sink driven by increasing harvest levels and natural disturbances, it is likely that the EU will face an overall accounting debit (i.e. not reaching the target) than a credit in the LULUCF sector as a whole.
The reporting for years 2026-2029 will be done in GHG inventories during 2028- 2031.</t>
  </si>
  <si>
    <t>No debit rule. For the period from 2021 to 2025, each Member State shall ensure that greenhouse gas emissions from the sector do not exceed greenhouse gas removals, calculated as the sum of total emissions and total removals on its territory in all the land accounting categories. The accounting benchmark for the EU is ca. -229 MtCO2e/year for 2021-2025 LULUCF Regulation</t>
  </si>
  <si>
    <t>Achieve an EU net greenhouse gas removal of 310 million tonnes CO2 equivalent per year for the land use, land use change and forestry (LULUCF) sector, by 2030, and Member State-specific targets for 2030 summing up to -42 MtCO2e increase in LULUCF sink between 2016-2018 and 2030.</t>
  </si>
  <si>
    <t>ESR. Increased national targets in line with an EU- wide reduction of 40% in the ESR sectors compared to 2005. Member States contribute to the overall EU reduction in 2030 with targets ranging from -10% to -50% below 2005 level (sectors: transport, buildings, agriculture and waste)
Regulation (EU) 2023/857</t>
  </si>
  <si>
    <t>ETS2. Contribution of the buildings and road transport sectors of 43% emission reductions by 2030 compared to 2005 and of the additional sectors, a combined cost-efficient contribution of 42% emission reductions by 2030 compared to 2005
Directive (EU) 2023/959</t>
  </si>
  <si>
    <t>EU ETS. The contribution of the sectors covered by the existing EU Emission trading System (EU ETS) with respect to the EU Climate ambition should be of -62% compared to 2005 (increasing the linear emissions reduction factor from 2.2% per year up to 4.4%), by 2030
Directive (EU) 2023/959</t>
  </si>
  <si>
    <t>Reduce by at least 55% net GHG emissions compared to 1990 levels, by 2030</t>
  </si>
  <si>
    <t>Reduce methane emissions by 35 to 37% compared to 2005 levels, by 2030
An EU Strategy to reduce methane emissions</t>
  </si>
  <si>
    <t xml:space="preserve">Methane emissions were 497.15 MtCO2e in 2005 and decreased to 394.37 MtCO2e in 2022, making a reduction of about 20.67%. However, acceleration is needed to reach at least a 35% reduction by 2030.
The largest source of methane emissions in the EU is the agriculture sector, accounting for more than half of the total emissions, followed by the energy and waste sectors. Within agriculture, almost all methane emissions are from livestock: 80% of the total stems from enteric fermentation and 18% from manure man- agement. Furthermore, the energy sector showed the highest decline in emissions, primarily due to the mitigation of fugitive emissions from fuels, including emis- sions from the extraction of solid fuels and those associated with oil and natural gas production and distribution.
Most methane emissions from the waste sector come from solid waste disposal.
GHG Emissions
   </t>
  </si>
  <si>
    <t>Member States shall collectively ensure that the share of energy from renewable sources in the Union’s gross final consumption of energy in 2030 is at least 42.5%. RED III (Directive (EU) 2023/2413)</t>
  </si>
  <si>
    <t>In 2022, renewable energy represented 23.0 % of energy consumed in the EU, up
from 21.9% in 2021. This EU-level target has not been translated into binding national contributions. The target is to be achieved jointly by all Member States, building on their coordinated and combined action. According to the EC assessment of the draft NECPs, the current drafts would lead to a share of 38.6-39.3% of renewables in the energy mix by 2030. Reaching the 2030 target of 42.5% (and even more so the aspirational target of 45%) will require a much faster growth in the coming years.</t>
  </si>
  <si>
    <t>The amount of renewable fuels and renewable electricity supplied to the transport sector leads to a: (i) share of renewable energy within the final consumption of energy in the transport sector of at least 29 % by 2030; or
(ii) GHG intensity reduction of at least 14.5 % by 2030, compared to the baseline set out in Article 27(1), in accordance with an indicative trajectory set by the Member State.
RED III (Directive (EU) 2023/2413)</t>
  </si>
  <si>
    <t>The share of energy from renewable sources used in transport in the EU reached 9.6 % in 2022, up from 9.1% in 2021. Acceleration is needed to reach the 2030 target. Following a sharp 13.5% drop in transport related GHG emissions between 2019 and 2020, due to the COVID-19 pandemic, according to European Environ- ment Agency (EEA) data, they surged upwards (by 8.6%) between 2020 and 2021 from 720.2 to 782.1 Mt (million tonnes) and the EEA forecasts a further 2.7% increase for 2022, which would restore emission levels to above the 800-Mtonne threshold (803.2 Mt in 2022).
CO2 emissions account for almost all transport related GHG emissions (98.9% in 2021) and far outstrip those of nitrous oxide (N2O) (0.9% in CO2 equivalent units) and methane (0.2% in CO2 equivalent units).</t>
  </si>
  <si>
    <t>By 2022, achieve 18% of the total increase in the share of energy from renewable sources between that Member State’s binding 2020 national target, and its contribution to the 2030 target of the share of energy from renewable sources in gross final consumption of energy. Achieve 43% by 2025, 65% by 2027.
RED III (Directive (EU) 2023/2413)</t>
  </si>
  <si>
    <t>Two Member States (Malta and Sweden) have already reached their 2030 target. 18 Member States have achieved the 2022 target of 18%. However, in 2021, 10 Member States experienced a decline in their share respect their 2020 value. This occurred as well for seven Member States in 2022; nevertheless, two of them have still met their 2022 targets despite the decrease. The EU jointly has reached the 2022 sub-target.</t>
  </si>
  <si>
    <t>Member States shall endeavour to increase the share of renewable sources in the amount of energy sources used for final energy and non-energy purposes in the industry sector by an indicative increase of at least 1.6 percentage points as an annual average calculated
for the periods 2021 to 2025 and 2026 to 2030 [Indicative target]
RED III (Directive (EU) 2023/2413)</t>
  </si>
  <si>
    <t>A 1.6 percentage point annual increase leads to a 26% share of renewables by 2030. The share of renewables in 2022 was 10.7%, an increase from 9.7% in 2020. In absolute values, this is an increase from 23.3 Mtoe in 2021 to 24.1 Mtoe in 2022 Acceleration is needed to reach the 2030 target.</t>
  </si>
  <si>
    <t>Member States shall set an indicative target for innovative renewable energy technology of at least 5% of newly installed renewable energy capacity by 2030.
RED III (Directive (EU) 2023/2413)</t>
  </si>
  <si>
    <t>Innovative technologies are defined as those that improve in at least one way comparable state-of-the-art renewable energy technologies or make exploitable a largely untapped renewable energy resource, involving a clear degree of risk,
in technological, market or financial terms, which is higher than the risk generally associated with comparable non-innovative technologies or activities. According to the Association of European Renewable Energy Research Centers (EUREC)
[73], the EU’s industry is ready, in the right circumstances, to deploy innovative renewable energy technologies to a level likely to exceed 5%, including innovative technologies such as advanced photovoltaics, floating photovoltaics, concentrated solar power and solar thermal.</t>
  </si>
  <si>
    <t>Each Member State shall increase the share of renewable energy in the heating and cooling sector by at least 0.8 percentage points as an annual average calculated for the period 2021 to 2025 and by at least 1.1 percentage points as an annual average calculated for the period 2026 to 2030, starting from the share of renewable energy in the sector in 2020. RED III (Directive (EU) 2023/2413)</t>
  </si>
  <si>
    <t>Energy for heating and cooling makes up around half of the EU’s total gross final energy consumption. The annual average increases would lead to a target of 32.48% share by 2030. In 2022, the share of energy from renewables in heating and cooling continued to rise, with the EU average standing at 24.8%, up 1.8 percentage points from 2021 (23.0%). However, the 2022 value is still below the expected annual average. In absolute terms, the gross final consumption
of renewable energy for heating and cooling purposes in the EU has gradually increased over time, mostly due to the contribution of biomass and heat pumps. However, a major push is required to meet the 2030 target.
Sweden led the way when it came to renewables in heating and cooling, with a 69.3% share, followed by Estonia (65.4%). Both countries use mostly biomass and heat pumps. They are followed by Latvia (61.0%), which relies mostly on biomass.</t>
  </si>
  <si>
    <t>Member States shall ensure that the total final energy consumption of all public bodies combined is reduced by at least 1.9% each year, when compared to 2021. Directive (EU) 2023/1791</t>
  </si>
  <si>
    <t>14 Member States reported data on public buildings in their national energy
and climate progress reports (NECPRs). Missing data prevent drawing general conclusions or calculating aggregated data at the EU level. In terms of final energy, the short-term evolution indicates a general increase with some exceptions, such as the residential sector in Greece and Ireland. The first reporting deadline for the EED is at the end of 2024.</t>
  </si>
  <si>
    <t>Member States shall collectively ensure a reduction
of energy consumption of at least 11.7% in 2030 compared to the projections of the 2020 EU Reference Scenario so that the Union’s final energy consumption amounts to no more than 763 Mtoe.
Directive (EU) 2023/1791</t>
  </si>
  <si>
    <t>Final energy consumption reached 940 Mtoe in 2022, a 2.8% decrease compared with 2021. According to the EC assessment of the NECPs, the current Member States drafts pledges would lead to 5.8% energy efficiency improvements in 2030, compared to the target of 11.7%. Therefore, acceleration is needed to reach the 2030 target.</t>
  </si>
  <si>
    <t>Member States shall make efforts to collectively contribute to the indicative Union primary energy consumption target amounting to no more than 992.5 Mtoe in 2030.
Directive (EU) 2023/1791</t>
  </si>
  <si>
    <t>In 2022, primary energy consumption in the EU reached 1257 Mtoe, a 4.1% decrease compared with 2021, moving closer to the 2030 target.
Following the decline registered in 2020 due to the impact of the pandemic across sectors, EU primary energy consumption increased again in 2021. The year 2022 shows better results than in 2019, before the pandemic, when primary energy consumption was at 1354 Mtoe and 36.5% away from the target.
The 1257 Mtoe registered for primary energy consumption in 2022 was the second lowest level since 1990 (the first year for which data are available), and the lowest was in 2020 (1236 Mtoe).
According to the EC assessment of the NECPs, the current drafts would lead to a gap of 75 Mtoe from the 2030 target.</t>
  </si>
  <si>
    <t>Member States are required to achieve cumulative end-use energy savings from 2021 to 2030, equivalent to new annual savings of at least 0.8%
of final energy consumption in 2021-2023, at least 1.3% in 2024-2025, 1.5% in 2026-2027 and 1.9% in 2028-2030.
Directive (EU) 2023/1791</t>
  </si>
  <si>
    <t>The directive requires EU countries to set indicative national energy efficiency targets based on final energy consumption contributions to meet the Union’s target. This requirement is cumulative, meaning that Member States must sustain the annual savings achieved in one year over the following years, until the end of the obligation period in 2030.
Member States can spread the savings over the obligation period, as long as they achieve the required cumulative amount of savings at the end of the period. The progressive increase is equivalent to a flat rate of 1.49% over 2024-2030, which is almost a doubling of the current ambition level.</t>
  </si>
  <si>
    <t>TA2.41</t>
  </si>
  <si>
    <t>Each Member State shall ensure that at least 3% of the total floor area of heated and/or cooled buildings (of buildings which have a total useful floor area of over 250 m2 and are not nearly-zero energy buildings) that are owned by public bodies is renovated each year to be transformed into at least nearly zero- energy buildings or zero-emission buildings in accordance with Article 9 of Directive 2010/31/EU. Directive (EU) 2023/1791</t>
  </si>
  <si>
    <t>According to SWD(2023)646, several Member States did not reach their annual targets. Member States will have to step up their efforts to be able to meet the savings requirement in 2030.</t>
  </si>
  <si>
    <r>
      <t>Indicative national targets aiming to achieve the deep renovation of at least 35 million building units by 2030 to support reaching an annual energy renovation rate of 3 % or more for the period till 2050 (</t>
    </r>
    <r>
      <rPr>
        <u/>
        <sz val="10"/>
        <color theme="0" tint="-0.499984740745262"/>
        <rFont val="EC Square Sans Pro"/>
      </rPr>
      <t>see latest test adopted by EP on 14.03.2023</t>
    </r>
    <r>
      <rPr>
        <sz val="10"/>
        <color theme="0" tint="-0.499984740745262"/>
        <rFont val="EC Square Sans Pro"/>
      </rPr>
      <t>)</t>
    </r>
  </si>
  <si>
    <r>
      <t>Member States will also have to set out specific measures on the phase-out of fossil fuels in heating and cooling with a view to a complete phase-out of boilers powered by fossil fuels by 2040</t>
    </r>
    <r>
      <rPr>
        <b/>
        <sz val="9"/>
        <color theme="0" tint="-0.499984740745262"/>
        <rFont val="EC Square Sans Pro"/>
      </rPr>
      <t xml:space="preserve"> 
See ‘Commission welcomes political agreement on new rules to boost energy performance of buildings across the EU’ </t>
    </r>
  </si>
  <si>
    <r>
      <t>See ‘Commission welcomes political agreement on new rules to boost energy performance of buildings across the EU’</t>
    </r>
    <r>
      <rPr>
        <b/>
        <sz val="9"/>
        <color theme="0" tint="-0.499984740745262"/>
        <rFont val="EC Square Sans Pro"/>
      </rPr>
      <t> </t>
    </r>
  </si>
  <si>
    <r>
      <t>Develop measures to significantly increase efforts to identify, investigate, assess and remediate contaminated sites, so that soil pollution will no longer pose a health or environmental risk (</t>
    </r>
    <r>
      <rPr>
        <strike/>
        <u/>
        <sz val="10"/>
        <color theme="0" tint="-0.499984740745262"/>
        <rFont val="EC Square Sans Pro"/>
      </rPr>
      <t>target in common with the Biodiversity Strategy</t>
    </r>
    <r>
      <rPr>
        <strike/>
        <sz val="10"/>
        <color theme="0" tint="-0.499984740745262"/>
        <rFont val="EC Square Sans Pro"/>
      </rPr>
      <t>)</t>
    </r>
  </si>
  <si>
    <r>
      <t>Improve soil quality by reducing nutrient losses and chemical pesticides’ use by 50% (</t>
    </r>
    <r>
      <rPr>
        <u/>
        <sz val="10"/>
        <color theme="0" tint="-0.499984740745262"/>
        <rFont val="EC Square Sans Pro"/>
      </rPr>
      <t>target partially in common with the Farm to Fork strategy and Biodiversity strategy</t>
    </r>
    <r>
      <rPr>
        <sz val="10"/>
        <color theme="0" tint="-0.499984740745262"/>
        <rFont val="EC Square Sans Pro"/>
      </rPr>
      <t>) - focus on water quality and nutrient loss</t>
    </r>
  </si>
  <si>
    <r>
      <t>Minimise or eliminate the use of pesticides in sensitive areas such as urban green areas (</t>
    </r>
    <r>
      <rPr>
        <u/>
        <sz val="10"/>
        <color theme="0" tint="-0.499984740745262"/>
        <rFont val="EC Square Sans Pro"/>
      </rPr>
      <t>target not strictly reported in the Biodiversity dashboard platform</t>
    </r>
    <r>
      <rPr>
        <sz val="10"/>
        <color theme="0" tint="-0.499984740745262"/>
        <rFont val="EC Square Sans Pro"/>
      </rPr>
      <t>)</t>
    </r>
  </si>
  <si>
    <r>
      <rPr>
        <b/>
        <sz val="10"/>
        <color theme="0" tint="-0.499984740745262"/>
        <rFont val="EC Square Sans Pro"/>
      </rPr>
      <t xml:space="preserve">Remove micropollutants from wastewater. </t>
    </r>
    <r>
      <rPr>
        <sz val="10"/>
        <color theme="0" tint="-0.499984740745262"/>
        <rFont val="EC Square Sans Pro"/>
      </rPr>
      <t xml:space="preserve">An additional treatment, i.e. quaternary treatment, should therefore be introduced in order to ensure that a large spectrum of micro-pollutants is removed from urban wastewater. All urban wastewater treatment plants of 100 000 p.e. and above should provide quaternary treatment. For agglomerations of between 10 000 p.e. and 100 000 p.e., Member States should be required to apply quaternary treatment to areas identified as sensitive to pollution with micro-pollutants based on clear criteria, which should be specified. </t>
    </r>
  </si>
  <si>
    <r>
      <rPr>
        <b/>
        <sz val="10"/>
        <color theme="0" tint="-0.499984740745262"/>
        <rFont val="EC Square Sans Pro"/>
      </rPr>
      <t>Improve nutrient removal from wastewater.</t>
    </r>
    <r>
      <rPr>
        <sz val="10"/>
        <color theme="0" tint="-0.499984740745262"/>
        <rFont val="EC Square Sans Pro"/>
      </rPr>
      <t xml:space="preserve"> Tertiary treatment should be systematically imposed to all urban wastewater treatment plants of 100 000 p.e. and above, as such plants represent an important remaining source of nitrogen and phosphorus discharge. Tertiary treatment should also be mandatory in agglomerations of 10 000 p.e. and above that are discharging in areas subject to, or at risk of, eutrophication.</t>
    </r>
  </si>
  <si>
    <t>Member States shall ensure that the average primary energy use of the entire residential building stock decreases by at least 16% compared to 2020 by 2030; and by at least 20-22% compared to 2020 by 2035
EPBD (Directive (EU) 2024/1275)</t>
  </si>
  <si>
    <t>EU residential consumption in 2022 was 242 Mtoe (reduced by -2.1% on average in EU Member States compared to 2020). Strong acceleration is needed to meet the 2030 target</t>
  </si>
  <si>
    <t>Member states will have to renovate 16% of worst- performing non-residential buildings by 2030 and, by 2033, the worst-performing 26% through minimum energy performance requirements.
EPBD (Directive (EU) 2024/1275)</t>
  </si>
  <si>
    <t>Member States use different approaches to define their worst performing stock, such as energy class, age, energy consumption, as resulted by the analysis of the last long term building renovation strategies. In their NECPRs, a total of 6 countries defined worst performance according the primary or final energy consumption in kWh/m2, while no information was found in 12 other countries.</t>
  </si>
  <si>
    <t>The national measures will have to ensure that at least 55% of the decrease of the average primary energy use is achieved through the renovation of the worst-performing buildings.
EPBD (Directive (EU) 2024/1275)</t>
  </si>
  <si>
    <t>Member States use different approaches to define their worst performing stock, such as energy class, age, energy consumption, as resulted by the analysis of the last long term building renovation strategies. In the NECPR, a total of 6 countries defined worst performance according the primary or final energy consumption in kWh/m2, while no information was found in 12 other countries. The fields on worst performing buildings have generally a lower completeness in the NECPRs</t>
  </si>
  <si>
    <t>Indicative target of at least a 49% share of energy from renewable sources in the building sector in the Union’s final energy consumption in buildings in 2030. RED III (Directive (EU) 2023/2413)</t>
  </si>
  <si>
    <t>No data available for buildings, only for the heating and cooling sector. From this data, the most reported fuels and technologies in 2021 per country are: biomass (21 countries), heat pumps (19), solar thermal systems (17), geothermal systems (12) and other decentralised renewable sources (8).</t>
  </si>
  <si>
    <t>By 31 December 2025, each Member State shall agree to establish a framework for cooperation on joint projects with one or more other Member States for the production of renewable energy, subject to the following: by 31 December 2030, Member States shall endeavour to agree on establishing at least two joint projects; by 31 December 2033, Member States with an annual electricity consumption of more than 100 TWh shall endeavour to agree on establishing a third joint project.
RED III (Directive (EU) 2023/2413)</t>
  </si>
  <si>
    <t>Joint projects allow for a cost-efficient deployment of renewable energy across Europe and contribute to market integration. Despite its potential, cooperation between Member States has been very limited, thus leading to suboptimal results in terms of efficiency in increasing renewable energy. There are a few projects under consideration and being planned, as well as some permitting and under construction. However, these are in localised areas across the EU and not homogeneously distributed between Member States.</t>
  </si>
  <si>
    <t>A target of 15% electricity interconnection for 2030
RED III (Directive (EU) 2023/2413)</t>
  </si>
  <si>
    <t>In 2021, 16 countries reported being on track to reach that target by 2030, or had already reached the target, but more interconnections are needed in some regions. Specifically, eight Member States have already met or are exceeding the EU target. Others commit in their draft NECPs to develop interconnections with neighbouring countries by investing in new transmission capacities and interconnectors, espe- cially in regions that are historically dependent on a single supplier and now aim to improve diversification. Moreover, some Member States (e.g. EE, FI, IT and PT) plan to diversify their energy mix by carrying out joint hydrogen infrastructure projects [7]. Overall, Member States have made good efforts to increase cross-border capacity and the completion of various Projects of Common Interest should further improve the interconnectivity levels. Some Member States (CZ, IT, PT RO, SI, SE) are reporting delays in the completion of the projects in particular due to permitting issues. Still further efforts are required to meet the 2030 objectives, especially in terms of timely delivery of the planned cross-border projects [72].</t>
  </si>
  <si>
    <t>Member States shall ensure that the contribution
of renewable fuels of non-biological origin used for final energy and non-energy purposes shall be at least 42% of the hydrogen used for final energy and non-energy purposes in industry by 2030, and 60% by 2035.
RED III (Directive (EU) 2023/2413)</t>
  </si>
  <si>
    <t>The use of renewable hydrogen in Europe was negligible up to 2023, including also in industrial processes.</t>
  </si>
  <si>
    <t>Reach energy neutrality in the wastewater treatment sector by 2045.
Directive concerning urban wastewater</t>
  </si>
  <si>
    <t>There is a considerable potential for reducing fossil fuel-based energy use and GHG emissions in wastewater treatment and market incentives are increasingly attractive for investments in this direction. Member states should be required to ensure that the total annual energy used by all urban wastewater treatment plants on their territory treating a load of 10 000 population equivalent1 and above does not exceed the production of energy from renewable sources.
1 A number expressing the ratio of the sum of the pollution load in wastewater to the individual pollution load in household sewage produced by one person at the same time</t>
  </si>
  <si>
    <t>By 2030, the share of renewable energy in the electricity mix should double to 55-60%, and projections show a share of around 84% by 2050. The remaining gap should be covered by other low-carbon options.
An EU Strategy for Energy System Integration</t>
  </si>
  <si>
    <t>In 2022, 39% of electricity was generated by renewables (38% in 2021), and in May 2022 wind and solar surpassed fossil fuels for the first time in EU electricity generation. The EU is on track to meet the lower end of the target for 2030 if the current acceleration rate is maintained</t>
  </si>
  <si>
    <t>Reduce buildings’ final energy consumption by 14%.
A Renovation Wave for Europe</t>
  </si>
  <si>
    <t>The reference value for 2015 is 374.5 Mtoe. The final energy consumption (FEC) increased in 2021 to 391.2, value obtained from adding FEC from service and residential buildings (129.4 and 261.8 Mtoe). In 2022, the FEC decreased to 364.1 Mtoe, with 121.6 Mtoe coming from service buildings and 242.4 from residential buildings. Consumptions decreased by 2.8% in the 2015-2022 period.</t>
  </si>
  <si>
    <t>At least double the annual energy renovation rate of residential and non-residential buildings by 2030 and to foster deep energy renovations.
A Renovation Wave for Europe</t>
  </si>
  <si>
    <t>The weighted annual energy renovation rate in the EU is about 1%, rate should double to 2% to achieve the target. For residential buildings, the annual weighted energy renovation rate was estimated close to 1% within the EU (0.4-1.2% depending on the Member State), for the 2012-2016 period. As of 2021, the annual rate of deep renovation is only 0.2% for residential buildings and 0.3% for non-residential buildings.
Data on renovation rates in the NECPR are highly incomplete, with only seven Member States reporting in this field in 2023</t>
  </si>
  <si>
    <t>Double the current deployment rate of individual heat pumps, resulting in a cumulative 10 million units by 2027 and 30 million units by 2030.
REPowerEU</t>
  </si>
  <si>
    <t>The deployment rate was 2.2 million heat pumps in 2021 and 3 million in 2022. There are nearly 20 million heat pumps installed in the EU as of 2022. The current rate is enough to reach the 2030 target.</t>
  </si>
  <si>
    <t>Reduce buildings’ energy consumption for heating and cooling by 18% compared to 2015 levels by 2030
A Renovation Wave for Europe</t>
  </si>
  <si>
    <t>The reference value for 2015 is 234 Mtoe. In 2021, FEC for space heating and cooling buildings was 247.2 Mtoe, obtained from adding FEC for space heating residential + FEC for air conditioning residential (only electricity) + FEC for space heating services + FEC for air conditioning = 170.72 + 1.01 + 64.9 + 10.6 = 247.2 Mtoe (data from [75]). Consumptions increased by 5.6% (2015-2021), instead of reducing.
Data for 2022 has not been published yet, however an estimate can be provided based on the 2015-2021 average share of services FEC for space heating and air conditioning to total services FEC (56%).
2022 FEC for space heating and cooling buildings = FEC for space heating residential + FEC for air conditioning residential (only electricity) + FEC for space heating and air conditioning services = 159.4 + 1.1 + 68.0 = 228 Mtoe. Consumptions expected to decrease by 1.3% (2015-2022).</t>
  </si>
  <si>
    <t>Reduce buildings’ greenhouse gas emissions by 60%, by 2030 (compared to 2015), and reach climate neutrality by 2050
A Renovation Wave for Europe</t>
  </si>
  <si>
    <t>In 2015 buildings direct GHG emissions were 541 MtCO2e, therefore the target value for 2030 is 216 MtCO2e.
European Climate Neutrality Observatory data shows past progress of 5 MtCO2e between 2016 and 2021. To meet the target, the required annual change between 2021 and 2030 needs to be 7.5 times faster than the past rate of progress. Overall, buildings are responsible for about 40%
of the EU’s total energy consumption, and for 36% of its greenhouse gas emissions from energy (including indirect emissions). Buildings related emissions belonging to fossil fuelled district heating, electric heating and electricity use of heat pumps are covered by EU ETS, while the rest is covered by the ESR.</t>
  </si>
  <si>
    <t>Set up at least one renewables-based energy community in every municipality with a population higher than 10.000 by 2025
EU Solar Energy Strategy</t>
  </si>
  <si>
    <t>For the 2010-2021 period, energy communities in the EU were still a niche in most national energy markets, with an estimated 9250 energy communities currently in operation across the EU and highly unbalanced distribution among Member States. More than half of these are located in Germany and almost 1000 are in the Netherlands. To date, however, a systematic and cross-country database on citizen-led initiatives and projects is lacking [74].</t>
  </si>
  <si>
    <t>Bring online over 320 GW of solar photovoltaic by 2025 and almost 600 GW by 2030
EU Solar Energy Strategy</t>
  </si>
  <si>
    <t>The EU solar generation capacity keeps increasing and reached, according to SolarPower Europe, an estimated 260 GW in 2023, 224 GWac (ac: alternating current) according to JRC estimates [75]. Compared to 177 GWac (ac: alternating current) in 2022. Based on the latest data, the 2025 target could be achieved.</t>
  </si>
  <si>
    <t>Energy demand to be covered by solar heat and geothermal should at least triple (rate is currently at 1.5%)
EU Solar Energy Strategy</t>
  </si>
  <si>
    <t>Share should be 4.5% by 2030. In 2021, the relative size of solar thermal in overall heat consumption was 0.687 TWh (0.1%), over the total of 651 TWh. According to EurObserv'ER, there was a 10% growth in 2022, while the required annual rate growth is 12% to reach the target.</t>
  </si>
  <si>
    <t>Over this decade, the EU will need to install, on average, approximately 45 GW per year of PV to reach the share of 45% of energy coming from renewables set out in the REPowerEU Plan.
EU Solar Energy Strategy</t>
  </si>
  <si>
    <t>The installations in 2023 are estimated at 56 GWp (about 47 GWac) growing from 41 GWp (about 34 GWac) in 2022. At this current rate, the target is met.</t>
  </si>
  <si>
    <t>Cumulative EU offshore goals of installed capacity: 60 GW by 2030 and 300 GW by 2050
An EU offshore Renewable Energy Strategy</t>
  </si>
  <si>
    <t>In 2023, the cumulative installed capacity for wind offshore was on the order of 19 GW (it was 16.2 GW in 2022). Annual installation rate grew from 1.2 GW/year to around 3GW/year. A substantial increase is required in annual installations to reach 60 GW by 2030 (about twice the increase rate). Additionally, Member States have agreed to a new more ambitious non-binding target of reaching 111 GW by 2030 and 317 GW by 2050.</t>
  </si>
  <si>
    <t>The strategy sets targets for an installed capacity of at least 1 GW of ocean energy by 2030 and 40 GW by 2050
An EU offshore Renewable Energy Strategy</t>
  </si>
  <si>
    <t>In 2023, the EU Member States installed in the order of 700 kW of
ocean energy (compared to 150 kW in 2022) and the cumulative ocean energy capacity in European sea basins is 43.8 MW. While there has been a positive increase in installations in the last year, the rate of annual installed capacity should still grow substantially to reach the 2030 target. Strong acceleration is needed.</t>
  </si>
  <si>
    <r>
      <t>5. The decline of pollinators is reversed (</t>
    </r>
    <r>
      <rPr>
        <u/>
        <sz val="10"/>
        <color theme="1"/>
        <rFont val="EC Square Sans Pro"/>
      </rPr>
      <t>the target is in common with "A New Deal for Pollinators"</t>
    </r>
    <r>
      <rPr>
        <sz val="10"/>
        <color theme="1"/>
        <rFont val="EC Square Sans Pro"/>
      </rPr>
      <t>)</t>
    </r>
  </si>
  <si>
    <t>REPowerEU sets a target of 10 million tonnes of domestic renewable hydrogen production and 10 million tonnes of renewable hydrogen imports by 2030.
REPowerEU</t>
  </si>
  <si>
    <t>European production capacity is not yet officially monitored, but there are estimates of production of around 23ktH2/year, which is very far away from the target of 10 MtH2/year. Imports are currently non-existent.</t>
  </si>
  <si>
    <t>Around 30% of EU primary steel production is ex- pected to be decarbonised on the basis of renewable hydrogen.
REPowerEU</t>
  </si>
  <si>
    <t>The use of renewable hydrogen in Europe is negligible at the moment. This also includes industrial processes. Several initiatives at the European level such as Projects of Common Interest (PCIs), Important Projects of Common European Interest (IPCEIs), and the Hydrogen Bank, are expected to kick- start production of renewable hydrogen at scale. Several of the financed initiatives are targeting the production of green steel and currently Europe has the highest number of projects aimed at using renewable hydrogen for the production of steel.</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</si>
  <si>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</si>
  <si>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Initiatives are ongoing and deployment of electrolysers is increasing, but it is unlikely that the target of deploying 6 GW of hydrogen generation capacity will be reached by the end of 2024.</t>
  </si>
  <si>
    <t>Currently, there is no official monitoring system in place and therefore it is not possible to assess if the target will be reached.</t>
  </si>
  <si>
    <t>Producers of portable batteries or, where appointed in accordance with Article 57(1), producer responsibility organisations, shall attain, and maintain durably,
at least the following collection targets for waste portable batteries:
- 45% by 31 December 2023; - 63% by 31 December 2027; - 73% by 31 December 2030. Regulation (EU) 2023/1542</t>
  </si>
  <si>
    <t>The calculation methodology is under development and these targets will be updated accordingly, whilst maintaining the same level of ambition.
Currently, there is no robust data to assess the distance to the targets (e.g. due to new types of batteries entering in the markets, longer lifetime of batteries, new applications).
Assuming the ambition of the targets, attention might be paid in the implementa- tion phase at Member State level.</t>
  </si>
  <si>
    <t>Producers of LMT batteries or, where appointed in accordance with Article 57(1), producer responsibility organisations, shall attain, and maintain durably, at least the following collection targets of waste LMT batteries:
- 51% by 31 December 2028; - 61% by 31 December 2031. Regulation (EU) 2023/1542</t>
  </si>
  <si>
    <t>The calculation methodology is under development and these targets will be updated accordingly, whilst maintaining the same level of ambition. Considering that light means of transport batteries represent a new market and collection systems need to be adapted, currently it is not possible to assess whether these ambitious targets are reachable or not.</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</si>
  <si>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
From 18 August 2031, 16% cobalt; 85% lead; 6% lithium; and 6% nickel;
From 18 August 2036, 26% cobalt; 85% lead; 12% lithium; and 15% nickel.
Regulation (EU) 2023/1542</t>
  </si>
  <si>
    <t>The assessment methodology is under development. Therefore, it is not possible to assess whether all producers will be able to reach these targets.
JRC internal calculations show that these targets are in principle feasible, although significant changes in the industrial production systems are needed.</t>
  </si>
  <si>
    <t xml:space="preserve">Any  natural or legal person that places on the market products incorporating portable batteries shall ensure that those batteries are readily removable and replaceable by the end-user at any time during the lifetime of the product. That obligation shall only apply to entire batteries and not to individual cells or other parts included in such batteries.
Regulation (EU) 2023/1542
</t>
  </si>
  <si>
    <t>This target is ambitious with a very wide coverage of products, many of which are expected to be redesigned in order to be compliant. However, high uncertainty on distance to target lies with existence of derogations and the challenge to establish them at product-specific level. The Delegated Acts expected to specify deroga- tions are not yet in place. Verification and procedures to accept/reject derogation applications will also need to be defined in the Delegated Acts.</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</si>
  <si>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</si>
  <si>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Based on current draft guidance for calculation and verification rules for recycling efficiency, the targets for lead-acid, nickel-cadmium and other waste batteries are feasible.
Since, for lead-acid batteries, the battery chemistry and related recycling technologies are fully mature and efficient. For both nickel-cadmium and other waste batteries, it will be important to monitor the performances due to the evolving market for these chemistries.</t>
  </si>
  <si>
    <t>Recycling shall achieve at least the following targets for recycling efficiency:
- No later than 31 December 2025, 65% by average weight of lithium-based batteries;
- No later than 31 December 2030, 70% by average weight of lithium-based batteries.
Regulation (EU) 2023/1542</t>
  </si>
  <si>
    <t>The 2025 target for lithium-based batteries is in principle feasible, however due to the increasing diversity of lithium-based batteries on the market, it is important to closely monitor the performance towards the target. Furthermore, there are some improvement opportunities when data is available, recycling systems are established and when the target is revised by 2027.</t>
  </si>
  <si>
    <t>All recycling shall achieve at least the following targets for recovery of materials:
- No later than 31 December 2027, 90% for cobalt, copper, lead, nickel;
- No later than 31 December 2031, 95% for cobalt, copper, lead, nickel;
Regulation (EU) 2023/1542</t>
  </si>
  <si>
    <t>Based on the current draft guidance for the calculation and verification rules for material recovery, the targets for cobalt, copper, lead and nickel are feasible.</t>
  </si>
  <si>
    <t>All recycling shall achieve at least the following targets for recovery of materials, 50% for lithium, no later than 31 December 2027; and 80% for lithium no later than 31 December 2031.
Regulation (EU) 2023/1542</t>
  </si>
  <si>
    <t>Based on the current draft guidance for the calculation and verification rules, the target for lithium is in principle feasible. Significant investments in lithium recycling systems are required.</t>
  </si>
  <si>
    <t>By 2030, Union extraction capacity should be able
of extracting the ores, minerals or concentrates needed to produce at least 10% of the Union’s annual consumption of strategic raw materials, to the extent possible in light of the Union’s reserves.
Regulation (EU) 2024/1252</t>
  </si>
  <si>
    <t>The historical time trends (2011-2022) for EU self-sufficiency at extraction phase for the 16 strategic materials can be extracted based on data from [121], [122] and [123]. Results show that:
- In 2022, cobalt, copper, lithium and nickel were above the benchmark of 10%, while their trends have been stably above the benchmark (i.e. copper and nickel) or increased slightly in the period 2011-2022 (i.e. cobalt and lithium)1.
- For bismuth, boron, gallium, germanium, magnesium, natural graphite, titanium, platinum group metals, heavy rare earth elements and light rare earth elements, the EU’s self-sufficiency has always been below 2%.
- Between 2016 and 2022, the EU’s self-sufficiency for manganese was below the benchmark, with values ranging from 4 to 10% in the time frame 2016-2022.
1 Due to high volatility on the data for tungsten (only two date points available from EC studies), this material is not included in the analysis.</t>
  </si>
  <si>
    <t>By 2030, Union processing capacity, including for all intermediate processing steps, should be able of producing at least 40% of the Union’s annual consumption of strategic raw materials. Regulation (EU) 2024/1252</t>
  </si>
  <si>
    <t>The historical time trends (2011-2022) for the EU self-sufficiency at processing phase for the 16 strategic materials can be extracted based on data from [121] and [122] and [123]. Results show that:
- The EU’s self-sufficiency for copper, cobalt and germanium was above the benchmark in 2022. For copper, this value has been stably above 80% in the period 2011-2022. For cobalt and germanium, the trend was fluctuating and more unstable, but increasing in between 2018 and 2022.
- The EU’s self-sufficiency was below the benchmark in 2022 for bismuth, boron, gallium and platinum group metals, with gallium showing a drastic decrease from 2011 (100%) to 2022 (2%).
- The EU has no self-sufficiency to process lithium, magnesium, natural graphite, titanium, and both heavy and light rare earth elements, while there is no sufficient data available for tungsten, nickel and manganese.</t>
  </si>
  <si>
    <t>By 2030, Union recycling capacity, including for
all intermediate recycling steps, should be able
of producing at least 25% of the Union’s annual consumption of strategic raw materials and should be able of recycling significantly increasing amounts of each strategic raw material from waste.
Regulation (EU) 2024/1252</t>
  </si>
  <si>
    <t>The historical trends of the recycling capacity for strategic materials can be assessed by looking at the evolution of the End-of-Life Recycling Input Rate of strategic materials over time. Out of 16 strategic materials, the recycling capacity: - was above the 25% benchmark in 2022 for two materials (copper and tungsten), - was between 22% and 5% in 2022 for eight materials groups (cobalt, magnesium, manganese, nickel, titanium, platinum group metals, and both heavy and light rare earth elements)
- was below 5% for six materials (bismuth, boron, gallium, germanium, lithium and natural graphite)</t>
  </si>
  <si>
    <t>Diversify the Union’s imports of strategic raw materials with a view to ensuring that, by 2030, the Union’s annual consumption of each strategic raw ma- terial at any relevant stage of processing can rely on imports from several third countries or from overseas countries or territories (OCTs) and that no third country accounts for more than 65% of the Union’s annual consumption of such a strategic raw material. Regulation (EU) 2024/1252</t>
  </si>
  <si>
    <t>Half of the 16 strategic raw materials have values above the 65% target, therefore there is a low diversification of sourcing countries. These include bismuth, gallium, lithium, magnesium, platinum group metals, and both heavy and light rare earth elements.</t>
  </si>
  <si>
    <t>By 2030, manufacturing capacity in the Union of the strategic net-zero technologies listed in the Annex approaches or reaches a benchmark of at least 40% of the Union’s annual deployment needs.Net Zero Industry Act</t>
  </si>
  <si>
    <t>Target set in 2023, data is currently not available to assess this target.</t>
  </si>
  <si>
    <t>All packaging shall be recyclable
Proposal on packaging and packaging waste</t>
  </si>
  <si>
    <t>Criteria and assessment methodology under development</t>
  </si>
  <si>
    <t>Member States shall take measures to achieve a sus- 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</si>
  <si>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Data are only available for 18 Member States, 12 Member States have already achieved the 2025 target. The 6 other Member States that are have not met the target yet have indicated a clear drop from 2018 plastic bag consumption values, suggesting that these Member States are on track to reach the 2025 target. Currently, data are not available for the following 9 Member States: Bulgaria, Denmark, Estonia, Greece, Italy, Malta, Netherlands, Romania and Finland [124].</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</si>
  <si>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</si>
  <si>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On average, the packaging waste generated increased from 157 kg per person in 2011 to 178 kg per person in 2020. Most Member States have reported
a steady growth in packaging waste generation per capita in the period of 2011-2020, particularly Romania, Bulgaria, Croatia, Hungary, Poland and Czechia [99]. Currently, none of the Member States is on track to reach the packaging waste reduction targets. However, the newly agreed Plastic and Packaging Waste Regulation intends to bend the currently observed stagnant or upward trend of packaging waste generation through a number of measures, in particular binding reuse and refill requirements.</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</si>
  <si>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</si>
  <si>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For all packaging at the EU level2, the 2025 recycling rate target is feasible. However, 10 Member States are at risk of missing the 2025 target, including Bulgaria, Croatia, Cyprus, Greece, Hungary, Lithuania, Malta, Poland, Romania and Slovakia [125].</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</si>
  <si>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</si>
  <si>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Plastic is the most critical packaging category for which the targets are clearly above current levels of recycling. 19 Member States are at risk of missing the 2025 target, including Austria, Bulgaria, Croatia, Cyprus, Denmark, Finland, France, Greece, Hungary, Ireland, Italy, Latvia, Luxembourg, Malta, Poland, Portugal, Romania, Slovakia and Spain [125].
2 EU-level, based on a weighted average between Member State population and recycling rate percentage.</t>
  </si>
  <si>
    <t>Member States shall take the necessary measures to attain a recycling target of 25% of wood by weight of wood contained in packaging waste generated by 31 December 2025 and of 30% by 31 December 2030. Proposal on packaging and packaging waste</t>
  </si>
  <si>
    <t>For wooden packaging at the EU level2, the recycling rates are very feasible or have already been achieved. Nonetheless, Croatia and Malta are at risk of missing the 2025 target [125].</t>
  </si>
  <si>
    <t>Member States shall take the necessary measures to attain a recycling target of 70% of ferrous metals by weight of ferrous metals contained in packaging waste generated by 31 December 2025 and of 80% by 31 December 2030
Proposal on packaging and packaging waste</t>
  </si>
  <si>
    <t>Considering the high recycling rates for metallic packaging at the EU level2, the 2025 and 2030 recycling targets seem achievable. However, 5 Member States are at risk of missing the 2025 target, including Croatia, Denmark, Malta, Portugal and Romania [125].</t>
  </si>
  <si>
    <t>Member States shall take the necessary measures to attain a recycling target of 50% of aluminium by weight of aluminium contained in packaging waste generated by 31 December 2025 and of 60% by 31 December 2030
Proposal on packaging and packaging waste</t>
  </si>
  <si>
    <t>Similarly for aluminium, the high recycling rates registered for metallic packaging suggest that both recycling targets are achievable, at least at the EU level2. Nonetheless, 9 Member States are at risk of missing the 2025 target, including Croatia, Cyprus, Czechia, Greece, Malta, Portugal, Romania, Slovakia and Spain [125].</t>
  </si>
  <si>
    <t>Member States shall take the necessary measures to attain a recycling target of 70% of glass by weight of glass contained in packaging waste generated by 31 December 2025 and of 75% by 31 December 2030 Proposal on packaging and packaging waste</t>
  </si>
  <si>
    <t>For glass packaging, at least at the EU level2, the recycling rate targets are very feasible or have already been achieved. Several Member States are at risk of missing the 2025 target, including Bulgaria, Croatia, Cyprus, Greece, Hungary, Lithuania, Malta, Poland, Portugal and Romania [125].</t>
  </si>
  <si>
    <t>Member States shall take the necessary measures to attain a recycling target of 75% of paper and card- board by weight of paper and cardboard contained in packaging waste generated by 31 December 2025 and of 85% by 31 December 2030
Proposal on packaging and packaging waste</t>
  </si>
  <si>
    <t>For paper and cardboard packaging, at least at the EU level2, the recycling rate targets are very feasible or have already been achieved. Nonetheless, Croatia, Malta, Slovakia and Spain are at risk of missing the 2025 target [125].
2 EU-level, based on a weighted average between Member State population and recycling rate percentage.</t>
  </si>
  <si>
    <t>The plastic part in packaging shall contain the following minimum percentage of recycled content recovered from post-consumer plastic waste, per unit of packaging: From 1 January 2030
(i) 30% for contact sensitive packaging made from polyethylene terephthalate (PET) as major component;
(ii) 10% for contact sensitive made from plastic materials other than PET, except single use plastic bottles;
(iii) 30% for single use plastic beverage bottles;
(iv) 35% for other plastic packaging
From 1 January 2040
(v) 50% for contact sensitive plastic packaging, except single use plastic beverage bottles;
(vi) 65% for single use plastic beverage bottles;
(vii) 65% for other plastic packaging
Proposal on packaging and packaging waste</t>
  </si>
  <si>
    <t>Currently, there are no official statistics on the recycled content in plastic packaging, due to the lack of EU guidelines on calculating and reporting recycled content. As of 2022, there is no recycled content in food-contact (non-PET) plastic packaging, 20% in PET packaging and 14% for other plastic packaging [126], [127]. These recycled content rates are still far away from the 2030 targets of 10%, 30% and 35% for each plastic packaging category, respectively.</t>
  </si>
  <si>
    <t>Reduce the generation of food waste in processing and manufacturing by 10% in comparison to the amount generated in 2020
Proposal amending Directive 2008/98/EC on waste</t>
  </si>
  <si>
    <t>Reduce the generation of food waste per capita, jointly in retail and other distribution of food, in restaurants and food services and in households, by 30% in comparison to the amount generated in 2020 Proposal amending Directive 2008/98/EC on waste</t>
  </si>
  <si>
    <t>Data for these targets is only available for 2020 and for 2021 in Eurostat, therefore it is still early to define a clear trend. However, based on the analysis performed in the impact assessment of the Proposal for a Directive amending Directive 2008/98/EC on waste [108], it is possible to estimate that the target is feasible, but progress needs to accelerate to reach the target value.</t>
  </si>
  <si>
    <t>Producers of starting, lighting and ignition batteries, industrial batteries and electric vehicle batteries or, where appointed in accordance with Article 57(1), producer responsibility organisations, shall take
back, free of charge and without an obligation on the end- user to buy a new battery, nor to have bought the battery from them, and shall ensure that all
waste starting, lighting and ignition batteries, waste industrial batteries and waste electric vehicle batteries regardless of their nature, chemical composition, condition, brand, or origin of the respective category that they have made available on the market for the first time in the territory of that Member State are collected separately.
Regulation (EU) 2023/1542</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</si>
  <si>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</si>
  <si>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feasibility of the target depends on the calculation method and related data. As stated in the impact assessment study, while substantial progress has been made since 2000 to reach the 85% recycling/reuse target set out in the ELV Directive, a large share of materials, in particular automotive shredder residue, is sent to landfills or incinerated (i.e. not valorised) [128].</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</si>
  <si>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</si>
  <si>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TA3.49</t>
  </si>
  <si>
    <t>TA3.50</t>
  </si>
  <si>
    <t>Although the calculation method has not be defined, the JRC assumes that these ambitious targets are in principle reachable (also based on [129]). JRC highlight that they require significant changes in the industrial production systems both in the production and uptake of high-quality recycled plastics.</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</si>
  <si>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</si>
  <si>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Although the calculation method has not been defined, JRC assumes that this feature of the targets is in principle reachable. JRC highlights that they require significant innovations in the industrial production systems both in the production and uptake of high-quality recycled plastics, in particular in the area of end-of-life vehicle collection and treatment and wide deployment of post-shredder sorting technologies.</t>
  </si>
  <si>
    <t>TA3.51</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</si>
  <si>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</si>
  <si>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targets should in principle be reached [129], especially if other incentives on demand for recycled materials (See article 6) promote the wide deployment of post-shredder sorting technologies.</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</si>
  <si>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</si>
  <si>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targets should in principle be reached, especially if other incentives on demand of recycled plastics (See article 6) promote the wide deployment of post-shredder sorting technologies.</t>
  </si>
  <si>
    <t>For this target, 2020 was assumed as the reference year, since the new CEAP was published in March 2020. This target is also recalled in the 'Zero Pollution Action Plan'. The target aims at halving the amount of residual municipal waste by 2030. Assuming as a reference year the 2020, the residual municipal waste should be reduced from 119 to 59.5 Mtonnes.
Looking at historical trends, the amount of residual municipal waste decreased by only 5% in the time frame 2012-2021 and slightly increased in the last seven years (2015-2021, +2.6%). Despite increasing recycling levels, the amount of waste generated is increasing at a higher pace [130].</t>
  </si>
  <si>
    <t>Halve the amount of residual (non-recycled) municipal waste by 2030
A new Circular Economy Action Plan</t>
  </si>
  <si>
    <t>Double EU’s circular material use rate in the coming decade
A new Circular Economy Action Plan</t>
  </si>
  <si>
    <t>This target aims to increase the circular material use rate (CMUR) from 11.7% in 2020 to 23.4% in 2030. At the EU level, this target has been steady since 2010, registering an increase of less than 1 percentage point [131]. As such, there is a stagnation in the pace of improvement of the CMUR indicator. At the Member State level, CMUR shows a high variability with values ranging from 0.6 to 27.5% in 2022.</t>
  </si>
  <si>
    <t>TA3.52</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</si>
  <si>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</si>
  <si>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current lack of data does not allow to assess the status of this target.</t>
  </si>
  <si>
    <t>Member States shall ensure that, by 31 December 2030, at least one publicly accessible hydrogen refuelling station is deployed in each urban node. Regulation (EU) 2023/1804</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</si>
  <si>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</si>
  <si>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The extent of the urban nodes equipped with publicly accessible hydrogen refuel- ling stations is mostly localised in the central-northern EU (see TENtec Interactive Map Viewer). The number of Hydrogen refuelling stations is steadily increasing in the EU. The Alternative Fuels Infrastructure Regulation sets the minimum goals for hydrogen refuelling stations deployment until 2030, which should significantly increase from the current 200 operational stations
(see Clean Hydrogen Monitor 2023, p. 145)</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</si>
  <si>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</si>
  <si>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EU shipping emissions increased by 5.6% in 2021 from the previous year, rebounding from the COVID-19 induced slump of 2020. The target for 2025 seems unlikely to be reached.
The EEA projections suggest that, even with measures currently planned in the Member States, emissions from domestic navigation are projected to remain relatively stable in the coming years. International maritime transport emissions are projected to continue increasing.</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</si>
  <si>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in 2025 and 5.5% in 2030, of which a share of at least 1 percentage point is from renewable fuels of non-biological origin in 2030. Directive (EU) 2023/2413</t>
  </si>
  <si>
    <t>According to EurObserv’ER [155] the contribution of advanced biofuels already reached 1% in 2022 (indicative data). The target for 2025 has already been reached. Nevertheless, the sub-target for RFNBO of 1 percentage point for 2030 is not on track as of 2022 data, but the uptake of RFNBO is expected to grow in the coming years, providing enough time to reach the 2030 target.</t>
  </si>
  <si>
    <t>The share of biofuels and biogas produced from
the feedstock listed in Part B of Annex IX in the energy content of fuels and electricity supplied to the transport sector shall, except in Cyprus and Malta, be limited to 1.7%.
Directive (EU) 2023/2413</t>
  </si>
  <si>
    <t>The EU share (including Cyprus and Malta) was 1.28% in 2021, it increased to 1.35% in 2022. This target is currently on track.</t>
  </si>
  <si>
    <t>Achieve an annual production of sustainable biomethane of 35 billion cubic meters by 2030 Directive (EU) 2023/2413</t>
  </si>
  <si>
    <t>In 2021, the total biomethane production in the EU was 3.5 billion cubic meters, produced in about 1300 biomethane plants. Production increased in 2022 to reach 4.2 bcm. In order to reach 35 billion cubic meters, an estimate of 5000 additional plants are required. .</t>
  </si>
  <si>
    <t>Member States with maritime ports shall endeavour to ensure that as of 2030 the share of renewable fuels of non-biological origin (RFNBOs) in the total amount of energy supplied to the maritime transport sector is at least 1.2%.
Directive (EU) 2023/2413</t>
  </si>
  <si>
    <t>Synthetic fuels are not available on the market and conversion pathways are at early technology development levels, facing major techno-economic challenges. E-fuels facilities are still at the demo-scale, with only a few plants currently operated at the EU level [156].
RFNBOs is a promising solution for hard-to-electrify sectors, such as the maritime one. However, a market for maritime RFNBO is currently yet to develop. Regulation (EU) 2023/1805 also introduces a combination of measures to ensure the support to the uptake of sustainable RFNBOs. The deal also set a 2% renewable fuels usage target as of 2034 if the Commission reports that in 2031 RFNBO will amount to less than 1% in fuel mix.</t>
  </si>
  <si>
    <t>Aviation fuel suppliers shall also ensure that Sustainable Aviation Fuel (SAF) made available to aircraft operators at each Union airport will be at least 2% from 2025, 6% from 2030, 20% from 2035, 34% from 2040, 42% from 2045 and 70% from 2050. Regulation (EU) 2023/2405</t>
  </si>
  <si>
    <t>Several plants are being built to produce sustainable aviation fuels and sustainable aviation fuels are tested by companies. The contribution of aviation fuels is practically negligible currently. No sustainable biofuel use was reported in Eurostat in aviation in 2021.</t>
  </si>
  <si>
    <t>Of the SAF targets reported above, synthetic aviation fuels should represent a minimum share of 1.2% from 2030, 5% from 2035, 10% from 2034, 15% from 2045, and 35% from 2050.
Regulation (EU) 2023/2405</t>
  </si>
  <si>
    <t>Synthetic fuels are not available on the market, conversion pathways are at early technology development levels, facing major techno-economic challenges.</t>
  </si>
  <si>
    <t>The yearly quantity of aviation fuel uplifted by a given aircraft operator at a given Union airport shall be
at least 90% of the yearly aviation fuel required, to avoid tankering practices which would bring additional emissions from extra weight.
Regulation (EU) 2023/2405</t>
  </si>
  <si>
    <t>Member States shall ensure that, at the end of each year, the following power output targets are met cumu- 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</si>
  <si>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Based on charging infrastructure data from Eco-Movement 2022 and estimates of electric vehicles on the roads, most Member States are already compliant with this fleet-based target (see European Alter-native Fuels Observatory – Target tracker). Research also highlights that the total power output needed per electric vehicle (including battery electric vehicles and plug-in hybrid vehicles) is highly dependent on the share of electric cars and vans on the road, with AFIR targets on cumulative power outputs per vehicle being sufficient in the long term (when a rise in the market share of battery electric vehicles and plug-in hybrid vehicles is expected) [157].</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</si>
  <si>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</si>
  <si>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The target supports the vision of 3 million charging points by 2030 under the Sustainable and Smart Mobility strategy. As of mid-2024, around 730.000 charging points are available in the EU (see TENtec Interactive Map Viewer). According to the EC Dashboard towards zero-emission vehicle, around 60% of charging points in the EU are concentrated in three EU countries (Germany, France, Netherlands), while Eastern EU is lagging behind. To meet the 3 million charging points ambition, around 400.000 new points need to be installed annually, with a significant gap with respect to the 153.000 new public charging points installed in 2023 [158].</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</si>
  <si>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</si>
  <si>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Despite the lack of specific data regarding recharging pools for heavy-duty electric vehicles, the extent of the TEN-T network served by high voltage recharging points stays so far limited to central Europe, with significant infrastructure improvement needed in Southern and Eastern EU, alongside the core and comprehensive networks (see TENtec Interactive Map Viewer).</t>
  </si>
  <si>
    <t>By 31 December 2030, in each safe and secure parking area at least four publicly accessible recharging stations dedicated to heavy-duty electric vehicles with an individual power output of at least 100 kW are deployed.
Regulation (EU) 2023/1804</t>
  </si>
  <si>
    <t>The extent of the TEN-T network equipped with safe and secure parking complying with the target is localised in central-northern EU (see TENtec Interactive Map Viewer). However, data available is not updated and it is not possible to assess whether the current number of secure parking areas for heavy-duty electric vehicles and the speed of installation is sufficient to reach the 2030 target.</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</si>
  <si>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</si>
  <si>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</si>
  <si>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 ger craft above 5.000 gross tonnes that are moored at the quayside at the maritime port concerned Regulation (EU) 2023/1804</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</si>
  <si>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 prehensive inland waterway ports by 1 January 2030. Regulation (EU) 2023/1804</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</si>
  <si>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</si>
  <si>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The average specific CO2 emissions of new heavy-duty vehicles in groups 4, 5, 9 and 10 has decreased by 0.55%, from 52.75g/t.km in 2019 to 52.45g/t.km in 2020. The rate of decrease is therefore slow and acceleration is needed to achieve the targets.</t>
  </si>
  <si>
    <t>For [...] “urban buses” manufacturers shall comply with the 90% (in the reporting period 2030-2034) and 100% (as from 2035) minimum shares in their fleet of new heavy-duty vehicles
Regulation (EU) 2024/1610</t>
  </si>
  <si>
    <t>Following the Regulation, due to the technical readiness of urban buses and
the need to improve urban air quality, this target supports the need to have a mandatory minimum share of new zero-emission urban buses. According to the European Automobile Manufacturers’ Association (ACEA) and Rabobank, the whole EU bus fleet consists of around 715.000-750.000 vehicles, with city buses representing around 215.000 units (around 30%). Looking at city buses only, there has been a steady decrease in the number of new city buses fuelled by Diesel since 2016, increasingly being replaced by electric vehicles. A market growth average close to 18% could help achieve the 2030 target. This is feasible, given the 2020-2023 market trend (source: Rabobank). It should be finally noted that a collapse of the diesel buses market is unlikely (e.g. due to the need in rural areas), and new electrically chargeable buses accounted for 12.7% in the total EU bus market in 2022, making up only 1.4% of total buses on EU roads (source: ACEA).</t>
  </si>
  <si>
    <t>Reduce the average door-to-door cost of combined transport operations by at least 10% within 7 years Proposal for a Directive to support framework for intermodal transport of goods</t>
  </si>
  <si>
    <t>No available data.</t>
  </si>
  <si>
    <t>Cut the emissions of transport sector by 90% by 2050 relative to 1990.
Sustainable and Smart Mobility Strategy</t>
  </si>
  <si>
    <t>Following six years of steady growth in greenhouse gas emissions from the EU’s transport sector, transport emissions dropped substantially in 2020 because
of reduced activity during the COVID-19 pandemic. In 2022 they were still 6% below 2019 levels. However, Eurostat quarterly GHG emission data shows that this rebound continued in 2023. According to the Report “Towards EU climate neutrality: progress, policy gaps and opportunities” by the European Scientific Advisory Board on Climate Change, the average rate of emission reduction since 2005 (-2 MtCO2e per year) should be more than 10 times higher (-26 MtCO2e
per year in 2023-2030) to be consistent with the trajectories towards the overall 2030 net GHG emission reduction target by the EU Climate Law. When considering the 90% reduction objective for transport GHG emissions by 2050, the average rate of emission reduction should be higher (-31 MtCO2e in 2031-2050).</t>
  </si>
  <si>
    <t>Zero-emission in urban logistics
The new EU Urban Mobility Framework.</t>
  </si>
  <si>
    <t>Although it has been estimated that urban freight is an important traffic component (10% to 15% of vehicle equivalent miles) and is responsible for 20% to 25% of urban transport related CO2 emissions [159], [160], there is no sufficient data to assess the trend.</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</si>
  <si>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</si>
  <si>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The Communication notes that "Fisheries and aquaculture operators began reducing their energy intensity between 2009 and 2014, but the progress they made has stagnated in recent years. Therefore, there is a need to accelerate the energy transition". In turn, this statement grounds on the JRC science for policy report "The 2022 Annual Economic Report on the EU Fishing Fleet” [161] by the Scientific, Technical and Economic Committee for Fisheries, assessing that the sector fuel intensity (i.e. fuel consumption per tonne landed) dropped by more than 15% between 2009 and 2014, but that this trend has stagnated since then.</t>
  </si>
  <si>
    <t>Reduce overall EU sales of antimicrobials for farmed animals and in aquaculture by 50% by 2030.</t>
  </si>
  <si>
    <t>Indicator: Sales of antimicrobials for food producing animals (Source: EMA). According to the 13th European Surveillance of Veterinary Antimicrobial Consumption report, the overall sales of antimicrobials for use in food-producing animals within the EU have fallen between 2018 and 2022 by 28.3%. During this period, the overall EU sales have thus reached more than half of the reduction target, which shows that the target can be achieved by 2030.</t>
  </si>
  <si>
    <t>Reduce by 50% the use and risk of chemical pesticides
Target in Common with Biodiversity Strategy (see Thematic Area 6) and Zero Pollution Action Plan (see Thematic Area 7)</t>
  </si>
  <si>
    <t xml:space="preserve"> Indicator: Use and risk of chemical pesticides (Source: DG SANTE).
According to data published by DG SANTE, the use and risk of chemical pesticides decreased by 33 % between the baseline period of 2015–2017 and 2021. The use and risk of chemical pesticides shows a decrease of 6% from 2020 to 2021. These overall downward trends show that the target can be achieved by 20301. [182]
1 It should be noted that the current EU-wide indicator, which applies risk weightings to four different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t>
  </si>
  <si>
    <t>Reduce by 50% the use of more hazardous pesticides
Target in Common with Biodiversity Strategy (see Thematic Area 6) and Zero Pollution Action Plan (see Thematic Area 7)</t>
  </si>
  <si>
    <t>Indicator: Use of more hazardous pesticides (Source: DG SANTE).
According to data published by DG SANTE, the use of more hazardous pesticides fell by 21 % between the baseline period of 2015–2017 and 2021. The use
of more hazardous pesticides shows an increase of 5% from 2020 to 2021. Achievement of the 50% reduction target by 2030 remains challenging.
It should be noted that while this indicator intends to monitor the use of the more hazardous pesticides, it does not take into account the exposure and hence the impact they might have on the environment and human health. In the future, this indicator could be complemented with a risk indicator showing changes in the actual risks2.
2 Options include better grouping of substances, group weighting reflecting substances’ toxicities, standardisation of sales data with recommended application rates and utilisation of pesticide use data instead of the sales data as the basis for a new indicator</t>
  </si>
  <si>
    <t>Reduce nutrient losses by at least 50%, while ensuring that there is no deterioration in soil fertility.</t>
  </si>
  <si>
    <t>Indicator: Nitrate in groundwater (Source: EEA).
The EU aggregate for nitrate content in groundwater based on 18 Member States shows a positive trend (–0.7% annual growth rate) between 2015 and 2020. However, this slight reduction is still far away from the 50% aimed by 2030. It should be noted that the long-term trend (2005-2020) for the EU aggregate was rather stagnant (0.003% annual growth rate).</t>
  </si>
  <si>
    <t>Increase organic farming with the aim to achieve at least 25% of total farmland under organic farming by 2030
Target in Common with Biodiversity Strategy (see Thematic Area 6)</t>
  </si>
  <si>
    <t xml:space="preserve"> Indicator: Area under organic farming (% of the total utilised agricultural area) (Source: Eurostat). Moderate progress rate, but not enough to reach
the target by 2030. The compound annual growth rate (CAGR) is 6.7% per year observed i.e. an increase from 5.6% to 9.1% (2012-2020), while 9.3% per year would be required to meet the target</t>
  </si>
  <si>
    <t>Reduce food waste. Prevent food loss and waste. Halve per capita food waste at retail and consumer levels*
*See also Directive (EU) 2018/851 on waste with a target on food waste reduction of 30% by 2025</t>
  </si>
  <si>
    <t>Indicator: Food Waste (Source: Eurostat). It should be noted that at the moment only two data points are available, 2020 and 2021, therefore, it is still early to define a clear trend. The Member States should report on food waste every year, using primary data at least once every four years. Based on the analysis performed in the impact assessment of the Proposal for a Directive of the European Parliament and of the Council amending Directive 2008/98/EC on waste, this target was not deemed to be feasible to achieve [108]. In the proposal the target has been redefined with a reduction of food consumption by 30% at retail and consumption level, plus a reduction of 10% in manufacturing (see Thematic Area 3).</t>
  </si>
  <si>
    <t>Digitalisation and knowledge transfer. Ensure access to fast broadband to all farmers and all rural areas to achieve the objective of 100% access by 2025 (enabler for jobs, businesses, investments, improve- ment in quality of life in rural areas and enabler to mainstream precision farming and use of artificial intelligence</t>
  </si>
  <si>
    <t>Indicator: Rural next generation access (NGA) broadband coverage, as a % of households (Source: DG DIGIT).
Next generation access broadband availability has significantly improved over the past decade, with the percentage of households having access increasing from 18% of rural households in 2013 to 73% in 2022. However, the objective of achieving 100% coverage by 2025 is at risk at the current pace. Most Member States remain above the EU average of 73%. However, despite showing growth in the last decade, some Member States such as France (2013: 16%, 2022: 59%), Poland (2013: 18%, 2022: 40%), and Croatia (2013: &gt;1%, 2022: 52%), still lag behind.</t>
  </si>
  <si>
    <t xml:space="preserve">Ensure that agriculture, fisheries and aquaculture, and the food value chain contribute to the target of reducing net greenhouse gas emissions to at least 55% below 1990 levels by 2030 and to the
achievement of the objective for a climate-neutral Union in 2050. </t>
  </si>
  <si>
    <t>The trend (from 1990 to 2018) of this indicator for the EU 27 countries covering the GHG emissions from the
entire food value chain (from production to consumption within the EU territory) is in the desired direction to contribute to the 55% net reduction and climate neutrality targets set by the EC for all economic sectors in the EU combined. However, the
lack of current data, and the unpredictability of certain components of the GHG food system emission indicator (as temporal or geographical changes
in LULUC), make the prediction to 2030 very uncertain. In 2018 (the last recorded year in the time series) the total EU GHG food system emissions
represented 85.86% of the GHG food system emissions in 1990. Indicator: GHG food system emissions (Source: JRC EDGAR Food).</t>
  </si>
  <si>
    <t>Water: Preserving freshwater, boosting water reuse in agriculture.</t>
  </si>
  <si>
    <t>Overall, using a 3-year moving average, the EU has seen a 14% improvement in the Water Exploitation Index (WEI+) compared to 2011. This improvement
was observed in 14 Member States. However, further improvements are necessary. Efforts are needed to reduce the inequality in total water use as a percentage of the
renewable freshwater resources between Member States, especially in the Mediterranean area. (Renewable freshwater resources in the WEI+ index are computed considering mainly a change in the water storage capacity (groundwater and surface water) of a given territory. For example, Cyprus had
a WEI+ of 113% in 2019, in contrast to France's 2.8%. Seven Member States recorded a WEI+ score of less than 1, indicating that their water storage capacity exceeded their consumption. Indicator: Water use in agriculture (Water exploitation index, plus - WEI+) (Source: EEA).</t>
  </si>
  <si>
    <t>Aquatic living resources: Increase sustainable fishing and aquaculture. Bring fish stocks to sustainable levels. Significant increase in organic aquaculture</t>
  </si>
  <si>
    <t>This is the objective of the CFP to ensure that fishing and aquaculture are environmentally sustainable and managed in a manner consistent with the objectives of achieving economic, social and employment benefits. This indicator shows the modelled average ratio of fishing mortality to its associated reference point (FMSY or its proxy) over time since 2003. It monitors the trend of F/FMSY at the level of European waters (Northeast Atlantic, Mediterranean and Black Sea). The aim is to have a decreasing trend (as the starting point was 1.56) and to reach the lowest possible level below 1. A downward trend was observed throughout the time series, thus showing an improvement in the sustainable exploitation of fish stocks. Although the indicator
in 2021 stands at 0.88, lower values are expected in case of full sustainable exploitation since some stocks are still overfished (F&gt;FMSY). Indicator: Fishing pressure relative to maximum sustainable yield (trends in F/ FMSY) (Source: JRC).</t>
  </si>
  <si>
    <t>Energy: Increase renewable energy in the agriculture and food sector.
Adopt energy efficiency solutions in the agriculture and food sector, by
reducing energy consumption.</t>
  </si>
  <si>
    <t>Overall, there has been an increase in energy consumption for both agriculture and forestry, as well as the overall food industry,
by 7.4 % and 13.5% respectively compared to 2011. The annual rate of increase
is 0.8% for agriculture and forestry and 1.7% for the food industry. Across Europe,
these two sectors have consumed 54.32 million tonnes of oil equivalent, evenly split between them. France and Germany lead in total energy consumption. For the overall
food industry, there has been a noticeable decrease of 1% in France, while Germany experienced an increase of 5.8% compared to 2011. In agriculture and forestry, France and the Netherlands lead in energy consumption, with increases of 1.3% and 9.9%, respectively. Consequently, efforts are required to enhance energy efficiency and achieve the objective of reducing energy consumption at the EU level.
Indicator: Final energy consumption in agriculture, forestry and food industry (Source: Eurostat).</t>
  </si>
  <si>
    <t>Biodiversity conservation and restoration of natural resources: Protect the environment and restore natural resources. Preserve biodiversity and reduce biodiversity loss.</t>
  </si>
  <si>
    <t>The impacts on global species richness due to the supply chain of food products consumed in the EU (produced either in the EU or in other world regions) have increased during the last decade. This results from increasing food consumption, as well as increasing consumption
of animal-based products. Main drivers of biodiversity loss are associated to land use and climate change impacts. Observed trends in consumption patterns are not expected to change to an extent to revert this trend by 2030. Indicator: Consumption Footprint - Food (biodiversity loss) (Source: JRC).</t>
  </si>
  <si>
    <t>The FAO progress assessment of SDG indicator 2.5.1.a, for the period 1995-2021, observes a global trend of improvement in Europe, with a slowdown in improvement particularly in the last five years. Indicator: Number of plant genetic resources for food and agriculture secured in either medium- or long-term conservation facilities (Source: FAO).</t>
  </si>
  <si>
    <t>Genetic biodiversity of food production systems: Secure and ensure access to a range of quality seeds for plant varieties in order to adapt to the pressures of climate change.</t>
  </si>
  <si>
    <t>Circular economy: Scale-up and promote sustainable and socially responsible production methods and circular business models in food processing and retail.</t>
  </si>
  <si>
    <t>According to
JRC study [183], the EU food system is transgressing several planetary boundaries including climate change and those related to novel entities (particulate matter, freshwater ecotoxicity). The Consumption Footprint related to food consumption
has shown an increasing trend since 2010, with the consumption of animal-based products dominating the impacts (around 70%). This increasing trend was common for most of the Member States (20 out of 27) [184].
Indicator: Consumption Footprint (Food) (Source: JRC).</t>
  </si>
  <si>
    <t>Consumption footprint: Reduce the environmental and climate footprint of the EU food system, operating within planetary boundaries. Reduce the EU’s contribution to global deforestation and forest degradation.</t>
  </si>
  <si>
    <t>ncome distribution: Ensure fair income and salaries. Improve income of primary producers to ensure their sustainable livelihood.</t>
  </si>
  <si>
    <t>This indicator compares agricultural income to average wages in the economy and provides an estimate of the average income opportunities
that a person would have outside of agriculture. It has increased from 31% to 52% between 2005 and 2021 at the EU level, reflecting a CAGR of 3% in this time frame. However, there are discrepancies among Member States. While in certain Member States, such as Hungary and
France, farmers' income compared to other wages in the economy has grown more than the EU average, in other Member States like Italy and
Belgium, have remained below the EU average or have shown a decreasing trend (e.g. Estonia and Austria). In addition, although the average farm income
per worker in the EU has steadily increased over the past decade (by 56% from 2013 to 2021), income levels do not only vary significantly across EU countries,
but also across the farming sector and farm size. In particular, farm economic size significantly influences income as higher costs per hectare associated with larger farms are
compensated by higher production, leading to greater overall profitability. Indicator: Farmers income compared to wages in the rest of the economy (Source: DG AGRI).</t>
  </si>
  <si>
    <t>This indicator measures the economic contribution in the agriculture, fishing and aquaculture, as well as the food, beverage, and tobacco sectors. The food, beverage, and tobacco sectors constitute the largest portion of the overall agri-food value chain (over 50%), followed by the agriculture sector. The total value added in the food and agriculture sectors has Increased from 340K in 2008 to 433.5K in 2020 in the EU, with a CAGR of 2%. The compound growth in the manufactured food sector has been higher (2.5%) than the growth in the agriculture sector (1.5%). Indicator: Value added along the food chain (Source: JRC).</t>
  </si>
  <si>
    <t>Sectorial growth: Help farmers and fishers to strengthen their position in the supply chain and to capture a fair share of the added value of sustainable production</t>
  </si>
  <si>
    <t>This indicator is important to assess the level of investment and development in the agricultural sector. Among Member States, the level of gross fixed capital formation varies. Most Member States surpass the EU average. While countries such as France and Germany have the highest capital formation in agriculture, some Member States lag behind e.g. Czechia, Bulgaria and Estonia. In the EU, gross fixed capital formation in agriculture has increased from EUR 44 Billion in 2005 to EUR 68 Billion in 2022, corresponding to a CAGR of 2.8% and a 55% percentage increase. The growth rates also vary across Member States. As expected, the countries with highest capital formation show limited growth trend e.g. Germany, while the highest growth rates are observed in countries that had lower starting values e.g. Romania, Bulgaria. Indicator: Gross fixed capital formation in agriculture (Source: DG AGRI).</t>
  </si>
  <si>
    <t xml:space="preserve"> Market power and business structure: Improve agricultural rules that strengthen the position of farmers (e.g. producers of products with geographical indications), their cooperatives and producer organisations in the food supply chain. </t>
  </si>
  <si>
    <t>The annual average of food prices, indexed to 2015, has increased from 80% (2005) to 125% (2022), an average yearly inflation of almost 2.5%. Since 2015, food prices have risen by 25%, and the biggest increase has taken place in 2022. Indicator: Consumer food inflation (Source: Eurostat).</t>
  </si>
  <si>
    <t>Price: Preserve the price affordability of food.</t>
  </si>
  <si>
    <t>The EU agri-food trade balance has shown stable growth over the last twenty years, despite a marginal decrease in 2022. It has reached a record level in 2023, with a total surplus of EUR 70.1 billion. While the overall agri-food trade balance shows a surplus, there are variations at the category level. The EU has a trade deficit in several product categories, with the most significant deficits observed in oilseeds
and protein crops, and some fruits and nuts. The surplus is spread across product categories, driven mainly by cereal preparations, dairy products, and wine.
Indicator: Agricultural and food products trade balance (Source: Eurostat).</t>
  </si>
  <si>
    <t>Trade: Foster the competitiveness of the EU supply sector.</t>
  </si>
  <si>
    <t>There have been almost no changes in the number of tonnes transported across difference distance categories. Since 2013, approximately 30% of the freight of food products, beverages and tobacco has been transported less than 50 km, and another 30% has been transported between 50 and 150 km. Between 2013 and 2021, the tonnes per kilometre transported for all activities related to the food system (agriculture, fisheries, food manufacturing, trade and services) have increased by 9%, although the tonnes per kilometre transported in the food and beverages manufacturing sector decreased by 5%. Indicator: Annual road freight transport by distance class. (Source: Eurostat).</t>
  </si>
  <si>
    <t>Transport, accessibility and infrastructure: Create shorter supply chains will support reducing dependence on long-haul transportation.</t>
  </si>
  <si>
    <t>This indicator gives total employment in agriculture, the food industry and food services in absolute terms and also as a share of total employment. The employment in the food sector by economic activity has decreased over the last decade, from 8,474 (in 2013) to 6,326 (in 2022) million persons. During this period the mean annual decrease was 2.88% based on CAGR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Indicator: Employment by economic activity (Source: Eurostat).</t>
  </si>
  <si>
    <t>Employment and working conditions: Create new job opportunities. Improve working conditions, ensure occupation health and safety.</t>
  </si>
  <si>
    <t>Social protection and poverty: Ensure fair, inclusive and ethical value chains. Ensure workers’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</si>
  <si>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 xml:space="preserve">Animal welfare: Promote better animal welfare to improve animal health and food quality. </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</si>
  <si>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</si>
  <si>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The ratio plant to total protein supply indicator is derived from FAO supply data. The closer the value is to 1, the higher the contribution of plant-based sources to protein supply; the average of the previous three years is taken to reduce error variation. This indicator examines the contribution of plant food sources
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change indicates that a transition towards increased supply of plant-based foods in the EU remains a challenge, possibly linked to a slow progress in the transition towards more plant-based diets in the region. Indicator: Ratio plant to total protein supply (Source: FAO).</t>
  </si>
  <si>
    <t>Food availability: Improve availability of sustainable food. Ensure that the healthy option is always the easiest one. Ensure food supply.</t>
  </si>
  <si>
    <t>Food affordability: Ensure affordability to sufficient, nutritious and sustainable food</t>
  </si>
  <si>
    <t>The percentage of population who cannot afford a healthy diet is reported by FAO and the World Bank for global monitoring. A healthy diet is considered unaffordable when its cost exceeds 52% of income per capita per day. This percentage accounts for a portion of income that can be credibly reserved for food, based on observations that the population in low-income countries spend, on average, 52% of their income on food. The estimated proportion of the population who cannot afford a healthy diet in Europe has dropped 40% from 2.5% in 2017 to 1.5% in 2021. Across EU countries, values ranged between &lt;1% for several countries and 7% in Romania in 2021. The indicator does not account for non-food spending and likely underestimates food affordability issues in the context of the EU region. Indicator: Percent of the population who cannot afford a healthy diet in the EU (Source: FAO).</t>
  </si>
  <si>
    <t>Properties of food: Increase reformulation of food products in line with guidelines for healthy and sustainable diets</t>
  </si>
  <si>
    <t>Nutrition and healthy, sustainable diets: Move to healthier and more sustainable diets.</t>
  </si>
  <si>
    <t>EU diets are poorly aligned with dietary recommendations, as none of the EU Member States is on track to meet the dietary- related guidelines. In the EU, no country fulfils simultaneously the recommendations for healthy food consumption [185]: the consumption of fruit, vegetables, legumes, whole grains nuts and seeds as well as milk and fish is lower than the recommended intake levels (when compared to either national food based dietary guidelines [186] or World Health Organization (WHO) and EAT-Lancet recommendations [187], [188]), while the consumption of red meat is above.
However, at the moment there is no adequate indicator available to assess the progress on this objective. The lack of regular, consistent and methodologically harmonised surveys across the EU Member States challenges the coverage and the comparability of such data, being an important gap for the use of these indicators. To overcome the lack of regularity and timeliness of the data, the development of food consumption indicators using data from national dietary surveys to monitor dietary components of healthy diets is being explored.</t>
  </si>
  <si>
    <t>The indicator as reported in Eurostat indicates that the proportion of overweight adults in the EU has slightly increased from 51% in 2014 to 53% in 2019. Reversing the prevalence of overweight in the EU remains a public health challenge considering the negative trends observed.</t>
  </si>
  <si>
    <t>Health impact of diets: Reversing of the rise in overweight and obesity rates across the EU by 2030</t>
  </si>
  <si>
    <t>In 2022, the FAO estimated that 7.8% of the population in Europe experienced moderate or severe food insecurity. Among EU countries, values for 2022 ranged between 2% in Italy and 19% in Romania. Analysis of the trends indicate prevalence of food insecurity has slightly improved until 2019 but reversed in the last years. Indicator: Prevalence of moderate or severe food insecurity in the EU population (Source: FAO).</t>
  </si>
  <si>
    <t>Food security: Ensuring food security and access to quality, safe, sustainable, nutritious food for all.</t>
  </si>
  <si>
    <t xml:space="preserve"> In the absence of agreed
categories and calculation methodology, currently, the resilience of food system cannot be described with a
single indicator.</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</si>
  <si>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</si>
  <si>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Terrestrial ecosystems. Member States shall put in place [...] measures [...] to jointly cover, as a Union tar- get, throughout the areas and ecosystems [...] defined in Art. 2, by 2030, at least 20% of land areas in need of restoration and, by 2050, all ecosystems in need of restoration.
'Nature Restoration Law'</t>
  </si>
  <si>
    <t>Data on restoration has not been systematically collected at the EU level yet.</t>
  </si>
  <si>
    <t>Marine ecosystems. Member States shall put in place [...] measures [...] to jointly cover, as a Union target, throughout the areas and ecosystems [...] defined in Art. 2, by 2030, at least 20% of sea areas in need of restoration and, by 2050, all ecosystems in need of restoration.
'Nature Restoration Law'</t>
  </si>
  <si>
    <t>Data on restoration has not been systematically collected at the EU level yet.
The EU has reached 12% of Marine Protected Areas (MPA), with less than 1% being strictly protected. The target could be partially achieved if the NRL is imme- diately implemented (including a clear financial system), along with the targets
of the Biodiversity Strategy (i.e. 30% MPA and 10% strictly protected areas), and if Member States react in a timely manner. The complete achievement of the target also depends on the restoration methods used and the specific marine ecosystems to be restored. The recovery period length varies with the marine habitats targeted for restoration. In addition, Member States face several other challenges in implementing these strategies [205]. The actual implementation of the Biodiversity Strategy target on effective marine protected areas (30% overall and 10% strictly protected by 2030), through passive restoration methods, as well as the other directives such as the Water Framework Directive and the Marine Strategy Framework Directive, and the 2023 Marine Action Plan would contribute to achieving this target.</t>
  </si>
  <si>
    <t>Terrestrial, coastal and freshwater ecosystems. Member States shall put in place the restoration measures [...] to improve to good condition areas of habitat types listed in Annex I which are not in good condition. Such measures shall be in place: (a) on at least 30% by 2030 of the total area of all habitat types listed in Annex I that is not in good condition [...], and (b) on at least 60 % by 2040 and on at least 90% by 2050.
'Nature Restoration Law'</t>
  </si>
  <si>
    <t>Protected areas do not necessarily mean that they have a restoration programme. Currently, data on the extension of areas under restoration is not available at the EU level.</t>
  </si>
  <si>
    <t>Terrestrial, coastal and freshwater ecosystems. Member States shall put in place the restoration measures [...] to re-establish the habitat types listed
in Annex I in areas not covered by those habitat types with the aim to reach their favourable reference area. Such measures shall be in place on areas representing at least 30% of the additional overall surface needed to reach the total favourable reference area of each group of habitat types listed in Annex I [...] by 2030, at least 60% by 2040, and 100 % by 2050.
'Nature Restoration Law'</t>
  </si>
  <si>
    <t>Data on the extension of areas under restoration measures are not yet available at the EU level.</t>
  </si>
  <si>
    <t>Terrestrial, coastal and freshwater ecosystems. Member States shall put in place the restoration measures for the terrestrial, coastal and freshwater habitats of the species listed in Annexes II, IV and V to Directive 92/43/EEC and of the terrestrial, coastal and freshwater habitats of wild birds covered by Directive 2009/147/EC [...] to improve the quality and quantity of those habitats, including by re-establishing them, and to enhance connectivity, until sufficient quality and quantity of those habitats is achieved.
'Nature Restoration Law'</t>
  </si>
  <si>
    <t>The EU has reached only 12% of MPA, with less than 1% being strictly protected. In addition, for sea bird species connectivity, it is important to align the BDS and the REPowerEU targets. For habitat connectivity, it is crucial to develop a useful indicator in time for Member States' reporting.
Because of the recent approval of the Nature Restoration Law, not enough data is available yet.</t>
  </si>
  <si>
    <t>Terrestrial, coastal and freshwater ecosystems. Member States shall ensure that condition is known for at least 90% of the area distributed overall habitat types listed in Annex I by 2030 and 100% by 2040. 'Nature Restoration Law'</t>
  </si>
  <si>
    <t>Considering the last report on the conservation status and trends in conservation status of marina habitats, a significant percentage of their status remains unknown [206]. Member States should implement more effective monitoring program to assess the status of marine habitats to achieve this target.</t>
  </si>
  <si>
    <t>Terrestrial, coastal and freshwater ecosystems. Member States shall ensure that there is: (a) an increase of habitat area in good condition for habitat types listed in Annex I until at least 90% is in good condition and until the favourable reference area for each habitat type in each biogeographic region of the Member State concerned is reached; (b) an increasing trend towards the sufficient quality and quantity of the terrestrial, coastal and freshwater habitats of the species referred to in Annexes II, IV and V to Directive 92/43/EEC and of the species covered by Directive 2009/147/EC.
'Nature Restoration Law'</t>
  </si>
  <si>
    <t>The EU has reached so far 26% terrestrial protected area and 12% of MPA.</t>
  </si>
  <si>
    <t>Natural connectivity of rivers and natural functions
of the related floodplains. Member States shall make an inventory of artificial barriers and remove them to connectivity of surface waters and, taking into account their socio-economic functions, identify the barriers that need to be removed to contribute to the achieve- ment of the restoration targets set out in Article 4 of this Regulation and of the objective of restoring at least 25.000 km of rivers into free-flowing rivers in the Union.
'Nature Restoration Law'
(Parallel target of the Biodiversity Strategy: “11. At least 25.000 km of free-flowing rivers are restored”)</t>
  </si>
  <si>
    <t>The JRC and the EEA are developing an indicator to characterise the number of free-flowing rivers, no data is available yet.</t>
  </si>
  <si>
    <t>Marine ecosystems. Member States shall put in place the restoration measures [...] to improve [...] areas of habitat types listed in Annex II which are not in good condition. Such measures shall be in place: (a) on at least 30% by 2030 of the total area of groups 1–6 of habitat types listed in Annex II [...]; (b) on at least 60% by 2040 and on at least 90% by 2050 of the area of each of the groups 1–6 of habitat types listed in An- nex II [...]; (c) on at least two thirds of the percentage, referred to in point (d), by 2040 of the area of group 7 of habitat types listed in Annex II [...]
'Nature Restoration Law'</t>
  </si>
  <si>
    <t>The EU has reached only 12% of MPA, with less than 1% being strictly protected. The target could be partially achieved if the NRL is immediately implemented (including a clear financial system), along with the targets of the Biodiversity Strategy (i.e. 30% MPA and 10% strictly protected areas), and if Member States react in a timely manner.
The complete achievement of the target is strictly dependent on the restoration methods and selected marine ecosystems to be restored. The timescale of the recovery period varies as diverse are the marine habitats to restore. Beyond this there are other challenges that Member States have to face [205].
The actual implementation of the BDS target on effective marine protected areas (30% overall and 10% strictly protected by 2030), through passive restoration method, as well as the other directives (e.g. WFD and MSFD), and the 2023 Marine Action Plan would contribute to achieve this target.
Regarding the condition and restoration, there are only two ways to judge this: (a) comparison with old large fully protected MPA, and (b) the use of indicators, some of which still need to be developed. There is no data on how impacted most areas are, but indicators such as present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</si>
  <si>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ecosystems. Member States shall put in
place the restoration measures that are necessary to re-establish the habitat types of groups 1-6 listed in Annex II in areas not covered by those habitat types with the aim to reach their favourable reference area. Such measures shall be in place on areas representing at least 30% of the additional overall surface needed to reach the total favourable reference area of each group of habitat types, as quantified in the national restoration plan referred to in Article 12, by 2030, at least 60% of that surface by 2040, and 100% of that surface by 2050.
'Nature Restoration Law'</t>
  </si>
  <si>
    <t>Considering the last report on the conservation status and trend in conservation status of marine habitats, most of the marine areas are between categories UNFAVOURABLE (U1/U2) and UNKNOWN (XX) status.
There are some examples of restoration measures already put in place across European Sea, but without an immediate implementation of NRL, as well as other directives (e.g. BDBS, WFD, MSFD), the EGD target would not be achieved Additional observation: As mentioned before, marine restoration can be achieved passively by no take MPA. Therefore, the increase in area that is fully protected would be a reasonable indicator of restoration. To the best of available knowledge, there is no evidence that part-protection works. Evidence of recovered species usually appear within five years but full recovery e.g. of urchin-kelp trophic cascades, may take 20 years. Since restoration is by definition a return to fully natural conditions, partly protected areas do not qualify as restoration.
Regarding the condition and restoration of marine areas, there are only two ways to judge this: (a) comparison with old, large fully protected MPA, and (b) the use of indicators, some of which still need to be developed. There is no data on how impacted most areas are, but indicators such as current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</si>
  <si>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Marine ecosystems. Member States shall ensure, by 2030 at the latest, that the condition is known for
at least 50% of the area distributed over all habitat types listed in groups 1–6 of Annex II. The condition
of all areas of groups 1–6 of habitat types listed in Annex II shall be known by 2040. Member States shall also ensure, by 2040 at the latest, that the condition is known for at least 50% of the area distributed over all habitat types listed in group 7 of Annex II. The condition of all areas of group 7 of habitat types listed in Annex II shall be known by 2050.
'Nature Restoration Law'</t>
  </si>
  <si>
    <t>In the last report on the conservation status and trend in conservation status of marine habitats, there is still a quite important percentage of marine environ- ments with UNKNOWN status (either XX or U1/U2) [206]. Member States should implement more effective monitoring programmes to assess the status of marine habitats in order to achieve the EGD target.</t>
  </si>
  <si>
    <t>Recent EU-wide data to measure this target according to the reference year of the regulation is not available yet. However, national data from Member States might be available</t>
  </si>
  <si>
    <t>Data on urban green space is not yet available, nor is the implementing act that provides a methodology to identify satisfactory levels.</t>
  </si>
  <si>
    <t>Data on tree canopy cover is not yet available, nor is the implementing act that provides a methodology to identify satisfactory levels.</t>
  </si>
  <si>
    <r>
      <rPr>
        <b/>
        <u/>
        <sz val="10"/>
        <color theme="1"/>
        <rFont val="EC Square Sans Pro"/>
      </rPr>
      <t>(urban ecosystems)</t>
    </r>
    <r>
      <rPr>
        <sz val="10"/>
        <color theme="1"/>
        <rFont val="EC Square Sans Pro"/>
      </rPr>
      <t xml:space="preserve"> Member States shall achieve, in each urban ecosystem area, determined in accordance with Article 14(4), an increasing trend of urban tree canopy cover, measured every six years after 31 December 2030, until the satisfactory level identified in accordance with Article 14(5) is reached.
'Nature Restoration Law'</t>
    </r>
  </si>
  <si>
    <r>
      <rPr>
        <b/>
        <u/>
        <sz val="10"/>
        <color theme="1"/>
        <rFont val="EC Square Sans Pro"/>
      </rPr>
      <t>(urban ecosystems)</t>
    </r>
    <r>
      <rPr>
        <sz val="10"/>
        <color theme="1"/>
        <rFont val="EC Square Sans Pro"/>
      </rPr>
      <t xml:space="preserve"> By 2030, Member States shall ensure that there is
no net loss in the total national area of urban green space, and of urban tree canopy cover in urban ecosystem areas. Member States may exclude from that total national area the urban ecosystem areas
in which the share of urban green space in the urban centres and urban clusters exceeds 45% and the share of urban tree canopy cover therein exceeds 10%. 'Nature Restoration Law'</t>
    </r>
  </si>
  <si>
    <r>
      <rPr>
        <b/>
        <u/>
        <sz val="10"/>
        <color theme="1"/>
        <rFont val="EC Square Sans Pro"/>
      </rPr>
      <t>(urban ecosystems)</t>
    </r>
    <r>
      <rPr>
        <sz val="10"/>
        <color theme="1"/>
        <rFont val="EC Square Sans Pro"/>
      </rPr>
      <t xml:space="preserve"> Member States shall achieve thereafter an increasing trend in the total national area of urban green space, including through the integration of urban green space into buildings and infrastructure, in urban ecosystem areas, determined in accordance with Article 14(4), measured every six years after 31 December 2030, until a satisfactory level identified in accordance with Article 14(5) is reached.
'Nature Restoration Law'</t>
    </r>
  </si>
  <si>
    <r>
      <rPr>
        <b/>
        <u/>
        <sz val="10"/>
        <color theme="1"/>
        <rFont val="EC Square Sans Pro"/>
      </rPr>
      <t>(pollinator)</t>
    </r>
    <r>
      <rPr>
        <sz val="10"/>
        <color theme="1"/>
        <rFont val="EC Square Sans Pro"/>
      </rPr>
      <t xml:space="preserve"> Member States shall, by putting in place in a timely manner appropriate and effective measures, improve pollinator diversity and reverse the decline of pollina- tor populations at the latest by 2030 and thereafter achieve an increasing trend of pollinator populations, measured at least every six years from 2030, until satisfactory levels are achieved, as set in accordance with Article 14(5).
'Nature Restoration Law'
Parallel target of the Biodiversity Strategy: “5. The decline of pollinators is reversed”</t>
    </r>
  </si>
  <si>
    <t>New target, data not yet available</t>
  </si>
  <si>
    <r>
      <rPr>
        <b/>
        <u/>
        <sz val="10"/>
        <color theme="1"/>
        <rFont val="EC Square Sans Pro"/>
      </rPr>
      <t>(forest ecosystems)</t>
    </r>
    <r>
      <rPr>
        <sz val="10"/>
        <color theme="1"/>
        <rFont val="EC Square Sans Pro"/>
      </rPr>
      <t xml:space="preserve"> Member States shall achieve an increasing trend at national level of at least six out of seven of the
following indicators in forest ecosystems, as further set out in Annex VI, chosen on the basis of their ability to demonstrate the enhancement of biodiversity of forest ecosystems within the Member States concerned: (a) standing deadwood (b) lying deadwood (c) share of forests with uneven-aged structure (d) forest connectivity (e) stock of organic carbon (f) share of forests dominated by native tree species (g) tree species diversity.
'Nature Restoration Law'</t>
    </r>
  </si>
  <si>
    <t>After a steady decline over the period 1992-2010, common forest bird populations have stopped deteriorating and started showing some signs of recovery since 2010 [2], [207], [208]. Next data points for the common forest bird index will be crucial to confirm this recent increasing trend.</t>
  </si>
  <si>
    <r>
      <rPr>
        <b/>
        <u/>
        <sz val="10"/>
        <color theme="1"/>
        <rFont val="EC Square Sans Pro"/>
      </rPr>
      <t>(forest ecosystems)</t>
    </r>
    <r>
      <rPr>
        <sz val="10"/>
        <color theme="1"/>
        <rFont val="EC Square Sans Pro"/>
      </rPr>
      <t xml:space="preserve"> Member States shall achieve an increasing trend at national level of the common forest bird index, as further set out in Annex VI, measured in the period from the date of entry into force of this Regulation until 31 December 2030, and every six years thereafter, until the satisfactory levels identified in accordance with Article 11(3) are reached
'Nature Restoration Law'
Parallel target of the Biodiversity Strategy: “4. By 2030, significant areas of degraded and carbon-rich ecosystems are restored. Habitats and species show no deterioration in conservation trends and status; and at least 30% reach favourable conservation status or at least show a positive trend”</t>
    </r>
  </si>
  <si>
    <t>At the time of writing (mid-2024), over 23.000.000 trees have been planted since 2021 (see the Live Status Counter for EU dashboard). The pace of new trees planted has to massively speed up to reach the target by 2030.</t>
  </si>
  <si>
    <r>
      <rPr>
        <b/>
        <u/>
        <sz val="10"/>
        <color theme="1"/>
        <rFont val="EC Square Sans Pro"/>
      </rPr>
      <t>(trees)</t>
    </r>
    <r>
      <rPr>
        <sz val="10"/>
        <color theme="1"/>
        <rFont val="EC Square Sans Pro"/>
      </rPr>
      <t xml:space="preserve"> When identifying and implementing the restoration measures to meet the objectives and obligations set out in Articles 4, 6, 7, 8, 9 and 10, Member States shall aim to contribute to the commitment of planting at least three billion additional trees by 2030 at Union level. 'Nature Restoration Law'
Parallel target of the Biodiversity Strategy: “9. Three billion trees are planted in the EU, in full respect of ecological principles”</t>
    </r>
  </si>
  <si>
    <t>At the moment the trend in the grassland butterfly index is still declining. The carbon stocks in EU agricultural soils have declined by 0.75% in the period 2009-2018 based on measured LUCAS data. So at the moment at least 2 out of three indicators are moving against the desired direction [199].</t>
  </si>
  <si>
    <r>
      <rPr>
        <b/>
        <u/>
        <sz val="10"/>
        <color theme="1"/>
        <rFont val="EC Square Sans Pro"/>
      </rPr>
      <t>(agricultural ecosystems)</t>
    </r>
    <r>
      <rPr>
        <b/>
        <sz val="10"/>
        <color theme="1"/>
        <rFont val="EC Square Sans Pro"/>
      </rPr>
      <t xml:space="preserve"> </t>
    </r>
    <r>
      <rPr>
        <sz val="10"/>
        <color theme="1"/>
        <rFont val="EC Square Sans Pro"/>
      </rPr>
      <t>Member States shall put in place measures which shall aim to achieve an increasing trend at national level
of at least two out of the three following indicators in agricultural ecosystems, as further specified in Annex IV, measured in the period from the date of entry into force of this Regulation until 31 December 2030, and every six years thereafter, until the satisfactory levels, identified in accordance with Article 14(5), are reached: (a) grassland butterfly index; (b) stock of organic carbon in cropland mineral soils; (c) share of agricultural land with high-diversity landscape features. 'Nature Restoration Law'</t>
    </r>
  </si>
  <si>
    <t>The common farmland bird index is steadily decreasing [207], [208].</t>
  </si>
  <si>
    <r>
      <rPr>
        <b/>
        <u/>
        <sz val="10"/>
        <color theme="1"/>
        <rFont val="EC Square Sans Pro"/>
      </rPr>
      <t>(agricultural ecosystems)</t>
    </r>
    <r>
      <rPr>
        <sz val="10"/>
        <color theme="1"/>
        <rFont val="EC Square Sans Pro"/>
      </rPr>
      <t xml:space="preserve"> Member States shall put in place restoration measures which shall aim to ensure that the common farmland bird index at national level based on the species specified in Annex V reaches the following levels: (a) 110 by 2030, 120 by 2040 and 130 by 2050, for Member States listed in Annex V with historically more depleted populations of farmland birds; (b) 105 by 2030, 110 by 2040 and 115 by 2050, for Member States listed in Annex V with historically less depleted populations of farmland birds.
'Nature Restoration Law'</t>
    </r>
  </si>
  <si>
    <t>The EU Soil Observatory (EUSO) established [196], [197] that over 60% of the EU land is affected by soil degradation. This is considered an underestimation due to the lack of data currently available.</t>
  </si>
  <si>
    <t>The 26% of EU’s land area is covered by protected areas, including 18.6% by Natura 2000 designated protected areas and 17.3% by nationally designated protected areas. If the designation of protected areas continues at the rate seen in the past decade (1.7 percentage points increase since 2011), the target will not be met [209].</t>
  </si>
  <si>
    <t>12% of EU's sea area is currently covered by protected areas, including 9% by Natura 2000 designated protected areas and 4.5% by nationally designated protected areas.</t>
  </si>
  <si>
    <t>1.a Legally protect a minimum of 30% of the EU’s land area</t>
  </si>
  <si>
    <t>Indicators are missing to check whether the EU is on track or not. Seven out of
the nine actions set in the EU BDS to foster biodiversity protection in the EU still need to be implemented by 2030, but they all appear on track so far. Member States did not report official information reported to EEA. An independent scientific assessment [210] shows that currently only 3.5 % of protected areas are strictly protected.</t>
  </si>
  <si>
    <t>2b. Strictly protect all remaining EU primary and old- growth forests
Biodiversity Strategy
Target in common with the New EU Forest Strategy</t>
  </si>
  <si>
    <t>The target has been welcomed and endorsed by the European Council, which is key for this target. The Commission issued Guidelines [211]for defining, mapping, monitoring and strictly protecting EU Primary and Old-Growth Forests in 2023. However, there is still a lack of a clear, uniform definition of what constitutes primary and old-growth forests. As a result, while it is likely that the target will be met, it remains unclear whether all forests that should be protected will actually receive protection.</t>
  </si>
  <si>
    <t>7. At least 10% of agricultural area is under high-diversity landscape features Biodiversity Strategy</t>
  </si>
  <si>
    <t>The JRC has developed an indicator [212] to monitor progress in the share of agricultural area covered by landscape features, showing that currently, at the EU level, 5.6% of agricultural land is covered by landscape features. However, this indicator does not capture high-diversity landscape features and no temporal trend is available, so at this stage no conclusion can be made regarding the likelihood to reach the target.</t>
  </si>
  <si>
    <r>
      <rPr>
        <u/>
        <sz val="10"/>
        <color theme="1"/>
        <rFont val="EC Square Sans Pro"/>
      </rPr>
      <t>(agricultural ecosystems)</t>
    </r>
    <r>
      <rPr>
        <sz val="10"/>
        <color theme="1"/>
        <rFont val="EC Square Sans Pro"/>
      </rPr>
      <t xml:space="preserve"> Member States shall put in place measures which shall aim to restore organic soils in agricultural use constituting drained peatlands. Those measures shall be in place on at least: (a) 30% of such areas by 2030, of which at least a quarter shall be rewetted; (b) 40% of such areas by 2040, of which at least a third shall be rewetted; (c) 50% of such areas by 2050, of which at least a third shall be rewetted.
'Nature Restoration Law'</t>
    </r>
  </si>
  <si>
    <t>See table above.</t>
  </si>
  <si>
    <r>
      <t>6. The risk and use of chemical pesticides is reduced by 50%, and the use of more hazardous pesticides is reduced by 50%
Biodiversity Strategy
Target in common with the Farm to Fork Strategy and already assessed in Thematic Area 5</t>
    </r>
    <r>
      <rPr>
        <u/>
        <sz val="10"/>
        <color theme="0" tint="-0.499984740745262"/>
        <rFont val="EC Square Sans Pro"/>
      </rPr>
      <t>trategy</t>
    </r>
    <r>
      <rPr>
        <sz val="10"/>
        <color theme="0" tint="-0.499984740745262"/>
        <rFont val="EC Square Sans Pro"/>
      </rPr>
      <t>)</t>
    </r>
  </si>
  <si>
    <t xml:space="preserve">Indicator: Use and risk of chemical pesticides (Source: DG SANTE).
According to a trend analysis by DG SANTE, the use and risk of chemical pesticides decreased by 14% between the baseline period of 2015–2017 and 2020. The use and risk of chemical pesticides shows a decrease of 6% from 2020, and an overall decrease in the first four years of observation of 33% from the baseline period of 2015-2017. These overall downward trends shows that the first part of the target can be achieved by 2030 [182]. On the other side, according to data published
by DG SANTE, the use of more hazardous pesticides fell by 21% between the baseline period of 2015–2017 and 2021. The use of more hazardous pesticides shows an increase of 5% from 2020 to 2021. Achievement of the 50% reduction target by 2030 remains challenging. It should be noted, while this indicator intends to monitor the use of the more hazardous pesticides, it does not take into account the exposure and hence the impact they might have on the environment and human health. In the future, this indicator should be complemented with a risk indicator showing changes in the actual risks.
1 It should be noted that the current EU-wide indicator, which applies risk weightings to four differ- 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t>
  </si>
  <si>
    <t>13. The losses of nutrients from fertilisers are reduced by 50%, resulting in the reduction of the use of fertilisers by at least 20%*
Biodiversity Strategy
See also assessment in Thematic Area 7</t>
  </si>
  <si>
    <t>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calls for further measures</t>
  </si>
  <si>
    <t>12. There is a 50% reduction in the number of Red List species threatened by Invasive Alien Species (IAS) Biodiversity Strategy</t>
  </si>
  <si>
    <t>The expected acceleration in the number of alien species introductions and establishment due to global trade (including web trade), travel, and climate change, can lead to increased adverse impacts on biodiversity and ecosystems, human health and the economy. The Regulation (EU) 1143/2014 (IAS Regulation) includes a set of measures to be taken across the EU in relation to IAS, aiming
to prevent, minimise and mitigate their adverse impacts. The implementation is underpinned by EASIN (European Alien Species Information Network), which also hosts the European early warning system on IAS of Union concern. The actions fostered by the EU biodiversity Strategy for 2023 aim at stepping up the IAS Regulation and other relevant legislation and international agreements with the objective of managing established IAS, decreasing the number of Red List species they threaten.</t>
  </si>
  <si>
    <t xml:space="preserve">14. Cities with at least 20.000 inhabitants have an ambitious Urban Greening Plan
</t>
  </si>
  <si>
    <t>No data is yet available.</t>
  </si>
  <si>
    <t>Reach no net land take
(EU Soil Strategy for 2030)</t>
  </si>
  <si>
    <t>Over the 2012-2018 period, the majority (78%) of the net land take happened in commuting zones. The net land take in urban areas during 2012-2018 amounted to 2.696 km2, corresponding to 450km2 annually. 1 415km2 or 47% of all land take took place in arable lands, impacting food security, carbon sequestration and the maintaining of biodiversity. The second largest land take took place
  in pastures — a loss of 945km2 or 36% of all land take. Pastures are among Europe’s most important biodiversity hotspots and soil carbon sinks.</t>
  </si>
  <si>
    <t>In accordance with the CFP, it is crucial to continue and accelerate the work of rebuilding and keeping fish stocks above MSY levels (Maximum Sustainable Yield) 'Fisheries and Ocean Pact'</t>
  </si>
  <si>
    <t>In the Northeast Atlantic (both EU and non-EU waters), stock status has significantly improved from 2003 to 2021, but still an important share of stocks is overexploited.</t>
  </si>
  <si>
    <t>Member States shall take the measures necessary to ensure that water intended for human consumption is wholesome and clean, by meeting several requirements related to micro-organisms and parasites which constitute a potential danger to human health and quality standards recalled in the Directive.
Directive 2020/2184 (‘Drinking Water Directive)</t>
  </si>
  <si>
    <t>The level of access to clean drinking water in Europe is high according to the WASH database by the WHO and UNICEF. However, as reported by the EEA,
the levels of treatment and accessibility are lower in rural areas than in urban locations. Disparities in access to safe drinking water among ethnic groups in Europe emerged as well. The revised Drinking Water Directive includes additional parameters than the 46 microbiological, chemical and indicator parameters of the first Drinking Water Directive. The new parameters include per- and polyfluorinated compounds and bisphenol A, setting limit values for their presence in drinking water. As of the end of 2022, EU level data on drinking water quality were still limited, with the latest data available dating from 2011 and 2013. The new directive also foresees a watch list mechanism for emerging pollutants.
The Directive’s Impact Assessment includes the calculation of the “SAPEA” Popu- lation Potentially at Health Risk indicator, estimating the share of the population that could potentially suffer from health problems because of the presence of contaminants in drinking water. According to the indicator, in 2015, 22.7 million people were potentially at health risk due to non-safe drinking water, equivalent
to 4 % of the EU population. The revised Directive is expected to positively impact drinking water quality. However, estimated data for 2015 is not sufficient to assess the status of drinking water quality with respect to its evolution over time and new additional parameters by the revised directive, as confirmed by the EEA. Member States have started complying with the reporting requirements in 2023.</t>
  </si>
  <si>
    <t>The Water Reuse Regulation aim to encourage and facilitate water reuse in the EU by harmonised minimum water quality requirements for the safe reuse of treated urban wastewaters in agricultural irrigation. Further requirements are set for monitoring, risk management, transparency and permits
on production and supply of reclaimed water for agricultural irrigation
Regulation 2020/741 (‘Water reuse Regulation’)</t>
  </si>
  <si>
    <t>Before the introduction of the Regulation, the EU was not equipped with a legislative framework for water reuse. More than 40,000 million m3 of waste- water is treated in the EU every year but only the 2.4% is further treated to be reused. As of April 2024, water reuse for agricultural irrigation is allowed in most Member States. Some Member States, where freshwater resources are abundant and irrigation demand is low, have planned not to allow water reuse for irrigation in their countries. Some Member States have not yet made a final decision, as resource and infrastructure costs still are being evaluated (source: WISE Freshwater website).</t>
  </si>
  <si>
    <t>The Industrial Emissions Directive (IED) aims
at preventing or reducing emissions from large industrial installations and intensive farming into the environment. The revised IED includes new provisions related to resource, energy and water efficiency and to the reduction of use and emissions of hazardous substances. The scope has been widened to include metal mining, batteries giga-factories, waste landfills and intensive farming. The revised IED contains also a set of measures to facilitate and accelerate the uptake of innovative techniques by industry.
Directive 2024/1785 on Industrial Emissions and the landfill of waste</t>
  </si>
  <si>
    <t>The IED is a key instrument to support the transition of the EU industry towards a climate neutral, clean and circular economy. The revised legislation will lead to a considerable reduction of pollution from industry and level the playing field. For example, it is expected to deliver, latest by 2050, up to 40% additional reduction of key air pollutants.</t>
  </si>
  <si>
    <t>In the European Union, air pollution is the single largest environmental health risk, causing cardiovascular and respiratory diseases that lead to the loss of healthy years of life and, in the most serious cases, premature deaths (about 240 000 reported in the European Union (EU) for 2021). Although emissions of air pollutants have been reduced over recent decades (primarily as a result of legislation), air quality remains a major concern in many parts of Europe. Air quality limits set by EU legislation for particulate matter, nitrogen dioxide and ozone continue to be exceeded, especially in many urban areas.</t>
  </si>
  <si>
    <t>The revised Urban Wastewater Treatment Directive (UWWTD) extends the scope of the 1991 UWWTD to improve and maintain access to sanitation for all, in particular for vulnerable and marginalised groups, while aligning with the ZPAP and EGD climate and energy objectives.
This will be ensured by a number of new obligations on secondary treatment, now extended to all agglomerations with at least 1 000 population equivalent , by 2035. Member States will ensure the application of:
- Tertiary treatment, for the removal of nitrogen and phosphorus (by 2039)
- Quaternary treatment, for the removal of a broad spectrum of micropollutants (by 2045)
These apply to larger plants of 150 000 p.e. (and above, with intermediate targets).
Directive concerning urban wastewater treatment</t>
  </si>
  <si>
    <t>Access to sanitation. There is a positive trend in the access to basic sanitation and connection to secondary wastewater treatment. Overall, the share of population without a bath, shower, or indoor flushing toilet in their household decreased from 2.2% in 2015 to 1.5% in 2020 [234]. However, in some Member States, there were still high shares of the population without access to basic sanitary facilities in 2020. The share of the EU population connected to secondary wastewater treatment has also increased continuously since 2000, reaching 81.1% in
2020 [234]. The revision of the Urban Wastewater Treatment Directive aims to bring additional improvements not only for water quality, but also for access to sanitation [235].
Secondary treatment. Small agglomerations constitute a significant pressure
on 11% of the EU’s surface water bodies [236]. Currently, the situation varies across the EU, with some Member States requesting all urban wastewater to be treated and others having set standards for small agglomerations beyond the requirements set in Directive 91/271/EEC [237].
Tertiary treatment. 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 EEC. The revision of the Directive aims to push nutrient removal further by imposing stricter standards. This would also contribute indirectly to the reduction of GHG emissions.
Quaternary treatment. While secondary and tertiary wastewater treatment
is being implemented compliant with Directive 91/271/EEC, several chemical micropollutants escape treatment plants and contribute to pollution of the receiving waters (e.g. pharmaceuticals and ingredients in personal care products). The revision of the Directive aims to require quaternary treatment for all larger plants, also based on an extended producer responsibility scheme that would help finance the corresponding treatment costs.</t>
  </si>
  <si>
    <t>By means of an updated and harmonised list of pollutants affecting surface and groundwater,
updated existing quality standards, new monitoring requirements, improved and more accessible data, and a more flexible framework for addressing pollutants of emerging concerns, the proposal aims at setting new high standards for a series of chemical substances of concern to address chemical pollution in water. Proposal for a Directive amending the Water Framework Directive, the Groundwater Directive, and the Environmental Quality Standards Directive</t>
  </si>
  <si>
    <t>Micro-pollutants pose a significant challenge. The necessity of removing them
at wastewater treatment facilities increases treatment costs, and complete removal is not always feasible. The proposal encourages more proactive measures upstream by reducing emissions at their source. By avoiding water pollution, the proposal will also benefit the potential for water reuse. The enhanced watch list mechanism requiring Member States to monitor new substances, will enable
the Commission, with the support of the European Chemicals Agency and the Member States, to determine the need for additional or stricter quality standards. More frequent reporting of actual monitoring data, and its analysis by the EEA, will provide the EU Institutions, Member States, and the general public with a more precise and current understanding of the status of surface and groundwater bodies in the EU. The analysis of more regular monitoring and status data will effectively feed into the broader Zero Pollution Monitoring and Outlook framework</t>
  </si>
  <si>
    <t>Improve air quality to reduce the number of premature deaths caused by air pollution by 55% by 2030
(2030 target contributing to the 2050 ambition of a toxic-free environment)</t>
  </si>
  <si>
    <t>As a result of the revision to the new Ambient Air Quality Directive, it is likely that reductions by over 70%, compared to 2005 levels, can be achieved by 2030. Source: Zero Pollution Outlook [218].</t>
  </si>
  <si>
    <t>Improve water quality by reducing waste, plastic litter at sea (by 50%)</t>
  </si>
  <si>
    <t>Improve water quality by reducing microplastics released into the environment (by 30%)</t>
  </si>
  <si>
    <t>Concentration of plastic litter at sea: 14% reduction of plastic litter (in 8% of the basin surface of the Mediterranean Sea and 44% of all beaches) with a total ban on single-use-plastic items. Source: Zero Pollution Outlook [218].</t>
  </si>
  <si>
    <t>Microplastics concentration in soils is expected to increase, mainly due to the incorporation through the disposal of the sewage sludge and other agricultural practices such as plastics greenhouse, mulching films, drip irrigation, polymer-con- trolled release fertilisers and silage films. However, there is no harmonised methodology for their identification and quantification, and one should still be developed. The current database on soil pollution with plastics is still poor and no good prediction could be done. The EU has taken measures to combat microplastic pollution on all fronts (e.g. ban of certain single-use plastic products, restriction of intentionally produced microplastics and reduction of plastic pellet loss), aiming at reducing microplastic releases to the environment by 30% by 2030.</t>
  </si>
  <si>
    <t xml:space="preserve">Reduce by 25% the EU ecosystems where air pollution threatens biodiversity, by 2030 (compared to 2005) (2030 target contributing to the 2050 ambition of a toxic-free environment)
</t>
  </si>
  <si>
    <t>Current and proposed EU policies do not appear sufficient to enable the EU to reduce the area of EU ecosystems under threat from air pollution by 25% in 2030 compared to 2005. Nonetheless, with the implementation of the recently revised of the Ambient Air Quality Directives, this target could be achieved. Source: Zero Pollution Outlook [218].</t>
  </si>
  <si>
    <t>Reduce the share of people chronically disturbed by transport noise by 30%, by 2030 (compared to 2017) (2030 target contributing to the 2050 ambition of a toxic-free environment)</t>
  </si>
  <si>
    <t>Current estimates show that the number will not decline by more than 19% by 2030. Source: Zero Pollution Outlook [218].</t>
  </si>
  <si>
    <t>Improve soil quality by reducing chemical pesticides’ use by 50%, by 2030</t>
  </si>
  <si>
    <t>Improve soil quality by reducing nutrient losses use by 50%, by 2030</t>
  </si>
  <si>
    <t>Considering soil quality and pesticides, reduction of (more hazardous) pesticide concentration in soil due to increased organic farming (as well as other agricultural practices) and other farm-to-fork objectives. Under current legal limitations (28 kg of copper per hectare over 7 years), a potential risk of increased organic farming could be an accumulation of copper in soil.</t>
  </si>
  <si>
    <t>Considering water quality and nutrient losses, there is a possible reduction of nutrient inputs into marine ecosystems: nitrogen 32%, phosphorous 17%. 50% reduction of nutrient input could be achieved in four out of ten examined regions for nitrogen and in two out of ten for phosphorous. Source: Zero Pollution Outlook [218].
Considering water quality and chemical pesticides, and in particular chemicals load (diuron and terbuthylazine, as examples of low- and high-persistence chemicals, respectively) in water: 56% reduction in pesticides concentration can be achieved in shelf seas, 12% in open seas, depending on the persistence of the pesticide. Source: Zero Pollution Outlook [218].</t>
  </si>
  <si>
    <t>The EU Soil Health Assessment (see EUSO Dashboard) estimated that 60-70% of EU soils are not in healthy condition, in accordance also with other reports [196], [238]. 25% of the EU soils and 33% of EU Agricultural soils have soil erosion rates higher than sustainability ones. Soil erosion has decreased by around 10% in the period 2000-2016, but future trends are alarming due to climate change. Soil loss by water erosion is projected to increase by 13–22.5 % in EU and UK by 2050.</t>
  </si>
  <si>
    <t>orange Total</t>
  </si>
  <si>
    <t>green Total</t>
  </si>
  <si>
    <t>grey Total</t>
  </si>
  <si>
    <t>red Total</t>
  </si>
  <si>
    <t>(Multiple Items)</t>
  </si>
  <si>
    <r>
      <t>Indicative national targets aiming to achieve the deep renovation of at least 35 million building units by 2030 to support reaching an annual energy renovation rate of 3 % or more for the period till 2050 (</t>
    </r>
    <r>
      <rPr>
        <u/>
        <sz val="12"/>
        <color theme="1"/>
        <rFont val="Calibri Light"/>
        <family val="2"/>
        <scheme val="major"/>
      </rPr>
      <t>see latest test adopted by EP on 14.03.2023</t>
    </r>
    <r>
      <rPr>
        <sz val="12"/>
        <color theme="1"/>
        <rFont val="Calibri Light"/>
        <family val="2"/>
        <scheme val="major"/>
      </rPr>
      <t>)</t>
    </r>
  </si>
  <si>
    <r>
      <t>Member States will also have to set out specific measures on the phase-out of fossil fuels in heating and cooling with a view to a complete phase-out of boilers powered by fossil fuels by 2040</t>
    </r>
    <r>
      <rPr>
        <b/>
        <sz val="12"/>
        <color theme="1"/>
        <rFont val="Calibri Light"/>
        <family val="2"/>
        <scheme val="major"/>
      </rPr>
      <t xml:space="preserve"> 
See ‘Commission welcomes political agreement on new rules to boost energy performance of buildings across the EU’ </t>
    </r>
  </si>
  <si>
    <r>
      <t>See ‘Commission welcomes political agreement on new rules to boost energy performance of buildings across the EU’</t>
    </r>
    <r>
      <rPr>
        <b/>
        <sz val="12"/>
        <color theme="1"/>
        <rFont val="Calibri Light"/>
        <family val="2"/>
        <scheme val="major"/>
      </rPr>
      <t> </t>
    </r>
  </si>
  <si>
    <r>
      <t>5. The decline of pollinators is reversed (</t>
    </r>
    <r>
      <rPr>
        <u/>
        <sz val="12"/>
        <color theme="1"/>
        <rFont val="Calibri Light"/>
        <family val="2"/>
        <scheme val="major"/>
      </rPr>
      <t>the target is in common with "A New Deal for Pollinators"</t>
    </r>
    <r>
      <rPr>
        <sz val="12"/>
        <color theme="1"/>
        <rFont val="Calibri Light"/>
        <family val="2"/>
        <scheme val="major"/>
      </rPr>
      <t>)</t>
    </r>
  </si>
  <si>
    <r>
      <t>6. The risk and use of chemical pesticides is reduced by 50%, and the use of more hazardous pesticides is reduced by 50%
Biodiversity Strategy
Target in common with the Farm to Fork Strategy and already assessed in Thematic Area 5</t>
    </r>
    <r>
      <rPr>
        <u/>
        <sz val="12"/>
        <color theme="1"/>
        <rFont val="Calibri Light"/>
        <family val="2"/>
        <scheme val="major"/>
      </rPr>
      <t>trategy</t>
    </r>
    <r>
      <rPr>
        <sz val="12"/>
        <color theme="1"/>
        <rFont val="Calibri Light"/>
        <family val="2"/>
        <scheme val="major"/>
      </rPr>
      <t>)</t>
    </r>
  </si>
  <si>
    <r>
      <rPr>
        <b/>
        <u/>
        <sz val="12"/>
        <color theme="1"/>
        <rFont val="Calibri Light"/>
        <family val="2"/>
        <scheme val="major"/>
      </rPr>
      <t>(urban ecosystems)</t>
    </r>
    <r>
      <rPr>
        <sz val="12"/>
        <color theme="1"/>
        <rFont val="Calibri Light"/>
        <family val="2"/>
        <scheme val="major"/>
      </rPr>
      <t xml:space="preserve"> By 2030, Member States shall ensure that there is
no net loss in the total national area of urban green space, and of urban tree canopy cover in urban ecosystem areas. Member States may exclude from that total national area the urban ecosystem areas
in which the share of urban green space in the urban centres and urban clusters exceeds 45% and the share of urban tree canopy cover therein exceeds 10%. 'Nature Restoration Law'</t>
    </r>
  </si>
  <si>
    <r>
      <rPr>
        <b/>
        <u/>
        <sz val="12"/>
        <color theme="1"/>
        <rFont val="Calibri Light"/>
        <family val="2"/>
        <scheme val="major"/>
      </rPr>
      <t>(urban ecosystems)</t>
    </r>
    <r>
      <rPr>
        <sz val="12"/>
        <color theme="1"/>
        <rFont val="Calibri Light"/>
        <family val="2"/>
        <scheme val="major"/>
      </rPr>
      <t xml:space="preserve"> Member States shall achieve thereafter an increasing trend in the total national area of urban green space, including through the integration of urban green space into buildings and infrastructure, in urban ecosystem areas, determined in accordance with Article 14(4), measured every six years after 31 December 2030, until a satisfactory level identified in accordance with Article 14(5) is reached.
'Nature Restoration Law'</t>
    </r>
  </si>
  <si>
    <r>
      <rPr>
        <b/>
        <u/>
        <sz val="12"/>
        <color theme="1"/>
        <rFont val="Calibri Light"/>
        <family val="2"/>
        <scheme val="major"/>
      </rPr>
      <t>(urban ecosystems)</t>
    </r>
    <r>
      <rPr>
        <sz val="12"/>
        <color theme="1"/>
        <rFont val="Calibri Light"/>
        <family val="2"/>
        <scheme val="major"/>
      </rPr>
      <t xml:space="preserve"> Member States shall achieve, in each urban ecosystem area, determined in accordance with Article 14(4), an increasing trend of urban tree canopy cover, measured every six years after 31 December 2030, until the satisfactory level identified in accordance with Article 14(5) is reached.
'Nature Restoration Law'</t>
    </r>
  </si>
  <si>
    <r>
      <rPr>
        <b/>
        <u/>
        <sz val="12"/>
        <color theme="1"/>
        <rFont val="Calibri Light"/>
        <family val="2"/>
        <scheme val="major"/>
      </rPr>
      <t>(pollinator)</t>
    </r>
    <r>
      <rPr>
        <sz val="12"/>
        <color theme="1"/>
        <rFont val="Calibri Light"/>
        <family val="2"/>
        <scheme val="major"/>
      </rPr>
      <t xml:space="preserve"> Member States shall, by putting in place in a timely manner appropriate and effective measures, improve pollinator diversity and reverse the decline of pollina- tor populations at the latest by 2030 and thereafter achieve an increasing trend of pollinator populations, measured at least every six years from 2030, until satisfactory levels are achieved, as set in accordance with Article 14(5).
'Nature Restoration Law'
Parallel target of the Biodiversity Strategy: “5. The decline of pollinators is reversed”</t>
    </r>
  </si>
  <si>
    <r>
      <rPr>
        <b/>
        <u/>
        <sz val="12"/>
        <color theme="1"/>
        <rFont val="Calibri Light"/>
        <family val="2"/>
        <scheme val="major"/>
      </rPr>
      <t>(agricultural ecosystems)</t>
    </r>
    <r>
      <rPr>
        <b/>
        <sz val="12"/>
        <color theme="1"/>
        <rFont val="Calibri Light"/>
        <family val="2"/>
        <scheme val="major"/>
      </rPr>
      <t xml:space="preserve"> </t>
    </r>
    <r>
      <rPr>
        <sz val="12"/>
        <color theme="1"/>
        <rFont val="Calibri Light"/>
        <family val="2"/>
        <scheme val="major"/>
      </rPr>
      <t>Member States shall put in place measures which shall aim to achieve an increasing trend at national level
of at least two out of the three following indicators in agricultural ecosystems, as further specified in Annex IV, measured in the period from the date of entry into force of this Regulation until 31 December 2030, and every six years thereafter, until the satisfactory levels, identified in accordance with Article 14(5), are reached: (a) grassland butterfly index; (b) stock of organic carbon in cropland mineral soils; (c) share of agricultural land with high-diversity landscape features. 'Nature Restoration Law'</t>
    </r>
  </si>
  <si>
    <r>
      <rPr>
        <b/>
        <u/>
        <sz val="12"/>
        <color theme="1"/>
        <rFont val="Calibri Light"/>
        <family val="2"/>
        <scheme val="major"/>
      </rPr>
      <t>(agricultural ecosystems)</t>
    </r>
    <r>
      <rPr>
        <sz val="12"/>
        <color theme="1"/>
        <rFont val="Calibri Light"/>
        <family val="2"/>
        <scheme val="major"/>
      </rPr>
      <t xml:space="preserve"> Member States shall put in place restoration measures which shall aim to ensure that the common farmland bird index at national level based on the species specified in Annex V reaches the following levels: (a) 110 by 2030, 120 by 2040 and 130 by 2050, for Member States listed in Annex V with historically more depleted populations of farmland birds; (b) 105 by 2030, 110 by 2040 and 115 by 2050, for Member States listed in Annex V with historically less depleted populations of farmland birds.
'Nature Restoration Law'</t>
    </r>
  </si>
  <si>
    <r>
      <rPr>
        <u/>
        <sz val="12"/>
        <color theme="1"/>
        <rFont val="Calibri Light"/>
        <family val="2"/>
        <scheme val="major"/>
      </rPr>
      <t>(agricultural ecosystems)</t>
    </r>
    <r>
      <rPr>
        <sz val="12"/>
        <color theme="1"/>
        <rFont val="Calibri Light"/>
        <family val="2"/>
        <scheme val="major"/>
      </rPr>
      <t xml:space="preserve"> Member States shall put in place measures which shall aim to restore organic soils in agricultural use constituting drained peatlands. Those measures shall be in place on at least: (a) 30% of such areas by 2030, of which at least a quarter shall be rewetted; (b) 40% of such areas by 2040, of which at least a third shall be rewetted; (c) 50% of such areas by 2050, of which at least a third shall be rewetted.
'Nature Restoration Law'</t>
    </r>
  </si>
  <si>
    <r>
      <rPr>
        <b/>
        <u/>
        <sz val="12"/>
        <color theme="1"/>
        <rFont val="Calibri Light"/>
        <family val="2"/>
        <scheme val="major"/>
      </rPr>
      <t>(trees)</t>
    </r>
    <r>
      <rPr>
        <sz val="12"/>
        <color theme="1"/>
        <rFont val="Calibri Light"/>
        <family val="2"/>
        <scheme val="major"/>
      </rPr>
      <t xml:space="preserve"> When identifying and implementing the restoration measures to meet the objectives and obligations set out in Articles 4, 6, 7, 8, 9 and 10, Member States shall aim to contribute to the commitment of planting at least three billion additional trees by 2030 at Union level. 'Nature Restoration Law'
Parallel target of the Biodiversity Strategy: “9. Three billion trees are planted in the EU, in full respect of ecological principles”</t>
    </r>
  </si>
  <si>
    <r>
      <rPr>
        <b/>
        <u/>
        <sz val="12"/>
        <color theme="1"/>
        <rFont val="Calibri Light"/>
        <family val="2"/>
        <scheme val="major"/>
      </rPr>
      <t>(forest ecosystems)</t>
    </r>
    <r>
      <rPr>
        <sz val="12"/>
        <color theme="1"/>
        <rFont val="Calibri Light"/>
        <family val="2"/>
        <scheme val="major"/>
      </rPr>
      <t xml:space="preserve"> Member States shall achieve an increasing trend at national level of at least six out of seven of the
following indicators in forest ecosystems, as further set out in Annex VI, chosen on the basis of their ability to demonstrate the enhancement of biodiversity of forest ecosystems within the Member States concerned: (a) standing deadwood (b) lying deadwood (c) share of forests with uneven-aged structure (d) forest connectivity (e) stock of organic carbon (f) share of forests dominated by native tree species (g) tree species diversity.
'Nature Restoration Law'</t>
    </r>
  </si>
  <si>
    <r>
      <rPr>
        <b/>
        <u/>
        <sz val="12"/>
        <color theme="1"/>
        <rFont val="Calibri Light"/>
        <family val="2"/>
        <scheme val="major"/>
      </rPr>
      <t>(forest ecosystems)</t>
    </r>
    <r>
      <rPr>
        <sz val="12"/>
        <color theme="1"/>
        <rFont val="Calibri Light"/>
        <family val="2"/>
        <scheme val="major"/>
      </rPr>
      <t xml:space="preserve"> Member States shall achieve an increasing trend at national level of the common forest bird index, as further set out in Annex VI, measured in the period from the date of entry into force of this Regulation until 31 December 2030, and every six years thereafter, until the satisfactory levels identified in accordance with Article 11(3) are reached
'Nature Restoration Law'
Parallel target of the Biodiversity Strategy: “4. By 2030, significant areas of degraded and carbon-rich ecosystems are restored. Habitats and species show no deterioration in conservation trends and status; and at least 30% reach favourable conservation status or at least show a positive trend”</t>
    </r>
  </si>
  <si>
    <r>
      <t>Develop measures to significantly increase efforts to identify, investigate, assess and remediate contaminated sites, so that soil pollution will no longer pose a health or environmental risk (</t>
    </r>
    <r>
      <rPr>
        <strike/>
        <u/>
        <sz val="12"/>
        <color theme="1"/>
        <rFont val="Calibri Light"/>
        <family val="2"/>
        <scheme val="major"/>
      </rPr>
      <t>target in common with the Biodiversity Strategy</t>
    </r>
    <r>
      <rPr>
        <strike/>
        <sz val="12"/>
        <color theme="1"/>
        <rFont val="Calibri Light"/>
        <family val="2"/>
        <scheme val="major"/>
      </rPr>
      <t>)</t>
    </r>
  </si>
  <si>
    <r>
      <t>Improve soil quality by reducing nutrient losses and chemical pesticides’ use by 50% (</t>
    </r>
    <r>
      <rPr>
        <u/>
        <sz val="12"/>
        <color theme="1"/>
        <rFont val="Calibri Light"/>
        <family val="2"/>
        <scheme val="major"/>
      </rPr>
      <t>target partially in common with the Farm to Fork strategy and Biodiversity strategy</t>
    </r>
    <r>
      <rPr>
        <sz val="12"/>
        <color theme="1"/>
        <rFont val="Calibri Light"/>
        <family val="2"/>
        <scheme val="major"/>
      </rPr>
      <t>) - focus on water quality and nutrient loss</t>
    </r>
  </si>
  <si>
    <r>
      <t>Minimise or eliminate the use of pesticides in sensitive areas such as urban green areas (</t>
    </r>
    <r>
      <rPr>
        <u/>
        <sz val="12"/>
        <color theme="1"/>
        <rFont val="Calibri Light"/>
        <family val="2"/>
        <scheme val="major"/>
      </rPr>
      <t>target not strictly reported in the Biodiversity dashboard platform</t>
    </r>
    <r>
      <rPr>
        <sz val="12"/>
        <color theme="1"/>
        <rFont val="Calibri Light"/>
        <family val="2"/>
        <scheme val="major"/>
      </rPr>
      <t>)</t>
    </r>
  </si>
  <si>
    <r>
      <rPr>
        <b/>
        <sz val="12"/>
        <color theme="1"/>
        <rFont val="Calibri Light"/>
        <family val="2"/>
        <scheme val="major"/>
      </rPr>
      <t xml:space="preserve">Remove micropollutants from wastewater. </t>
    </r>
    <r>
      <rPr>
        <sz val="12"/>
        <color theme="1"/>
        <rFont val="Calibri Light"/>
        <family val="2"/>
        <scheme val="major"/>
      </rPr>
      <t xml:space="preserve">An additional treatment, i.e. quaternary treatment, should therefore be introduced in order to ensure that a large spectrum of micro-pollutants is removed from urban wastewater. All urban wastewater treatment plants of 100 000 p.e. and above should provide quaternary treatment. For agglomerations of between 10 000 p.e. and 100 000 p.e., Member States should be required to apply quaternary treatment to areas identified as sensitive to pollution with micro-pollutants based on clear criteria, which should be specified. </t>
    </r>
  </si>
  <si>
    <r>
      <rPr>
        <b/>
        <sz val="12"/>
        <color theme="1"/>
        <rFont val="Calibri Light"/>
        <family val="2"/>
        <scheme val="major"/>
      </rPr>
      <t>Improve nutrient removal from wastewater.</t>
    </r>
    <r>
      <rPr>
        <sz val="12"/>
        <color theme="1"/>
        <rFont val="Calibri Light"/>
        <family val="2"/>
        <scheme val="major"/>
      </rPr>
      <t xml:space="preserve"> Tertiary treatment should be systematically imposed to all urban wastewater treatment plants of 100 000 p.e. and above, as such plants represent an important remaining source of nitrogen and phosphorus discharge. Tertiary treatment should also be mandatory in agglomerations of 10 000 p.e. and above that are discharging in areas subject to, or at risk of, eutrophication.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</si>
</sst>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Calibri"/>
      <family val="2"/>
      <scheme val="minor"/>
    </font>
    <font>
      <sz val="11"/>
      <color theme="1"/>
      <name val="EC Square Sans Pro"/>
      <family val="2"/>
    </font>
    <font>
      <b/>
      <sz val="11"/>
      <color theme="1"/>
      <name val="EC Square Sans Pro"/>
      <family val="2"/>
    </font>
    <font>
      <i/>
      <sz val="11"/>
      <color theme="1"/>
      <name val="EC Square Sans Pro"/>
      <family val="2"/>
    </font>
    <font>
      <sz val="12"/>
      <color theme="1"/>
      <name val="EC Square Sans Pro"/>
      <family val="2"/>
    </font>
    <font>
      <u/>
      <sz val="11"/>
      <color theme="10"/>
      <name val="Calibri"/>
      <family val="2"/>
      <scheme val="minor"/>
    </font>
    <font>
      <sz val="10"/>
      <color theme="1"/>
      <name val="EC Square Sans Pro"/>
      <family val="2"/>
    </font>
    <font>
      <i/>
      <sz val="10"/>
      <name val="EC Square Sans Pro"/>
      <family val="2"/>
    </font>
    <font>
      <sz val="10"/>
      <color theme="4" tint="-0.249977111117893"/>
      <name val="EC Square Sans Pro"/>
      <family val="2"/>
    </font>
    <font>
      <sz val="10"/>
      <name val="EC Square Sans Pro"/>
      <family val="2"/>
    </font>
    <font>
      <b/>
      <sz val="11"/>
      <color theme="1"/>
      <name val="Calibri"/>
      <family val="2"/>
      <scheme val="minor"/>
    </font>
    <font>
      <sz val="14"/>
      <color theme="1"/>
      <name val="EC Square Sans Pro"/>
      <family val="2"/>
    </font>
    <font>
      <sz val="10"/>
      <color rgb="FF000000"/>
      <name val="EC Square Sans Pro"/>
      <family val="2"/>
    </font>
    <font>
      <strike/>
      <sz val="10"/>
      <name val="EC Square Sans Pro"/>
      <family val="2"/>
    </font>
    <font>
      <sz val="10"/>
      <color rgb="FFFF0000"/>
      <name val="EC Square Sans Pro"/>
      <family val="2"/>
    </font>
    <font>
      <sz val="10"/>
      <color theme="9"/>
      <name val="EC Square Sans Pro"/>
      <family val="2"/>
    </font>
    <font>
      <sz val="11"/>
      <color theme="1"/>
      <name val="Calibri"/>
      <family val="2"/>
      <scheme val="minor"/>
    </font>
    <font>
      <b/>
      <sz val="14"/>
      <color rgb="FFFFFFFF"/>
      <name val="EC Square Sans Pro"/>
      <family val="2"/>
    </font>
    <font>
      <sz val="14"/>
      <color rgb="FFFFFFFF"/>
      <name val="EC Square Sans Pro"/>
      <family val="2"/>
    </font>
    <font>
      <b/>
      <sz val="14"/>
      <color theme="0"/>
      <name val="EC Square Sans Pro"/>
      <family val="2"/>
    </font>
    <font>
      <sz val="10"/>
      <color theme="10"/>
      <name val="EC Square Sans Pro"/>
      <family val="2"/>
    </font>
    <font>
      <b/>
      <sz val="10"/>
      <name val="EC Square Sans Pro"/>
      <family val="2"/>
    </font>
    <font>
      <sz val="12"/>
      <color theme="1"/>
      <name val="EC Square Sans Pro"/>
      <family val="2"/>
    </font>
    <font>
      <sz val="11"/>
      <color theme="0" tint="-0.249977111117893"/>
      <name val="Calibri"/>
      <family val="2"/>
      <scheme val="minor"/>
    </font>
    <font>
      <b/>
      <sz val="12"/>
      <color theme="0"/>
      <name val="EC Square Sans Pro"/>
      <family val="2"/>
    </font>
    <font>
      <b/>
      <sz val="10"/>
      <color rgb="FFFFFFFF"/>
      <name val="EC Square Sans Pro"/>
      <family val="2"/>
    </font>
    <font>
      <strike/>
      <sz val="10"/>
      <color rgb="FF000000"/>
      <name val="EC Square Sans Pro"/>
      <family val="2"/>
    </font>
    <font>
      <sz val="11"/>
      <color rgb="FF1F497D"/>
      <name val="Calibri"/>
      <family val="2"/>
    </font>
    <font>
      <sz val="10"/>
      <color theme="1"/>
      <name val="EC Square Sans Pro"/>
    </font>
    <font>
      <sz val="10"/>
      <name val="EC Square Sans Pro"/>
    </font>
    <font>
      <sz val="10"/>
      <color rgb="FF000000"/>
      <name val="EC Square Sans Pro"/>
    </font>
    <font>
      <u/>
      <sz val="9"/>
      <color rgb="FFD13438"/>
      <name val="EC Square Sans Pro"/>
      <charset val="1"/>
    </font>
    <font>
      <sz val="10"/>
      <color rgb="FF000000"/>
      <name val="EC Square Sans Pro"/>
      <charset val="1"/>
    </font>
    <font>
      <strike/>
      <sz val="10"/>
      <color rgb="FF000000"/>
      <name val="EC Square Sans Pro"/>
    </font>
    <font>
      <b/>
      <sz val="11"/>
      <color rgb="FF000000"/>
      <name val="Calibri"/>
      <family val="2"/>
    </font>
    <font>
      <sz val="11"/>
      <color rgb="FF000000"/>
      <name val="Calibri"/>
      <family val="2"/>
    </font>
    <font>
      <b/>
      <sz val="14"/>
      <color theme="1"/>
      <name val="EC Square Sans Pro"/>
      <family val="2"/>
    </font>
    <font>
      <b/>
      <sz val="14"/>
      <color theme="1"/>
      <name val="EC Square Sans Pro"/>
    </font>
    <font>
      <u/>
      <sz val="10"/>
      <color theme="1"/>
      <name val="EC Square Sans Pro"/>
    </font>
    <font>
      <sz val="10"/>
      <color theme="0" tint="-0.499984740745262"/>
      <name val="EC Square Sans Pro"/>
    </font>
    <font>
      <b/>
      <sz val="10"/>
      <color theme="0" tint="-0.499984740745262"/>
      <name val="EC Square Sans Pro"/>
    </font>
    <font>
      <u/>
      <sz val="10"/>
      <color theme="0" tint="-0.499984740745262"/>
      <name val="EC Square Sans Pro"/>
    </font>
    <font>
      <b/>
      <sz val="9"/>
      <color theme="0" tint="-0.499984740745262"/>
      <name val="EC Square Sans Pro"/>
    </font>
    <font>
      <u/>
      <sz val="9"/>
      <color theme="0" tint="-0.499984740745262"/>
      <name val="EC Square Sans Pro"/>
    </font>
    <font>
      <strike/>
      <sz val="10"/>
      <color theme="0" tint="-0.499984740745262"/>
      <name val="EC Square Sans Pro"/>
    </font>
    <font>
      <strike/>
      <u/>
      <sz val="10"/>
      <color theme="0" tint="-0.499984740745262"/>
      <name val="EC Square Sans Pro"/>
    </font>
    <font>
      <i/>
      <sz val="10"/>
      <color theme="0" tint="-0.499984740745262"/>
      <name val="EC Square Sans Pro"/>
    </font>
    <font>
      <b/>
      <u/>
      <sz val="10"/>
      <color theme="1"/>
      <name val="EC Square Sans Pro"/>
    </font>
    <font>
      <b/>
      <sz val="10"/>
      <color theme="1"/>
      <name val="EC Square Sans Pro"/>
    </font>
    <font>
      <sz val="10"/>
      <color theme="4" tint="-0.249977111117893"/>
      <name val="EC Square Sans Pro"/>
    </font>
    <font>
      <sz val="8"/>
      <name val="Calibri"/>
      <family val="2"/>
      <scheme val="minor"/>
    </font>
    <font>
      <sz val="12"/>
      <color rgb="FF232323"/>
      <name val="ECSquareSansProLight"/>
    </font>
    <font>
      <b/>
      <sz val="12"/>
      <color theme="1"/>
      <name val="Calibri Light"/>
      <family val="2"/>
      <scheme val="major"/>
    </font>
    <font>
      <sz val="12"/>
      <color theme="1"/>
      <name val="Calibri Light"/>
      <family val="2"/>
      <scheme val="major"/>
    </font>
    <font>
      <u/>
      <sz val="12"/>
      <color theme="1"/>
      <name val="Calibri Light"/>
      <family val="2"/>
      <scheme val="major"/>
    </font>
    <font>
      <strike/>
      <sz val="12"/>
      <color theme="1"/>
      <name val="Calibri Light"/>
      <family val="2"/>
      <scheme val="major"/>
    </font>
    <font>
      <b/>
      <u/>
      <sz val="12"/>
      <color theme="1"/>
      <name val="Calibri Light"/>
      <family val="2"/>
      <scheme val="major"/>
    </font>
    <font>
      <strike/>
      <u/>
      <sz val="12"/>
      <color theme="1"/>
      <name val="Calibri Light"/>
      <family val="2"/>
      <scheme val="major"/>
    </font>
  </fonts>
  <fills count="26">
    <fill>
      <patternFill patternType="none"/>
    </fill>
    <fill>
      <patternFill patternType="gray125"/>
    </fill>
    <fill>
      <patternFill patternType="solid">
        <fgColor rgb="FF808080"/>
        <bgColor indexed="64"/>
      </patternFill>
    </fill>
    <fill>
      <patternFill patternType="solid">
        <fgColor rgb="FFC00000"/>
        <bgColor indexed="64"/>
      </patternFill>
    </fill>
    <fill>
      <patternFill patternType="solid">
        <fgColor rgb="FFD96666"/>
        <bgColor indexed="64"/>
      </patternFill>
    </fill>
    <fill>
      <patternFill patternType="solid">
        <fgColor rgb="FF0070C0"/>
        <bgColor indexed="64"/>
      </patternFill>
    </fill>
    <fill>
      <patternFill patternType="solid">
        <fgColor rgb="FF9BC2E6"/>
        <bgColor indexed="64"/>
      </patternFill>
    </fill>
    <fill>
      <patternFill patternType="solid">
        <fgColor rgb="FFFF9100"/>
        <bgColor indexed="64"/>
      </patternFill>
    </fill>
    <fill>
      <patternFill patternType="solid">
        <fgColor rgb="FF262626"/>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4" tint="0.79998168889431442"/>
        <bgColor theme="4" tint="0.79998168889431442"/>
      </patternFill>
    </fill>
    <fill>
      <patternFill patternType="solid">
        <fgColor theme="0" tint="-4.9989318521683403E-2"/>
        <bgColor rgb="FF000000"/>
      </patternFill>
    </fill>
    <fill>
      <patternFill patternType="solid">
        <fgColor theme="0" tint="-0.34998626667073579"/>
        <bgColor indexed="64"/>
      </patternFill>
    </fill>
    <fill>
      <patternFill patternType="solid">
        <fgColor theme="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7"/>
        <bgColor indexed="64"/>
      </patternFill>
    </fill>
    <fill>
      <patternFill patternType="solid">
        <fgColor theme="0" tint="-0.14999847407452621"/>
        <bgColor theme="0" tint="-0.14999847407452621"/>
      </patternFill>
    </fill>
    <fill>
      <patternFill patternType="solid">
        <fgColor theme="2"/>
        <bgColor indexed="64"/>
      </patternFill>
    </fill>
  </fills>
  <borders count="59">
    <border>
      <left/>
      <right/>
      <top/>
      <bottom/>
      <diagonal/>
    </border>
    <border>
      <left/>
      <right/>
      <top/>
      <bottom style="thick">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dashed">
        <color indexed="64"/>
      </top>
      <bottom style="dashed">
        <color indexed="64"/>
      </bottom>
      <diagonal/>
    </border>
    <border>
      <left/>
      <right/>
      <top style="thin">
        <color indexed="64"/>
      </top>
      <bottom style="dotted">
        <color indexed="64"/>
      </bottom>
      <diagonal/>
    </border>
    <border>
      <left/>
      <right/>
      <top style="dashed">
        <color indexed="64"/>
      </top>
      <bottom style="thin">
        <color indexed="64"/>
      </bottom>
      <diagonal/>
    </border>
    <border>
      <left/>
      <right/>
      <top/>
      <bottom style="dotted">
        <color indexed="64"/>
      </bottom>
      <diagonal/>
    </border>
    <border>
      <left/>
      <right/>
      <top style="dashed">
        <color indexed="64"/>
      </top>
      <bottom style="dotted">
        <color indexed="64"/>
      </bottom>
      <diagonal/>
    </border>
    <border>
      <left/>
      <right/>
      <top style="medium">
        <color indexed="64"/>
      </top>
      <bottom style="dotted">
        <color indexed="64"/>
      </bottom>
      <diagonal/>
    </border>
    <border>
      <left/>
      <right/>
      <top/>
      <bottom style="dashed">
        <color indexed="64"/>
      </bottom>
      <diagonal/>
    </border>
    <border>
      <left/>
      <right/>
      <top style="dotted">
        <color indexed="64"/>
      </top>
      <bottom style="thin">
        <color indexed="64"/>
      </bottom>
      <diagonal/>
    </border>
    <border>
      <left/>
      <right/>
      <top style="dotted">
        <color indexed="64"/>
      </top>
      <bottom style="dotted">
        <color indexed="64"/>
      </bottom>
      <diagonal/>
    </border>
    <border>
      <left/>
      <right/>
      <top style="dotted">
        <color indexed="64"/>
      </top>
      <bottom/>
      <diagonal/>
    </border>
    <border>
      <left style="thin">
        <color rgb="FFF2F2F2"/>
      </left>
      <right style="thin">
        <color rgb="FFF2F2F2"/>
      </right>
      <top style="thin">
        <color rgb="FFF2F2F2"/>
      </top>
      <bottom/>
      <diagonal/>
    </border>
    <border>
      <left style="thin">
        <color rgb="FFF2F2F2"/>
      </left>
      <right style="thin">
        <color rgb="FFF2F2F2"/>
      </right>
      <top/>
      <bottom/>
      <diagonal/>
    </border>
    <border>
      <left style="thin">
        <color rgb="FFF2F2F2"/>
      </left>
      <right style="thin">
        <color rgb="FFF2F2F2"/>
      </right>
      <top/>
      <bottom style="thin">
        <color rgb="FFF2F2F2"/>
      </bottom>
      <diagonal/>
    </border>
    <border>
      <left/>
      <right/>
      <top style="dotted">
        <color indexed="64"/>
      </top>
      <bottom style="medium">
        <color indexed="64"/>
      </bottom>
      <diagonal/>
    </border>
    <border>
      <left/>
      <right/>
      <top/>
      <bottom style="thick">
        <color rgb="FF000000"/>
      </bottom>
      <diagonal/>
    </border>
    <border>
      <left/>
      <right/>
      <top style="thin">
        <color theme="4" tint="0.39997558519241921"/>
      </top>
      <bottom/>
      <diagonal/>
    </border>
    <border>
      <left/>
      <right/>
      <top style="dashed">
        <color indexed="64"/>
      </top>
      <bottom style="thick">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ck">
        <color rgb="FF000000"/>
      </top>
      <bottom style="dotted">
        <color indexed="64"/>
      </bottom>
      <diagonal/>
    </border>
    <border>
      <left/>
      <right/>
      <top style="thick">
        <color indexed="64"/>
      </top>
      <bottom style="dotted">
        <color indexed="64"/>
      </bottom>
      <diagonal/>
    </border>
    <border>
      <left/>
      <right/>
      <top style="thin">
        <color indexed="64"/>
      </top>
      <bottom style="medium">
        <color indexed="64"/>
      </bottom>
      <diagonal/>
    </border>
    <border>
      <left/>
      <right/>
      <top style="dotted">
        <color indexed="64"/>
      </top>
      <bottom style="thick">
        <color indexed="64"/>
      </bottom>
      <diagonal/>
    </border>
    <border>
      <left/>
      <right/>
      <top style="dashed">
        <color indexed="64"/>
      </top>
      <bottom style="thin">
        <color rgb="FF000000"/>
      </bottom>
      <diagonal/>
    </border>
    <border>
      <left/>
      <right/>
      <top/>
      <bottom style="thin">
        <color rgb="FF000000"/>
      </bottom>
      <diagonal/>
    </border>
    <border>
      <left/>
      <right/>
      <top/>
      <bottom style="dashed">
        <color rgb="FF000000"/>
      </bottom>
      <diagonal/>
    </border>
    <border>
      <left/>
      <right/>
      <top/>
      <bottom style="medium">
        <color rgb="FF000000"/>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ck">
        <color rgb="FF000000"/>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tted">
        <color indexed="64"/>
      </bottom>
      <diagonal/>
    </border>
    <border>
      <left style="medium">
        <color indexed="64"/>
      </left>
      <right style="medium">
        <color indexed="64"/>
      </right>
      <top/>
      <bottom style="thin">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dashed">
        <color indexed="64"/>
      </top>
      <bottom style="dotted">
        <color indexed="64"/>
      </bottom>
      <diagonal/>
    </border>
    <border>
      <left style="medium">
        <color indexed="64"/>
      </left>
      <right style="medium">
        <color indexed="64"/>
      </right>
      <top/>
      <bottom style="dashed">
        <color indexed="64"/>
      </bottom>
      <diagonal/>
    </border>
    <border>
      <left style="medium">
        <color indexed="64"/>
      </left>
      <right style="medium">
        <color indexed="64"/>
      </right>
      <top/>
      <bottom style="dotted">
        <color indexed="64"/>
      </bottom>
      <diagonal/>
    </border>
    <border>
      <left style="medium">
        <color indexed="64"/>
      </left>
      <right style="medium">
        <color indexed="64"/>
      </right>
      <top style="dotted">
        <color indexed="64"/>
      </top>
      <bottom style="thin">
        <color indexed="64"/>
      </bottom>
      <diagonal/>
    </border>
    <border>
      <left style="medium">
        <color indexed="64"/>
      </left>
      <right style="medium">
        <color indexed="64"/>
      </right>
      <top style="dashed">
        <color indexed="64"/>
      </top>
      <bottom style="thin">
        <color indexed="64"/>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style="dotted">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dotted">
        <color indexed="64"/>
      </top>
      <bottom style="thick">
        <color indexed="64"/>
      </bottom>
      <diagonal/>
    </border>
    <border>
      <left/>
      <right style="medium">
        <color indexed="64"/>
      </right>
      <top/>
      <bottom/>
      <diagonal/>
    </border>
  </borders>
  <cellStyleXfs count="3">
    <xf numFmtId="0" fontId="0" fillId="0" borderId="0"/>
    <xf numFmtId="0" fontId="5" fillId="0" borderId="0" applyNumberFormat="0" applyFill="0" applyBorder="0" applyAlignment="0" applyProtection="0"/>
    <xf numFmtId="9" fontId="16" fillId="0" borderId="0" applyFont="0" applyFill="0" applyBorder="0" applyAlignment="0" applyProtection="0"/>
  </cellStyleXfs>
  <cellXfs count="523">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3" fillId="0" borderId="0" xfId="0" applyFont="1" applyAlignment="1">
      <alignment wrapText="1"/>
    </xf>
    <xf numFmtId="0" fontId="2" fillId="0" borderId="1" xfId="0" applyFont="1" applyBorder="1" applyAlignment="1">
      <alignment wrapText="1"/>
    </xf>
    <xf numFmtId="0" fontId="5" fillId="0" borderId="0" xfId="1" applyAlignment="1">
      <alignment horizontal="left"/>
    </xf>
    <xf numFmtId="0" fontId="4" fillId="0" borderId="4" xfId="0" applyFont="1" applyBorder="1" applyAlignment="1">
      <alignmen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5" xfId="0" applyFont="1" applyBorder="1" applyAlignment="1">
      <alignment vertical="center" wrapText="1"/>
    </xf>
    <xf numFmtId="0" fontId="5" fillId="0" borderId="16" xfId="1" applyBorder="1"/>
    <xf numFmtId="0" fontId="0" fillId="0" borderId="16" xfId="0" applyBorder="1"/>
    <xf numFmtId="0" fontId="0" fillId="0" borderId="17" xfId="0" applyBorder="1"/>
    <xf numFmtId="0" fontId="0" fillId="0" borderId="18" xfId="0" applyBorder="1"/>
    <xf numFmtId="0" fontId="10" fillId="0" borderId="0" xfId="0" applyFont="1"/>
    <xf numFmtId="0" fontId="11" fillId="0" borderId="0" xfId="0" applyFont="1" applyAlignment="1">
      <alignment horizontal="center" vertical="center" wrapText="1"/>
    </xf>
    <xf numFmtId="0" fontId="8" fillId="9" borderId="0" xfId="1" applyFont="1" applyFill="1" applyBorder="1" applyAlignment="1">
      <alignment vertical="center" wrapText="1"/>
    </xf>
    <xf numFmtId="0" fontId="6" fillId="9" borderId="0" xfId="0" applyFont="1" applyFill="1" applyAlignment="1">
      <alignment vertical="center" wrapText="1"/>
    </xf>
    <xf numFmtId="0" fontId="9" fillId="9" borderId="12" xfId="1" applyFont="1" applyFill="1" applyBorder="1" applyAlignment="1">
      <alignment vertical="center" wrapText="1"/>
    </xf>
    <xf numFmtId="0" fontId="8" fillId="9" borderId="2" xfId="1" applyFont="1" applyFill="1" applyBorder="1" applyAlignment="1">
      <alignment vertical="center" wrapText="1"/>
    </xf>
    <xf numFmtId="0" fontId="9" fillId="9" borderId="2" xfId="1" applyFont="1" applyFill="1" applyBorder="1" applyAlignment="1">
      <alignment vertical="center" wrapText="1"/>
    </xf>
    <xf numFmtId="0" fontId="9" fillId="9" borderId="9" xfId="1" applyFont="1" applyFill="1" applyBorder="1" applyAlignment="1">
      <alignment vertical="center" wrapText="1"/>
    </xf>
    <xf numFmtId="0" fontId="8" fillId="9" borderId="14" xfId="1" applyFont="1" applyFill="1" applyBorder="1" applyAlignment="1">
      <alignment vertical="center" wrapText="1"/>
    </xf>
    <xf numFmtId="0" fontId="9" fillId="9" borderId="14" xfId="1" applyFont="1" applyFill="1" applyBorder="1" applyAlignment="1">
      <alignment vertical="center" wrapText="1"/>
    </xf>
    <xf numFmtId="0" fontId="8" fillId="9" borderId="9" xfId="1" applyFont="1" applyFill="1" applyBorder="1" applyAlignment="1">
      <alignment vertical="center" wrapText="1"/>
    </xf>
    <xf numFmtId="0" fontId="9" fillId="9" borderId="6" xfId="1" applyFont="1" applyFill="1" applyBorder="1" applyAlignment="1">
      <alignment vertical="center" wrapText="1"/>
    </xf>
    <xf numFmtId="0" fontId="8" fillId="9" borderId="12" xfId="1" applyFont="1" applyFill="1" applyBorder="1" applyAlignment="1">
      <alignment vertical="center" wrapText="1"/>
    </xf>
    <xf numFmtId="0" fontId="8" fillId="9" borderId="10" xfId="1" applyFont="1" applyFill="1" applyBorder="1" applyAlignment="1">
      <alignment vertical="center" wrapText="1"/>
    </xf>
    <xf numFmtId="0" fontId="9" fillId="9" borderId="8" xfId="1" applyFont="1" applyFill="1" applyBorder="1" applyAlignment="1">
      <alignment vertical="center" wrapText="1"/>
    </xf>
    <xf numFmtId="0" fontId="9" fillId="9" borderId="3" xfId="1" applyFont="1" applyFill="1" applyBorder="1" applyAlignment="1">
      <alignment vertical="center" wrapText="1"/>
    </xf>
    <xf numFmtId="0" fontId="6" fillId="9" borderId="5" xfId="0" applyFont="1" applyFill="1" applyBorder="1" applyAlignment="1">
      <alignment vertical="center" wrapText="1"/>
    </xf>
    <xf numFmtId="0" fontId="8" fillId="9" borderId="3" xfId="1" applyFont="1" applyFill="1" applyBorder="1" applyAlignment="1">
      <alignment vertical="center" wrapText="1"/>
    </xf>
    <xf numFmtId="0" fontId="9" fillId="9" borderId="0" xfId="1" applyFont="1" applyFill="1" applyBorder="1" applyAlignment="1">
      <alignment vertical="center" wrapText="1"/>
    </xf>
    <xf numFmtId="0" fontId="8" fillId="9" borderId="5" xfId="1" applyFont="1" applyFill="1" applyBorder="1" applyAlignment="1">
      <alignment vertical="center" wrapText="1"/>
    </xf>
    <xf numFmtId="0" fontId="9" fillId="9" borderId="3" xfId="0" applyFont="1" applyFill="1" applyBorder="1" applyAlignment="1">
      <alignment vertical="center" wrapText="1"/>
    </xf>
    <xf numFmtId="0" fontId="9" fillId="9" borderId="7" xfId="1" applyFont="1" applyFill="1" applyBorder="1" applyAlignment="1">
      <alignment vertical="center" wrapText="1"/>
    </xf>
    <xf numFmtId="0" fontId="8" fillId="9" borderId="7" xfId="1" applyFont="1" applyFill="1" applyBorder="1" applyAlignment="1">
      <alignment vertical="center" wrapText="1"/>
    </xf>
    <xf numFmtId="0" fontId="9" fillId="9" borderId="13" xfId="1" applyFont="1" applyFill="1" applyBorder="1" applyAlignment="1">
      <alignment vertical="center" wrapText="1"/>
    </xf>
    <xf numFmtId="0" fontId="9" fillId="9" borderId="11" xfId="1" applyFont="1" applyFill="1" applyBorder="1" applyAlignment="1">
      <alignment vertical="center" wrapText="1"/>
    </xf>
    <xf numFmtId="0" fontId="9" fillId="9" borderId="0" xfId="0" applyFont="1" applyFill="1" applyAlignment="1">
      <alignment vertical="center" wrapText="1"/>
    </xf>
    <xf numFmtId="0" fontId="9" fillId="11" borderId="0" xfId="0" applyFont="1" applyFill="1" applyAlignment="1">
      <alignment vertical="center" wrapText="1"/>
    </xf>
    <xf numFmtId="0" fontId="17" fillId="5" borderId="0" xfId="0" applyFont="1" applyFill="1" applyAlignment="1">
      <alignment horizontal="center" vertical="center" wrapText="1"/>
    </xf>
    <xf numFmtId="0" fontId="11" fillId="0" borderId="0" xfId="0" applyFont="1" applyAlignment="1">
      <alignment vertical="center" wrapText="1"/>
    </xf>
    <xf numFmtId="0" fontId="0" fillId="0" borderId="0" xfId="0" pivotButton="1"/>
    <xf numFmtId="0" fontId="0" fillId="0" borderId="0" xfId="0" applyAlignment="1">
      <alignment horizontal="left"/>
    </xf>
    <xf numFmtId="9" fontId="0" fillId="0" borderId="0" xfId="2" applyFont="1"/>
    <xf numFmtId="0" fontId="9" fillId="0" borderId="2" xfId="1" applyFont="1" applyFill="1" applyBorder="1" applyAlignment="1">
      <alignment vertical="center" wrapText="1"/>
    </xf>
    <xf numFmtId="0" fontId="10" fillId="13" borderId="21" xfId="0" applyFont="1" applyFill="1" applyBorder="1" applyAlignment="1">
      <alignment horizontal="left"/>
    </xf>
    <xf numFmtId="0" fontId="9" fillId="9" borderId="14" xfId="1" applyFont="1" applyFill="1" applyBorder="1" applyAlignment="1">
      <alignment horizontal="left" vertical="center" wrapText="1"/>
    </xf>
    <xf numFmtId="0" fontId="10" fillId="13" borderId="21" xfId="0" applyFont="1" applyFill="1" applyBorder="1"/>
    <xf numFmtId="0" fontId="18" fillId="6" borderId="20" xfId="0" applyFont="1" applyFill="1" applyBorder="1" applyAlignment="1">
      <alignment horizontal="center" vertical="center" wrapText="1"/>
    </xf>
    <xf numFmtId="0" fontId="12" fillId="12" borderId="0" xfId="0" applyFont="1" applyFill="1" applyAlignment="1">
      <alignment vertical="center" wrapText="1"/>
    </xf>
    <xf numFmtId="0" fontId="9" fillId="9" borderId="14" xfId="0" applyFont="1" applyFill="1" applyBorder="1" applyAlignment="1">
      <alignment vertical="center" wrapText="1"/>
    </xf>
    <xf numFmtId="0" fontId="9" fillId="9" borderId="5" xfId="0" applyFont="1" applyFill="1" applyBorder="1" applyAlignment="1">
      <alignment vertical="center" wrapText="1"/>
    </xf>
    <xf numFmtId="0" fontId="9" fillId="9" borderId="12" xfId="0" applyFont="1" applyFill="1" applyBorder="1" applyAlignment="1">
      <alignment vertical="center" wrapText="1"/>
    </xf>
    <xf numFmtId="0" fontId="9" fillId="9" borderId="9" xfId="0" applyFont="1" applyFill="1" applyBorder="1" applyAlignment="1">
      <alignment vertical="center" wrapText="1"/>
    </xf>
    <xf numFmtId="0" fontId="9" fillId="0" borderId="0" xfId="1" applyFont="1" applyFill="1" applyBorder="1" applyAlignment="1">
      <alignment vertical="center" wrapText="1"/>
    </xf>
    <xf numFmtId="0" fontId="6" fillId="9" borderId="1" xfId="0" applyFont="1" applyFill="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8" fillId="9" borderId="1" xfId="1" applyFont="1" applyFill="1" applyBorder="1" applyAlignment="1">
      <alignment vertical="center" wrapText="1"/>
    </xf>
    <xf numFmtId="0" fontId="6" fillId="9" borderId="23" xfId="0" applyFont="1" applyFill="1" applyBorder="1" applyAlignment="1">
      <alignment vertical="center" wrapText="1"/>
    </xf>
    <xf numFmtId="0" fontId="8" fillId="9" borderId="23" xfId="1" applyFont="1" applyFill="1" applyBorder="1" applyAlignment="1">
      <alignment vertical="center" wrapText="1"/>
    </xf>
    <xf numFmtId="0" fontId="9" fillId="9" borderId="23" xfId="1" applyFont="1" applyFill="1" applyBorder="1" applyAlignment="1">
      <alignment vertical="center" wrapText="1"/>
    </xf>
    <xf numFmtId="0" fontId="8" fillId="9" borderId="24" xfId="1" applyFont="1" applyFill="1" applyBorder="1" applyAlignment="1">
      <alignment vertical="center" wrapText="1"/>
    </xf>
    <xf numFmtId="0" fontId="8" fillId="9" borderId="25" xfId="1" applyFont="1" applyFill="1" applyBorder="1" applyAlignment="1">
      <alignment vertical="center" wrapText="1"/>
    </xf>
    <xf numFmtId="0" fontId="8" fillId="9" borderId="13" xfId="1" applyFont="1" applyFill="1" applyBorder="1" applyAlignment="1">
      <alignment vertical="center" wrapText="1"/>
    </xf>
    <xf numFmtId="0" fontId="9" fillId="9" borderId="25" xfId="0" applyFont="1" applyFill="1" applyBorder="1" applyAlignment="1">
      <alignment vertical="center" wrapText="1"/>
    </xf>
    <xf numFmtId="0" fontId="9" fillId="9" borderId="24" xfId="0" applyFont="1" applyFill="1" applyBorder="1" applyAlignment="1">
      <alignment vertical="center" wrapText="1"/>
    </xf>
    <xf numFmtId="0" fontId="9" fillId="9" borderId="7" xfId="0" applyFont="1" applyFill="1" applyBorder="1" applyAlignment="1">
      <alignment vertical="center" wrapText="1"/>
    </xf>
    <xf numFmtId="0" fontId="9" fillId="9" borderId="2" xfId="0" applyFont="1" applyFill="1" applyBorder="1" applyAlignment="1">
      <alignment vertical="center" wrapText="1"/>
    </xf>
    <xf numFmtId="0" fontId="9" fillId="9" borderId="23" xfId="0" applyFont="1" applyFill="1" applyBorder="1" applyAlignment="1">
      <alignment vertical="center" wrapText="1"/>
    </xf>
    <xf numFmtId="0" fontId="9" fillId="9" borderId="10" xfId="0" applyFont="1" applyFill="1" applyBorder="1" applyAlignment="1">
      <alignment vertical="center" wrapText="1"/>
    </xf>
    <xf numFmtId="0" fontId="9" fillId="9" borderId="13" xfId="0" applyFont="1" applyFill="1" applyBorder="1" applyAlignment="1">
      <alignment vertical="center" wrapText="1"/>
    </xf>
    <xf numFmtId="0" fontId="9" fillId="9" borderId="1" xfId="0" applyFont="1" applyFill="1" applyBorder="1" applyAlignment="1">
      <alignment vertical="center" wrapText="1"/>
    </xf>
    <xf numFmtId="0" fontId="9" fillId="12" borderId="7" xfId="0" applyFont="1" applyFill="1" applyBorder="1" applyAlignment="1">
      <alignment vertical="center" wrapText="1"/>
    </xf>
    <xf numFmtId="0" fontId="19" fillId="2" borderId="20" xfId="0" applyFont="1" applyFill="1" applyBorder="1" applyAlignment="1">
      <alignment horizontal="center" vertical="center" wrapText="1"/>
    </xf>
    <xf numFmtId="0" fontId="8" fillId="9" borderId="26" xfId="1" applyFont="1" applyFill="1" applyBorder="1" applyAlignment="1">
      <alignment vertical="center" wrapText="1"/>
    </xf>
    <xf numFmtId="0" fontId="9" fillId="9" borderId="26" xfId="0" applyFont="1" applyFill="1" applyBorder="1" applyAlignment="1">
      <alignment vertical="center" wrapText="1"/>
    </xf>
    <xf numFmtId="0" fontId="8" fillId="9" borderId="11" xfId="1" applyFont="1" applyFill="1" applyBorder="1" applyAlignment="1">
      <alignment vertical="center" wrapText="1"/>
    </xf>
    <xf numFmtId="0" fontId="9" fillId="9" borderId="11" xfId="0" applyFont="1" applyFill="1" applyBorder="1" applyAlignment="1">
      <alignment vertical="center" wrapText="1"/>
    </xf>
    <xf numFmtId="0" fontId="9" fillId="12" borderId="14" xfId="0" applyFont="1" applyFill="1" applyBorder="1" applyAlignment="1">
      <alignment vertical="center" wrapText="1"/>
    </xf>
    <xf numFmtId="0" fontId="20" fillId="12" borderId="5" xfId="1" applyFont="1" applyFill="1" applyBorder="1" applyAlignment="1">
      <alignment vertical="center" wrapText="1"/>
    </xf>
    <xf numFmtId="0" fontId="20" fillId="12" borderId="14" xfId="1" applyFont="1" applyFill="1" applyBorder="1" applyAlignment="1">
      <alignment vertical="center" wrapText="1"/>
    </xf>
    <xf numFmtId="0" fontId="20" fillId="12" borderId="7" xfId="1" applyFont="1" applyFill="1" applyBorder="1" applyAlignment="1">
      <alignment vertical="center" wrapText="1"/>
    </xf>
    <xf numFmtId="0" fontId="19" fillId="3" borderId="0" xfId="0" applyFont="1" applyFill="1" applyAlignment="1">
      <alignment horizontal="center" vertical="center" wrapText="1"/>
    </xf>
    <xf numFmtId="0" fontId="19" fillId="4" borderId="20" xfId="0" applyFont="1" applyFill="1" applyBorder="1" applyAlignment="1">
      <alignment horizontal="center" vertical="center" wrapText="1"/>
    </xf>
    <xf numFmtId="0" fontId="21" fillId="9" borderId="0" xfId="0" applyFont="1" applyFill="1" applyAlignment="1">
      <alignment vertical="center" wrapText="1"/>
    </xf>
    <xf numFmtId="0" fontId="21" fillId="9" borderId="1" xfId="0" applyFont="1" applyFill="1" applyBorder="1" applyAlignment="1">
      <alignment vertical="center" wrapText="1"/>
    </xf>
    <xf numFmtId="0" fontId="21" fillId="11" borderId="0" xfId="0" applyFont="1" applyFill="1" applyAlignment="1">
      <alignment vertical="center" wrapText="1"/>
    </xf>
    <xf numFmtId="0" fontId="6" fillId="11" borderId="0" xfId="0" applyFont="1" applyFill="1" applyAlignment="1">
      <alignment vertical="center" wrapText="1"/>
    </xf>
    <xf numFmtId="0" fontId="8" fillId="11" borderId="26" xfId="1" applyFont="1" applyFill="1" applyBorder="1" applyAlignment="1">
      <alignment vertical="center" wrapText="1"/>
    </xf>
    <xf numFmtId="0" fontId="9" fillId="11" borderId="26" xfId="0" applyFont="1" applyFill="1" applyBorder="1" applyAlignment="1">
      <alignment vertical="center" wrapText="1"/>
    </xf>
    <xf numFmtId="0" fontId="8" fillId="11" borderId="14" xfId="1" applyFont="1" applyFill="1" applyBorder="1" applyAlignment="1">
      <alignment vertical="center" wrapText="1"/>
    </xf>
    <xf numFmtId="0" fontId="9" fillId="11" borderId="14" xfId="0" applyFont="1" applyFill="1" applyBorder="1" applyAlignment="1">
      <alignment vertical="center" wrapText="1"/>
    </xf>
    <xf numFmtId="0" fontId="8" fillId="11" borderId="2" xfId="1" applyFont="1" applyFill="1" applyBorder="1" applyAlignment="1">
      <alignment vertical="center" wrapText="1"/>
    </xf>
    <xf numFmtId="0" fontId="9" fillId="11" borderId="2" xfId="0" applyFont="1" applyFill="1" applyBorder="1" applyAlignment="1">
      <alignment vertical="center" wrapText="1"/>
    </xf>
    <xf numFmtId="0" fontId="12" fillId="14" borderId="0" xfId="0" applyFont="1" applyFill="1" applyAlignment="1">
      <alignment vertical="center" wrapText="1"/>
    </xf>
    <xf numFmtId="0" fontId="8" fillId="11" borderId="7" xfId="1" applyFont="1" applyFill="1" applyBorder="1" applyAlignment="1">
      <alignment vertical="center" wrapText="1"/>
    </xf>
    <xf numFmtId="0" fontId="9" fillId="11" borderId="7" xfId="0" applyFont="1" applyFill="1" applyBorder="1" applyAlignment="1">
      <alignment vertical="center" wrapText="1"/>
    </xf>
    <xf numFmtId="0" fontId="8" fillId="11" borderId="5" xfId="1" applyFont="1" applyFill="1" applyBorder="1" applyAlignment="1">
      <alignment vertical="center" wrapText="1"/>
    </xf>
    <xf numFmtId="0" fontId="9" fillId="11" borderId="5" xfId="0" applyFont="1" applyFill="1" applyBorder="1" applyAlignment="1">
      <alignment vertical="center" wrapText="1"/>
    </xf>
    <xf numFmtId="0" fontId="8" fillId="11" borderId="3" xfId="1" applyFont="1" applyFill="1" applyBorder="1" applyAlignment="1">
      <alignment vertical="center" wrapText="1"/>
    </xf>
    <xf numFmtId="0" fontId="9" fillId="11" borderId="3" xfId="0" applyFont="1" applyFill="1" applyBorder="1" applyAlignment="1">
      <alignment vertical="center" wrapText="1"/>
    </xf>
    <xf numFmtId="0" fontId="9" fillId="11" borderId="3" xfId="1" applyFont="1" applyFill="1" applyBorder="1" applyAlignment="1">
      <alignment vertical="center" wrapText="1"/>
    </xf>
    <xf numFmtId="0" fontId="6" fillId="11" borderId="5" xfId="0" applyFont="1" applyFill="1" applyBorder="1" applyAlignment="1">
      <alignment vertical="center" wrapText="1"/>
    </xf>
    <xf numFmtId="0" fontId="6" fillId="11" borderId="23" xfId="0" applyFont="1" applyFill="1" applyBorder="1" applyAlignment="1">
      <alignment vertical="center" wrapText="1"/>
    </xf>
    <xf numFmtId="0" fontId="8" fillId="11" borderId="23" xfId="1" applyFont="1" applyFill="1" applyBorder="1" applyAlignment="1">
      <alignment vertical="center" wrapText="1"/>
    </xf>
    <xf numFmtId="0" fontId="9" fillId="11" borderId="23" xfId="0" applyFont="1" applyFill="1" applyBorder="1" applyAlignment="1">
      <alignment vertical="center" wrapText="1"/>
    </xf>
    <xf numFmtId="0" fontId="9" fillId="11" borderId="11" xfId="0" applyFont="1" applyFill="1" applyBorder="1" applyAlignment="1">
      <alignment vertical="center" wrapText="1"/>
    </xf>
    <xf numFmtId="0" fontId="21" fillId="11" borderId="1" xfId="0" applyFont="1" applyFill="1" applyBorder="1" applyAlignment="1">
      <alignment vertical="center" wrapText="1"/>
    </xf>
    <xf numFmtId="0" fontId="6" fillId="11" borderId="1" xfId="0" applyFont="1" applyFill="1" applyBorder="1" applyAlignment="1">
      <alignment vertical="center" wrapText="1"/>
    </xf>
    <xf numFmtId="0" fontId="8" fillId="11" borderId="1" xfId="1" applyFont="1" applyFill="1" applyBorder="1" applyAlignment="1">
      <alignment vertical="center" wrapText="1"/>
    </xf>
    <xf numFmtId="0" fontId="9" fillId="11" borderId="1" xfId="0" applyFont="1" applyFill="1" applyBorder="1" applyAlignment="1">
      <alignment vertical="center" wrapText="1"/>
    </xf>
    <xf numFmtId="0" fontId="8" fillId="11" borderId="0" xfId="1" applyFont="1" applyFill="1" applyBorder="1" applyAlignment="1">
      <alignment vertical="center" wrapText="1"/>
    </xf>
    <xf numFmtId="0" fontId="8" fillId="11" borderId="9" xfId="1" applyFont="1" applyFill="1" applyBorder="1" applyAlignment="1">
      <alignment vertical="center" wrapText="1"/>
    </xf>
    <xf numFmtId="0" fontId="9" fillId="11" borderId="9" xfId="0" applyFont="1" applyFill="1" applyBorder="1" applyAlignment="1">
      <alignment vertical="center" wrapText="1"/>
    </xf>
    <xf numFmtId="0" fontId="8" fillId="11" borderId="12" xfId="1" applyFont="1" applyFill="1" applyBorder="1" applyAlignment="1">
      <alignment vertical="center" wrapText="1"/>
    </xf>
    <xf numFmtId="0" fontId="9" fillId="11" borderId="12" xfId="0" applyFont="1" applyFill="1" applyBorder="1" applyAlignment="1">
      <alignment vertical="center" wrapText="1"/>
    </xf>
    <xf numFmtId="0" fontId="9" fillId="11" borderId="10" xfId="0" applyFont="1" applyFill="1" applyBorder="1" applyAlignment="1">
      <alignment vertical="center" wrapText="1"/>
    </xf>
    <xf numFmtId="0" fontId="8" fillId="11" borderId="13" xfId="1" applyFont="1" applyFill="1" applyBorder="1" applyAlignment="1">
      <alignment vertical="center" wrapText="1"/>
    </xf>
    <xf numFmtId="0" fontId="9" fillId="11" borderId="13" xfId="0" applyFont="1" applyFill="1" applyBorder="1" applyAlignment="1">
      <alignment vertical="center" wrapText="1"/>
    </xf>
    <xf numFmtId="0" fontId="8" fillId="11" borderId="24" xfId="1" applyFont="1" applyFill="1" applyBorder="1" applyAlignment="1">
      <alignment vertical="center" wrapText="1"/>
    </xf>
    <xf numFmtId="0" fontId="9" fillId="11" borderId="6" xfId="0" applyFont="1" applyFill="1" applyBorder="1" applyAlignment="1">
      <alignment vertical="center" wrapText="1"/>
    </xf>
    <xf numFmtId="0" fontId="8" fillId="11" borderId="19" xfId="1" applyFont="1" applyFill="1" applyBorder="1" applyAlignment="1">
      <alignment vertical="center" wrapText="1"/>
    </xf>
    <xf numFmtId="0" fontId="9" fillId="11" borderId="19" xfId="0" applyFont="1" applyFill="1" applyBorder="1" applyAlignment="1">
      <alignment vertical="center" wrapText="1"/>
    </xf>
    <xf numFmtId="0" fontId="17" fillId="2" borderId="20" xfId="0" applyFont="1" applyFill="1" applyBorder="1" applyAlignment="1">
      <alignment horizontal="center" vertical="center" wrapText="1"/>
    </xf>
    <xf numFmtId="0" fontId="8" fillId="9" borderId="29" xfId="1" applyFont="1" applyFill="1" applyBorder="1" applyAlignment="1">
      <alignment vertical="center" wrapText="1"/>
    </xf>
    <xf numFmtId="0" fontId="6" fillId="9" borderId="32" xfId="0" applyFont="1" applyFill="1" applyBorder="1" applyAlignment="1">
      <alignment vertical="center" wrapText="1"/>
    </xf>
    <xf numFmtId="0" fontId="9" fillId="11" borderId="24" xfId="0" applyFont="1" applyFill="1" applyBorder="1" applyAlignment="1">
      <alignment vertical="center" wrapText="1"/>
    </xf>
    <xf numFmtId="0" fontId="17" fillId="8" borderId="0" xfId="0" applyFont="1" applyFill="1" applyAlignment="1">
      <alignment horizontal="center" vertical="center" wrapText="1"/>
    </xf>
    <xf numFmtId="0" fontId="17" fillId="16" borderId="0" xfId="0" applyFont="1" applyFill="1" applyAlignment="1">
      <alignment horizontal="center" vertical="center" wrapText="1"/>
    </xf>
    <xf numFmtId="9" fontId="9" fillId="9" borderId="0" xfId="0" applyNumberFormat="1" applyFont="1" applyFill="1" applyAlignment="1">
      <alignment vertical="center" wrapText="1"/>
    </xf>
    <xf numFmtId="0" fontId="9" fillId="9" borderId="25" xfId="0" applyFont="1" applyFill="1" applyBorder="1" applyAlignment="1">
      <alignment horizontal="left" vertical="center" wrapText="1"/>
    </xf>
    <xf numFmtId="0" fontId="9" fillId="9" borderId="5" xfId="0" applyFont="1" applyFill="1" applyBorder="1" applyAlignment="1">
      <alignment horizontal="left" vertical="center" wrapText="1"/>
    </xf>
    <xf numFmtId="0" fontId="9" fillId="9" borderId="24" xfId="0" applyFont="1" applyFill="1" applyBorder="1" applyAlignment="1">
      <alignment horizontal="left" vertical="center" wrapText="1"/>
    </xf>
    <xf numFmtId="0" fontId="9" fillId="9" borderId="3" xfId="0" applyFont="1" applyFill="1" applyBorder="1" applyAlignment="1">
      <alignment horizontal="left" vertical="center" wrapText="1"/>
    </xf>
    <xf numFmtId="0" fontId="9" fillId="9" borderId="7" xfId="0" applyFont="1" applyFill="1" applyBorder="1" applyAlignment="1">
      <alignment horizontal="left" vertical="center" wrapText="1"/>
    </xf>
    <xf numFmtId="0" fontId="9" fillId="9" borderId="2" xfId="0" applyFont="1" applyFill="1" applyBorder="1" applyAlignment="1">
      <alignment horizontal="left" vertical="center" wrapText="1"/>
    </xf>
    <xf numFmtId="0" fontId="9" fillId="9" borderId="14" xfId="0" applyFont="1" applyFill="1" applyBorder="1" applyAlignment="1">
      <alignment horizontal="left" vertical="center" wrapText="1"/>
    </xf>
    <xf numFmtId="0" fontId="9" fillId="9" borderId="23" xfId="0" applyFont="1" applyFill="1" applyBorder="1" applyAlignment="1">
      <alignment horizontal="left" vertical="center" wrapText="1"/>
    </xf>
    <xf numFmtId="0" fontId="9" fillId="9" borderId="12" xfId="0" applyFont="1" applyFill="1" applyBorder="1" applyAlignment="1">
      <alignment horizontal="left" vertical="center" wrapText="1"/>
    </xf>
    <xf numFmtId="0" fontId="9" fillId="9" borderId="13" xfId="0" applyFont="1" applyFill="1" applyBorder="1" applyAlignment="1">
      <alignment horizontal="left" vertical="center" wrapText="1"/>
    </xf>
    <xf numFmtId="0" fontId="9" fillId="9" borderId="9" xfId="0" applyFont="1" applyFill="1" applyBorder="1" applyAlignment="1">
      <alignment horizontal="left" vertical="center" wrapText="1"/>
    </xf>
    <xf numFmtId="0" fontId="9" fillId="9" borderId="0" xfId="0" applyFont="1" applyFill="1" applyAlignment="1">
      <alignment horizontal="left" vertical="center" wrapText="1"/>
    </xf>
    <xf numFmtId="0" fontId="9" fillId="9" borderId="1" xfId="0" applyFont="1" applyFill="1" applyBorder="1" applyAlignment="1">
      <alignment horizontal="left" vertical="center" wrapText="1"/>
    </xf>
    <xf numFmtId="0" fontId="9" fillId="11" borderId="14"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9" fillId="11" borderId="7" xfId="0" applyFont="1" applyFill="1" applyBorder="1" applyAlignment="1">
      <alignment horizontal="left" vertical="center" wrapText="1"/>
    </xf>
    <xf numFmtId="0" fontId="9" fillId="11" borderId="3" xfId="0" applyFont="1" applyFill="1" applyBorder="1" applyAlignment="1">
      <alignment horizontal="left" vertical="center" wrapText="1"/>
    </xf>
    <xf numFmtId="0" fontId="9" fillId="9" borderId="12" xfId="1" applyFont="1" applyFill="1" applyBorder="1" applyAlignment="1">
      <alignment horizontal="left" vertical="center" wrapText="1"/>
    </xf>
    <xf numFmtId="0" fontId="9" fillId="9" borderId="11" xfId="0" applyFont="1" applyFill="1" applyBorder="1" applyAlignment="1">
      <alignment horizontal="left" vertical="center" wrapText="1"/>
    </xf>
    <xf numFmtId="0" fontId="9" fillId="11" borderId="0" xfId="0" applyFont="1" applyFill="1" applyAlignment="1">
      <alignment horizontal="left" vertical="center" wrapText="1"/>
    </xf>
    <xf numFmtId="0" fontId="9" fillId="11" borderId="9" xfId="0" applyFont="1" applyFill="1" applyBorder="1" applyAlignment="1">
      <alignment horizontal="left" vertical="center" wrapText="1"/>
    </xf>
    <xf numFmtId="0" fontId="0" fillId="0" borderId="0" xfId="0" applyAlignment="1">
      <alignment horizontal="left" indent="1"/>
    </xf>
    <xf numFmtId="0" fontId="0" fillId="18" borderId="0" xfId="0" applyFill="1"/>
    <xf numFmtId="0" fontId="12" fillId="12" borderId="23" xfId="0" applyFont="1" applyFill="1" applyBorder="1" applyAlignment="1">
      <alignment vertical="center" wrapText="1"/>
    </xf>
    <xf numFmtId="0" fontId="8" fillId="9" borderId="32" xfId="1" applyFont="1" applyFill="1" applyBorder="1" applyAlignment="1">
      <alignment vertical="center" wrapText="1"/>
    </xf>
    <xf numFmtId="0" fontId="8" fillId="11" borderId="8" xfId="1" applyFont="1" applyFill="1" applyBorder="1" applyAlignment="1">
      <alignment vertical="center" wrapText="1"/>
    </xf>
    <xf numFmtId="0" fontId="8" fillId="9" borderId="31" xfId="1" applyFont="1" applyFill="1" applyBorder="1" applyAlignment="1">
      <alignment vertical="center" wrapText="1"/>
    </xf>
    <xf numFmtId="0" fontId="9" fillId="9" borderId="23" xfId="1" applyFont="1" applyFill="1" applyBorder="1" applyAlignment="1">
      <alignment horizontal="left" vertical="center" wrapText="1"/>
    </xf>
    <xf numFmtId="0" fontId="9" fillId="9" borderId="0" xfId="1" applyFont="1" applyFill="1" applyBorder="1" applyAlignment="1">
      <alignment horizontal="left" vertical="center" wrapText="1"/>
    </xf>
    <xf numFmtId="0" fontId="9" fillId="0" borderId="14" xfId="1" applyFont="1" applyFill="1" applyBorder="1" applyAlignment="1">
      <alignment vertical="center" wrapText="1"/>
    </xf>
    <xf numFmtId="0" fontId="9" fillId="9" borderId="0" xfId="1" applyFont="1" applyFill="1" applyBorder="1" applyAlignment="1">
      <alignment horizontal="left" vertical="top" wrapText="1"/>
    </xf>
    <xf numFmtId="9" fontId="0" fillId="0" borderId="0" xfId="0" applyNumberFormat="1"/>
    <xf numFmtId="9" fontId="10" fillId="0" borderId="0" xfId="0" applyNumberFormat="1" applyFont="1" applyAlignment="1">
      <alignment horizontal="left"/>
    </xf>
    <xf numFmtId="0" fontId="0" fillId="0" borderId="0" xfId="0" applyAlignment="1">
      <alignment horizontal="right"/>
    </xf>
    <xf numFmtId="0" fontId="9" fillId="9" borderId="2" xfId="1" applyFont="1" applyFill="1" applyBorder="1" applyAlignment="1">
      <alignment horizontal="left" vertical="center" wrapText="1"/>
    </xf>
    <xf numFmtId="0" fontId="9" fillId="0" borderId="5" xfId="1" applyFont="1" applyFill="1" applyBorder="1" applyAlignment="1">
      <alignment vertical="center" wrapText="1"/>
    </xf>
    <xf numFmtId="0" fontId="9" fillId="9" borderId="14" xfId="0" applyFont="1" applyFill="1" applyBorder="1" applyAlignment="1">
      <alignment horizontal="left" vertical="top" wrapText="1"/>
    </xf>
    <xf numFmtId="0" fontId="19" fillId="2" borderId="20" xfId="0" applyFont="1" applyFill="1" applyBorder="1" applyAlignment="1">
      <alignment horizontal="left" vertical="top" wrapText="1"/>
    </xf>
    <xf numFmtId="0" fontId="9" fillId="9" borderId="0" xfId="0" applyFont="1" applyFill="1" applyAlignment="1">
      <alignment horizontal="left" vertical="top" wrapText="1"/>
    </xf>
    <xf numFmtId="0" fontId="9" fillId="9" borderId="2" xfId="0" applyFont="1" applyFill="1" applyBorder="1" applyAlignment="1">
      <alignment horizontal="left" vertical="top" wrapText="1"/>
    </xf>
    <xf numFmtId="0" fontId="9" fillId="11" borderId="14" xfId="0" applyFont="1" applyFill="1" applyBorder="1" applyAlignment="1">
      <alignment horizontal="left" vertical="top" wrapText="1"/>
    </xf>
    <xf numFmtId="0" fontId="9" fillId="9" borderId="13" xfId="0" applyFont="1" applyFill="1" applyBorder="1" applyAlignment="1">
      <alignment horizontal="left" vertical="top" wrapText="1"/>
    </xf>
    <xf numFmtId="0" fontId="9" fillId="9" borderId="3" xfId="0" applyFont="1" applyFill="1" applyBorder="1" applyAlignment="1">
      <alignment horizontal="left" vertical="top" wrapText="1"/>
    </xf>
    <xf numFmtId="0" fontId="9" fillId="11" borderId="13" xfId="0" applyFont="1" applyFill="1" applyBorder="1" applyAlignment="1">
      <alignment horizontal="left" vertical="top" wrapText="1"/>
    </xf>
    <xf numFmtId="0" fontId="9" fillId="11" borderId="1" xfId="0" applyFont="1" applyFill="1" applyBorder="1" applyAlignment="1">
      <alignment horizontal="left" vertical="top" wrapText="1"/>
    </xf>
    <xf numFmtId="0" fontId="9" fillId="11" borderId="7" xfId="0" applyFont="1" applyFill="1" applyBorder="1" applyAlignment="1">
      <alignment horizontal="left" vertical="top" wrapText="1"/>
    </xf>
    <xf numFmtId="0" fontId="9" fillId="9" borderId="14" xfId="1" applyFont="1" applyFill="1" applyBorder="1" applyAlignment="1">
      <alignment horizontal="left" vertical="top" wrapText="1"/>
    </xf>
    <xf numFmtId="0" fontId="9" fillId="9" borderId="23" xfId="0" applyFont="1" applyFill="1" applyBorder="1" applyAlignment="1">
      <alignment horizontal="left" vertical="top" wrapText="1"/>
    </xf>
    <xf numFmtId="0" fontId="9" fillId="11" borderId="2" xfId="0" applyFont="1" applyFill="1" applyBorder="1" applyAlignment="1">
      <alignment horizontal="left" vertical="top" wrapText="1"/>
    </xf>
    <xf numFmtId="0" fontId="9" fillId="11" borderId="26" xfId="0" applyFont="1" applyFill="1" applyBorder="1" applyAlignment="1">
      <alignment horizontal="left" vertical="top" wrapText="1"/>
    </xf>
    <xf numFmtId="0" fontId="9" fillId="11" borderId="0" xfId="0" applyFont="1" applyFill="1" applyAlignment="1">
      <alignment horizontal="left" vertical="top" wrapText="1"/>
    </xf>
    <xf numFmtId="0" fontId="9" fillId="11" borderId="5" xfId="0" applyFont="1" applyFill="1" applyBorder="1" applyAlignment="1">
      <alignment horizontal="left" vertical="top" wrapText="1"/>
    </xf>
    <xf numFmtId="0" fontId="9" fillId="11" borderId="24" xfId="0" applyFont="1" applyFill="1" applyBorder="1" applyAlignment="1">
      <alignment horizontal="left" vertical="top" wrapText="1"/>
    </xf>
    <xf numFmtId="0" fontId="9" fillId="11" borderId="12" xfId="0" applyFont="1" applyFill="1" applyBorder="1" applyAlignment="1">
      <alignment horizontal="left" vertical="top" wrapText="1"/>
    </xf>
    <xf numFmtId="0" fontId="9" fillId="11" borderId="23" xfId="0" applyFont="1" applyFill="1" applyBorder="1" applyAlignment="1">
      <alignment horizontal="left" vertical="top" wrapText="1"/>
    </xf>
    <xf numFmtId="0" fontId="9" fillId="9" borderId="1" xfId="0" applyFont="1" applyFill="1" applyBorder="1" applyAlignment="1">
      <alignment horizontal="left" vertical="top" wrapText="1"/>
    </xf>
    <xf numFmtId="0" fontId="9" fillId="9" borderId="26" xfId="0" applyFont="1" applyFill="1" applyBorder="1" applyAlignment="1">
      <alignment horizontal="left" vertical="top" wrapText="1"/>
    </xf>
    <xf numFmtId="0" fontId="9" fillId="11" borderId="9" xfId="0" applyFont="1" applyFill="1" applyBorder="1" applyAlignment="1">
      <alignment horizontal="left" vertical="top" wrapText="1"/>
    </xf>
    <xf numFmtId="0" fontId="9" fillId="11" borderId="3" xfId="0" applyFont="1" applyFill="1" applyBorder="1" applyAlignment="1">
      <alignment horizontal="left" vertical="top" wrapText="1"/>
    </xf>
    <xf numFmtId="0" fontId="9" fillId="14" borderId="14" xfId="0" applyFont="1" applyFill="1" applyBorder="1" applyAlignment="1">
      <alignment horizontal="left" vertical="top" wrapText="1"/>
    </xf>
    <xf numFmtId="0" fontId="9" fillId="12" borderId="5" xfId="0" applyFont="1" applyFill="1" applyBorder="1" applyAlignment="1">
      <alignment horizontal="left" vertical="top" wrapText="1"/>
    </xf>
    <xf numFmtId="0" fontId="9" fillId="9" borderId="11" xfId="1" applyFont="1" applyFill="1" applyBorder="1" applyAlignment="1">
      <alignment horizontal="left" vertical="top" wrapText="1"/>
    </xf>
    <xf numFmtId="0" fontId="9" fillId="12" borderId="14" xfId="0" applyFont="1" applyFill="1" applyBorder="1" applyAlignment="1">
      <alignment horizontal="left" vertical="top" wrapText="1"/>
    </xf>
    <xf numFmtId="0" fontId="9" fillId="12" borderId="7" xfId="0" applyFont="1" applyFill="1" applyBorder="1" applyAlignment="1">
      <alignment horizontal="left" vertical="top" wrapText="1"/>
    </xf>
    <xf numFmtId="0" fontId="7" fillId="9" borderId="0" xfId="0" applyFont="1" applyFill="1" applyAlignment="1">
      <alignment horizontal="left" vertical="top" wrapText="1"/>
    </xf>
    <xf numFmtId="0" fontId="10" fillId="19" borderId="0" xfId="0" applyFont="1" applyFill="1"/>
    <xf numFmtId="9" fontId="10" fillId="19" borderId="0" xfId="0" applyNumberFormat="1" applyFont="1" applyFill="1"/>
    <xf numFmtId="0" fontId="9" fillId="9" borderId="7" xfId="1" applyFont="1" applyFill="1" applyBorder="1" applyAlignment="1">
      <alignment horizontal="left" vertical="top" wrapText="1"/>
    </xf>
    <xf numFmtId="0" fontId="9" fillId="11" borderId="3" xfId="1" applyFont="1" applyFill="1" applyBorder="1" applyAlignment="1">
      <alignment horizontal="left" vertical="top" wrapText="1"/>
    </xf>
    <xf numFmtId="0" fontId="22" fillId="0" borderId="0" xfId="0" applyFont="1" applyAlignment="1">
      <alignment vertical="center" wrapText="1"/>
    </xf>
    <xf numFmtId="0" fontId="9" fillId="0" borderId="9" xfId="1" applyFont="1" applyFill="1" applyBorder="1" applyAlignment="1">
      <alignment vertical="center" wrapText="1"/>
    </xf>
    <xf numFmtId="0" fontId="9" fillId="0" borderId="1" xfId="1" applyFont="1" applyFill="1" applyBorder="1" applyAlignment="1">
      <alignment vertical="center" wrapText="1"/>
    </xf>
    <xf numFmtId="0" fontId="9" fillId="0" borderId="3" xfId="1" applyFont="1" applyFill="1" applyBorder="1" applyAlignment="1">
      <alignment vertical="center" wrapText="1"/>
    </xf>
    <xf numFmtId="0" fontId="9" fillId="0" borderId="11" xfId="1" applyFont="1" applyFill="1" applyBorder="1" applyAlignment="1">
      <alignment vertical="center" wrapText="1"/>
    </xf>
    <xf numFmtId="0" fontId="9" fillId="0" borderId="24" xfId="1" applyFont="1" applyFill="1" applyBorder="1" applyAlignment="1">
      <alignment vertical="center" wrapText="1"/>
    </xf>
    <xf numFmtId="0" fontId="9" fillId="20" borderId="0" xfId="0" applyFont="1" applyFill="1" applyAlignment="1">
      <alignment horizontal="left" vertical="top" wrapText="1"/>
    </xf>
    <xf numFmtId="0" fontId="9" fillId="20" borderId="0" xfId="0" applyFont="1" applyFill="1" applyAlignment="1">
      <alignment horizontal="right" vertical="center" wrapText="1"/>
    </xf>
    <xf numFmtId="0" fontId="9" fillId="20" borderId="0" xfId="0" applyFont="1" applyFill="1" applyAlignment="1">
      <alignment vertical="center" wrapText="1"/>
    </xf>
    <xf numFmtId="0" fontId="0" fillId="20" borderId="0" xfId="0" applyFill="1"/>
    <xf numFmtId="9" fontId="9" fillId="20" borderId="0" xfId="0" applyNumberFormat="1" applyFont="1" applyFill="1" applyAlignment="1">
      <alignment vertical="center" wrapText="1"/>
    </xf>
    <xf numFmtId="0" fontId="23" fillId="0" borderId="0" xfId="0" applyFont="1"/>
    <xf numFmtId="0" fontId="24" fillId="17" borderId="20" xfId="0" applyFont="1" applyFill="1" applyBorder="1" applyAlignment="1">
      <alignment horizontal="center" vertical="center" wrapText="1"/>
    </xf>
    <xf numFmtId="0" fontId="24" fillId="15" borderId="20" xfId="0" applyFont="1" applyFill="1" applyBorder="1" applyAlignment="1">
      <alignment horizontal="center" vertical="center" wrapText="1"/>
    </xf>
    <xf numFmtId="0" fontId="10" fillId="21" borderId="0" xfId="0" applyFont="1" applyFill="1"/>
    <xf numFmtId="0" fontId="0" fillId="21" borderId="0" xfId="0" applyFill="1"/>
    <xf numFmtId="0" fontId="24" fillId="23" borderId="20" xfId="0" applyFont="1" applyFill="1" applyBorder="1" applyAlignment="1">
      <alignment horizontal="center" vertical="center" wrapText="1"/>
    </xf>
    <xf numFmtId="0" fontId="25" fillId="22" borderId="0" xfId="0" applyFont="1" applyFill="1" applyAlignment="1">
      <alignment horizontal="center" vertical="center" wrapText="1"/>
    </xf>
    <xf numFmtId="9" fontId="9" fillId="0" borderId="0" xfId="0" applyNumberFormat="1" applyFont="1" applyAlignment="1">
      <alignment vertical="center" wrapText="1"/>
    </xf>
    <xf numFmtId="0" fontId="5" fillId="9" borderId="0" xfId="1" applyFill="1" applyBorder="1" applyAlignment="1">
      <alignment vertical="center" wrapText="1"/>
    </xf>
    <xf numFmtId="0" fontId="10" fillId="13" borderId="0" xfId="0" applyFont="1" applyFill="1"/>
    <xf numFmtId="0" fontId="10" fillId="13" borderId="33" xfId="0" applyFont="1" applyFill="1" applyBorder="1"/>
    <xf numFmtId="0" fontId="10" fillId="0" borderId="33" xfId="0" applyFont="1" applyBorder="1"/>
    <xf numFmtId="0" fontId="10" fillId="0" borderId="33" xfId="0" applyFont="1" applyBorder="1" applyAlignment="1">
      <alignment horizontal="left"/>
    </xf>
    <xf numFmtId="0" fontId="10" fillId="24" borderId="0" xfId="0" applyFont="1" applyFill="1"/>
    <xf numFmtId="0" fontId="10" fillId="24" borderId="33" xfId="0" applyFont="1" applyFill="1" applyBorder="1"/>
    <xf numFmtId="0" fontId="0" fillId="24" borderId="0" xfId="0" applyFill="1"/>
    <xf numFmtId="0" fontId="5" fillId="9" borderId="14" xfId="1" applyFill="1" applyBorder="1" applyAlignment="1">
      <alignment vertical="center" wrapText="1"/>
    </xf>
    <xf numFmtId="0" fontId="9" fillId="10" borderId="14" xfId="0" applyFont="1" applyFill="1" applyBorder="1" applyAlignment="1">
      <alignment vertical="center" wrapText="1"/>
    </xf>
    <xf numFmtId="0" fontId="0" fillId="0" borderId="0" xfId="0" applyAlignment="1">
      <alignment wrapText="1"/>
    </xf>
    <xf numFmtId="0" fontId="10" fillId="0" borderId="0" xfId="0" applyFont="1" applyAlignment="1">
      <alignment wrapText="1"/>
    </xf>
    <xf numFmtId="0" fontId="9" fillId="21" borderId="0" xfId="0" applyFont="1" applyFill="1" applyAlignment="1">
      <alignment horizontal="left" vertical="top" wrapText="1"/>
    </xf>
    <xf numFmtId="0" fontId="9" fillId="21" borderId="0" xfId="0" applyFont="1" applyFill="1" applyAlignment="1">
      <alignment vertical="center" wrapText="1"/>
    </xf>
    <xf numFmtId="9" fontId="9" fillId="21" borderId="0" xfId="0" applyNumberFormat="1" applyFont="1" applyFill="1" applyAlignment="1">
      <alignment vertical="center" wrapText="1"/>
    </xf>
    <xf numFmtId="0" fontId="8" fillId="9" borderId="19" xfId="1" applyFont="1" applyFill="1" applyBorder="1" applyAlignment="1">
      <alignment vertical="center" wrapText="1"/>
    </xf>
    <xf numFmtId="0" fontId="12" fillId="12" borderId="5" xfId="0" applyFont="1" applyFill="1" applyBorder="1" applyAlignment="1">
      <alignment vertical="center" wrapText="1"/>
    </xf>
    <xf numFmtId="0" fontId="8" fillId="9" borderId="7" xfId="1" applyFont="1" applyFill="1" applyBorder="1" applyAlignment="1">
      <alignment vertical="top" wrapText="1"/>
    </xf>
    <xf numFmtId="0" fontId="20" fillId="14" borderId="9" xfId="1" applyFont="1" applyFill="1" applyBorder="1" applyAlignment="1">
      <alignment vertical="center" wrapText="1"/>
    </xf>
    <xf numFmtId="0" fontId="8" fillId="9" borderId="22" xfId="1" applyFont="1" applyFill="1" applyBorder="1" applyAlignment="1">
      <alignment vertical="center" wrapText="1"/>
    </xf>
    <xf numFmtId="0" fontId="8" fillId="9" borderId="8" xfId="1" applyFont="1" applyFill="1" applyBorder="1" applyAlignment="1">
      <alignment vertical="top" wrapText="1"/>
    </xf>
    <xf numFmtId="0" fontId="20" fillId="14" borderId="14" xfId="1" applyFont="1" applyFill="1" applyBorder="1" applyAlignment="1">
      <alignment vertical="center" wrapText="1"/>
    </xf>
    <xf numFmtId="0" fontId="8" fillId="9" borderId="0" xfId="1" applyFont="1" applyFill="1" applyBorder="1" applyAlignment="1">
      <alignment vertical="top" wrapText="1"/>
    </xf>
    <xf numFmtId="0" fontId="8" fillId="9" borderId="27" xfId="1" applyFont="1" applyFill="1" applyBorder="1" applyAlignment="1">
      <alignment vertical="center" wrapText="1"/>
    </xf>
    <xf numFmtId="0" fontId="9" fillId="9" borderId="24" xfId="0" applyFont="1" applyFill="1" applyBorder="1" applyAlignment="1">
      <alignment horizontal="left" vertical="top" wrapText="1"/>
    </xf>
    <xf numFmtId="0" fontId="9" fillId="9" borderId="32" xfId="0" applyFont="1" applyFill="1" applyBorder="1" applyAlignment="1">
      <alignment horizontal="left" vertical="center" wrapText="1"/>
    </xf>
    <xf numFmtId="0" fontId="9" fillId="9" borderId="2" xfId="1" applyFont="1" applyFill="1" applyBorder="1" applyAlignment="1">
      <alignment horizontal="left" vertical="top" wrapText="1"/>
    </xf>
    <xf numFmtId="0" fontId="9" fillId="9" borderId="31" xfId="0" applyFont="1" applyFill="1" applyBorder="1" applyAlignment="1">
      <alignment horizontal="left" vertical="center" wrapText="1"/>
    </xf>
    <xf numFmtId="0" fontId="9" fillId="9" borderId="10" xfId="0" applyFont="1" applyFill="1" applyBorder="1" applyAlignment="1">
      <alignment horizontal="left" vertical="top" wrapText="1"/>
    </xf>
    <xf numFmtId="0" fontId="9" fillId="9" borderId="19" xfId="0" applyFont="1" applyFill="1" applyBorder="1" applyAlignment="1">
      <alignment horizontal="left" vertical="top" wrapText="1"/>
    </xf>
    <xf numFmtId="0" fontId="9" fillId="14" borderId="5" xfId="0" applyFont="1" applyFill="1" applyBorder="1" applyAlignment="1">
      <alignment horizontal="left" vertical="top" wrapText="1"/>
    </xf>
    <xf numFmtId="0" fontId="9" fillId="14" borderId="12" xfId="0" applyFont="1" applyFill="1" applyBorder="1" applyAlignment="1">
      <alignment horizontal="left" vertical="top" wrapText="1"/>
    </xf>
    <xf numFmtId="0" fontId="9" fillId="9" borderId="22" xfId="0" applyFont="1" applyFill="1" applyBorder="1" applyAlignment="1">
      <alignment horizontal="left" vertical="center" wrapText="1"/>
    </xf>
    <xf numFmtId="0" fontId="9" fillId="9" borderId="8" xfId="1" applyFont="1" applyFill="1" applyBorder="1" applyAlignment="1">
      <alignment horizontal="left" vertical="top" wrapText="1"/>
    </xf>
    <xf numFmtId="0" fontId="9" fillId="9" borderId="11" xfId="0" applyFont="1" applyFill="1" applyBorder="1" applyAlignment="1">
      <alignment horizontal="left" vertical="top" wrapText="1"/>
    </xf>
    <xf numFmtId="0" fontId="9" fillId="11" borderId="24" xfId="0" applyFont="1" applyFill="1" applyBorder="1" applyAlignment="1">
      <alignment horizontal="left" vertical="center" wrapText="1"/>
    </xf>
    <xf numFmtId="0" fontId="9" fillId="11" borderId="10" xfId="0" applyFont="1" applyFill="1" applyBorder="1" applyAlignment="1">
      <alignment horizontal="left" vertical="center" wrapText="1"/>
    </xf>
    <xf numFmtId="0" fontId="9" fillId="14" borderId="11" xfId="0" applyFont="1" applyFill="1" applyBorder="1" applyAlignment="1">
      <alignment horizontal="left" vertical="top" wrapText="1"/>
    </xf>
    <xf numFmtId="0" fontId="9" fillId="11" borderId="19" xfId="0" applyFont="1" applyFill="1" applyBorder="1" applyAlignment="1">
      <alignment horizontal="left" vertical="top" wrapText="1"/>
    </xf>
    <xf numFmtId="0" fontId="9" fillId="9" borderId="27" xfId="0" applyFont="1" applyFill="1" applyBorder="1" applyAlignment="1">
      <alignment horizontal="left" vertical="center" wrapText="1"/>
    </xf>
    <xf numFmtId="0" fontId="9" fillId="9" borderId="32" xfId="0" applyFont="1" applyFill="1" applyBorder="1" applyAlignment="1">
      <alignment vertical="center" wrapText="1"/>
    </xf>
    <xf numFmtId="0" fontId="9" fillId="9" borderId="31" xfId="0" applyFont="1" applyFill="1" applyBorder="1" applyAlignment="1">
      <alignment vertical="center" wrapText="1"/>
    </xf>
    <xf numFmtId="0" fontId="9" fillId="9" borderId="19" xfId="0" applyFont="1" applyFill="1" applyBorder="1" applyAlignment="1">
      <alignment vertical="center" wrapText="1"/>
    </xf>
    <xf numFmtId="0" fontId="9" fillId="14" borderId="12" xfId="0" applyFont="1" applyFill="1" applyBorder="1" applyAlignment="1">
      <alignment vertical="center" wrapText="1"/>
    </xf>
    <xf numFmtId="0" fontId="9" fillId="9" borderId="27" xfId="0" applyFont="1" applyFill="1" applyBorder="1" applyAlignment="1">
      <alignment vertical="center" wrapText="1"/>
    </xf>
    <xf numFmtId="0" fontId="28" fillId="9" borderId="0" xfId="0" applyFont="1" applyFill="1" applyAlignment="1">
      <alignment vertical="center" wrapText="1"/>
    </xf>
    <xf numFmtId="0" fontId="29" fillId="9" borderId="2" xfId="1" applyFont="1" applyFill="1" applyBorder="1" applyAlignment="1">
      <alignment vertical="center" wrapText="1"/>
    </xf>
    <xf numFmtId="0" fontId="29" fillId="9" borderId="9" xfId="0" applyFont="1" applyFill="1" applyBorder="1" applyAlignment="1">
      <alignment vertical="center" wrapText="1"/>
    </xf>
    <xf numFmtId="0" fontId="29" fillId="9" borderId="0" xfId="0" applyFont="1" applyFill="1" applyAlignment="1">
      <alignment vertical="center" wrapText="1"/>
    </xf>
    <xf numFmtId="0" fontId="29" fillId="9" borderId="22" xfId="0" applyFont="1" applyFill="1" applyBorder="1" applyAlignment="1">
      <alignment horizontal="left" vertical="center" wrapText="1"/>
    </xf>
    <xf numFmtId="0" fontId="5" fillId="9" borderId="22" xfId="1" applyFill="1" applyBorder="1" applyAlignment="1">
      <alignment vertical="center" wrapText="1"/>
    </xf>
    <xf numFmtId="0" fontId="9" fillId="17" borderId="0" xfId="0" applyFont="1" applyFill="1" applyAlignment="1">
      <alignment vertical="center" wrapText="1"/>
    </xf>
    <xf numFmtId="0" fontId="9" fillId="17" borderId="0" xfId="0" applyFont="1" applyFill="1" applyAlignment="1">
      <alignment horizontal="right" vertical="center" wrapText="1"/>
    </xf>
    <xf numFmtId="0" fontId="9" fillId="11" borderId="15" xfId="0" applyFont="1" applyFill="1" applyBorder="1" applyAlignment="1">
      <alignment vertical="center" wrapText="1"/>
    </xf>
    <xf numFmtId="0" fontId="27" fillId="0" borderId="0" xfId="0" applyFont="1" applyAlignment="1">
      <alignment wrapText="1"/>
    </xf>
    <xf numFmtId="0" fontId="27" fillId="0" borderId="2" xfId="0" applyFont="1" applyBorder="1" applyAlignment="1">
      <alignment wrapText="1"/>
    </xf>
    <xf numFmtId="0" fontId="27" fillId="0" borderId="7" xfId="0" applyFont="1" applyBorder="1" applyAlignment="1">
      <alignment wrapText="1"/>
    </xf>
    <xf numFmtId="0" fontId="32" fillId="0" borderId="0" xfId="0" applyFont="1"/>
    <xf numFmtId="0" fontId="33" fillId="9" borderId="14" xfId="1" applyFont="1" applyFill="1" applyBorder="1" applyAlignment="1">
      <alignment vertical="center" wrapText="1"/>
    </xf>
    <xf numFmtId="0" fontId="33" fillId="9" borderId="14" xfId="0" applyFont="1" applyFill="1" applyBorder="1" applyAlignment="1">
      <alignment vertical="center" wrapText="1"/>
    </xf>
    <xf numFmtId="0" fontId="0" fillId="0" borderId="0" xfId="0" applyNumberFormat="1"/>
    <xf numFmtId="0" fontId="9" fillId="0" borderId="0" xfId="0" applyFont="1" applyFill="1" applyAlignment="1">
      <alignment vertical="center" wrapText="1"/>
    </xf>
    <xf numFmtId="0" fontId="29" fillId="0" borderId="0" xfId="1" applyFont="1" applyFill="1" applyBorder="1" applyAlignment="1">
      <alignment vertical="center" wrapText="1"/>
    </xf>
    <xf numFmtId="0" fontId="30" fillId="0" borderId="3" xfId="1" applyFont="1" applyFill="1" applyBorder="1" applyAlignment="1">
      <alignment vertical="center" wrapText="1"/>
    </xf>
    <xf numFmtId="0" fontId="30" fillId="0" borderId="7" xfId="1" applyFont="1" applyFill="1" applyBorder="1" applyAlignment="1">
      <alignment vertical="center" wrapText="1"/>
    </xf>
    <xf numFmtId="0" fontId="9" fillId="0" borderId="7" xfId="1" applyFont="1" applyFill="1" applyBorder="1" applyAlignment="1">
      <alignment vertical="center" wrapText="1"/>
    </xf>
    <xf numFmtId="0" fontId="9" fillId="0" borderId="19" xfId="1" applyFont="1" applyFill="1" applyBorder="1" applyAlignment="1">
      <alignment vertical="center" wrapText="1"/>
    </xf>
    <xf numFmtId="0" fontId="9" fillId="0" borderId="23" xfId="1" applyFont="1" applyFill="1" applyBorder="1" applyAlignment="1">
      <alignment vertical="center" wrapText="1"/>
    </xf>
    <xf numFmtId="0" fontId="9" fillId="0" borderId="10" xfId="1" applyFont="1" applyFill="1" applyBorder="1" applyAlignment="1">
      <alignment vertical="center" wrapText="1"/>
    </xf>
    <xf numFmtId="0" fontId="9" fillId="0" borderId="12" xfId="1" applyFont="1" applyFill="1" applyBorder="1" applyAlignment="1">
      <alignment vertical="center" wrapText="1"/>
    </xf>
    <xf numFmtId="0" fontId="29" fillId="0" borderId="9" xfId="1" applyFont="1" applyFill="1" applyBorder="1" applyAlignment="1">
      <alignment vertical="center" wrapText="1"/>
    </xf>
    <xf numFmtId="0" fontId="15" fillId="0" borderId="14" xfId="1" applyFont="1" applyFill="1" applyBorder="1" applyAlignment="1">
      <alignment vertical="center" wrapText="1"/>
    </xf>
    <xf numFmtId="0" fontId="15" fillId="0" borderId="0" xfId="1" applyFont="1" applyFill="1" applyBorder="1" applyAlignment="1">
      <alignment vertical="center" wrapText="1"/>
    </xf>
    <xf numFmtId="0" fontId="31" fillId="0" borderId="0" xfId="0" applyFont="1" applyFill="1" applyAlignment="1">
      <alignment wrapText="1"/>
    </xf>
    <xf numFmtId="0" fontId="14" fillId="0" borderId="7" xfId="1" applyFont="1" applyFill="1" applyBorder="1" applyAlignment="1">
      <alignment vertical="center" wrapText="1"/>
    </xf>
    <xf numFmtId="0" fontId="9" fillId="0" borderId="26" xfId="1" applyFont="1" applyFill="1" applyBorder="1" applyAlignment="1">
      <alignment vertical="center" wrapText="1"/>
    </xf>
    <xf numFmtId="0" fontId="6" fillId="0" borderId="14" xfId="0" applyFont="1" applyFill="1" applyBorder="1" applyAlignment="1">
      <alignment vertical="center" wrapText="1"/>
    </xf>
    <xf numFmtId="0" fontId="9" fillId="0" borderId="2" xfId="0" applyFont="1" applyFill="1" applyBorder="1" applyAlignment="1">
      <alignment vertical="center" wrapText="1"/>
    </xf>
    <xf numFmtId="0" fontId="12" fillId="0" borderId="5" xfId="1" applyFont="1" applyFill="1" applyBorder="1" applyAlignment="1">
      <alignment vertical="center" wrapText="1"/>
    </xf>
    <xf numFmtId="0" fontId="12" fillId="0" borderId="23" xfId="1" applyFont="1" applyFill="1" applyBorder="1" applyAlignment="1">
      <alignment vertical="center" wrapText="1"/>
    </xf>
    <xf numFmtId="0" fontId="12" fillId="0" borderId="0" xfId="1" applyFont="1" applyFill="1" applyBorder="1" applyAlignment="1">
      <alignment vertical="center" wrapText="1"/>
    </xf>
    <xf numFmtId="0" fontId="12" fillId="0" borderId="0" xfId="1" applyFont="1" applyFill="1" applyBorder="1" applyAlignment="1">
      <alignment vertical="top" wrapText="1"/>
    </xf>
    <xf numFmtId="0" fontId="12" fillId="0" borderId="14" xfId="1" applyFont="1" applyFill="1" applyBorder="1" applyAlignment="1">
      <alignment vertical="top" wrapText="1"/>
    </xf>
    <xf numFmtId="0" fontId="12" fillId="0" borderId="1" xfId="1" applyFont="1" applyFill="1" applyBorder="1" applyAlignment="1">
      <alignment vertical="center" wrapText="1"/>
    </xf>
    <xf numFmtId="0" fontId="9" fillId="0" borderId="32" xfId="1" applyFont="1" applyFill="1" applyBorder="1" applyAlignment="1">
      <alignment vertical="center" wrapText="1"/>
    </xf>
    <xf numFmtId="0" fontId="13" fillId="0" borderId="14" xfId="1" applyFont="1" applyFill="1" applyBorder="1" applyAlignment="1">
      <alignment vertical="center" wrapText="1"/>
    </xf>
    <xf numFmtId="0" fontId="13" fillId="0" borderId="5" xfId="1" applyFont="1" applyFill="1" applyBorder="1" applyAlignment="1">
      <alignment vertical="center" wrapText="1"/>
    </xf>
    <xf numFmtId="0" fontId="9" fillId="0" borderId="13" xfId="1" applyFont="1" applyFill="1" applyBorder="1" applyAlignment="1">
      <alignment vertical="center" wrapText="1"/>
    </xf>
    <xf numFmtId="0" fontId="13" fillId="0" borderId="7" xfId="1" applyFont="1" applyFill="1" applyBorder="1" applyAlignment="1">
      <alignment vertical="center" wrapText="1"/>
    </xf>
    <xf numFmtId="0" fontId="13" fillId="0" borderId="2" xfId="1" applyFont="1" applyFill="1" applyBorder="1" applyAlignment="1">
      <alignment vertical="center" wrapText="1"/>
    </xf>
    <xf numFmtId="0" fontId="15" fillId="0" borderId="7" xfId="1" applyFont="1" applyFill="1" applyBorder="1" applyAlignment="1">
      <alignment vertical="center" wrapText="1"/>
    </xf>
    <xf numFmtId="0" fontId="15" fillId="0" borderId="8" xfId="1" applyFont="1" applyFill="1" applyBorder="1" applyAlignment="1">
      <alignment vertical="center" wrapText="1"/>
    </xf>
    <xf numFmtId="0" fontId="9" fillId="0" borderId="7" xfId="1" applyFont="1" applyFill="1" applyBorder="1" applyAlignment="1">
      <alignment horizontal="left" vertical="top" wrapText="1"/>
    </xf>
    <xf numFmtId="0" fontId="9" fillId="0" borderId="15" xfId="1" applyFont="1" applyFill="1" applyBorder="1" applyAlignment="1">
      <alignment vertical="center" wrapText="1"/>
    </xf>
    <xf numFmtId="0" fontId="12" fillId="0" borderId="26" xfId="1" applyFont="1" applyFill="1" applyBorder="1" applyAlignment="1">
      <alignment vertical="center" wrapText="1"/>
    </xf>
    <xf numFmtId="0" fontId="12" fillId="0" borderId="14" xfId="1" applyFont="1" applyFill="1" applyBorder="1" applyAlignment="1">
      <alignment vertical="center" wrapText="1"/>
    </xf>
    <xf numFmtId="0" fontId="12" fillId="0" borderId="13" xfId="1" applyFont="1" applyFill="1" applyBorder="1" applyAlignment="1">
      <alignment vertical="center" wrapText="1"/>
    </xf>
    <xf numFmtId="0" fontId="13" fillId="0" borderId="3" xfId="1" applyFont="1" applyFill="1" applyBorder="1" applyAlignment="1">
      <alignment vertical="center" wrapText="1"/>
    </xf>
    <xf numFmtId="0" fontId="26" fillId="0" borderId="0" xfId="1" applyFont="1" applyFill="1" applyBorder="1" applyAlignment="1">
      <alignment vertical="center" wrapText="1"/>
    </xf>
    <xf numFmtId="0" fontId="12" fillId="0" borderId="24" xfId="1" applyFont="1" applyFill="1" applyBorder="1" applyAlignment="1">
      <alignment vertical="center" wrapText="1"/>
    </xf>
    <xf numFmtId="0" fontId="12" fillId="0" borderId="3" xfId="1" applyFont="1" applyFill="1" applyBorder="1" applyAlignment="1">
      <alignment vertical="center" wrapText="1"/>
    </xf>
    <xf numFmtId="0" fontId="30" fillId="0" borderId="12" xfId="1" applyFont="1" applyFill="1" applyBorder="1" applyAlignment="1">
      <alignment vertical="center" wrapText="1"/>
    </xf>
    <xf numFmtId="0" fontId="12" fillId="0" borderId="9" xfId="1" applyFont="1" applyFill="1" applyBorder="1" applyAlignment="1">
      <alignment vertical="center" wrapText="1"/>
    </xf>
    <xf numFmtId="0" fontId="12" fillId="0" borderId="14" xfId="0" applyFont="1" applyFill="1" applyBorder="1" applyAlignment="1">
      <alignment vertical="center" wrapText="1"/>
    </xf>
    <xf numFmtId="0" fontId="30" fillId="0" borderId="14" xfId="1" applyFont="1" applyFill="1" applyBorder="1" applyAlignment="1">
      <alignment vertical="center" wrapText="1"/>
    </xf>
    <xf numFmtId="0" fontId="9" fillId="0" borderId="27" xfId="1" applyFont="1" applyFill="1" applyBorder="1" applyAlignment="1">
      <alignment vertical="center" wrapText="1"/>
    </xf>
    <xf numFmtId="0" fontId="9" fillId="0" borderId="28" xfId="1" applyFont="1" applyFill="1" applyBorder="1" applyAlignment="1">
      <alignment vertical="center" wrapText="1"/>
    </xf>
    <xf numFmtId="0" fontId="12" fillId="0" borderId="11" xfId="1" applyFont="1" applyFill="1" applyBorder="1" applyAlignment="1">
      <alignment vertical="center" wrapText="1"/>
    </xf>
    <xf numFmtId="0" fontId="26" fillId="0" borderId="14" xfId="1" applyFont="1" applyFill="1" applyBorder="1" applyAlignment="1">
      <alignment vertical="center" wrapText="1"/>
    </xf>
    <xf numFmtId="0" fontId="13" fillId="0" borderId="13" xfId="1" applyFont="1" applyFill="1" applyBorder="1" applyAlignment="1">
      <alignment vertical="center" wrapText="1"/>
    </xf>
    <xf numFmtId="0" fontId="9" fillId="0" borderId="14" xfId="0" applyFont="1" applyFill="1" applyBorder="1" applyAlignment="1">
      <alignment vertical="center" wrapText="1"/>
    </xf>
    <xf numFmtId="0" fontId="7" fillId="0" borderId="0" xfId="0" applyFont="1" applyFill="1" applyAlignment="1">
      <alignment vertical="center" wrapText="1"/>
    </xf>
    <xf numFmtId="0" fontId="36" fillId="25" borderId="0" xfId="0" applyFont="1" applyFill="1" applyAlignment="1">
      <alignment horizontal="center" vertical="center" wrapText="1"/>
    </xf>
    <xf numFmtId="0" fontId="36" fillId="25" borderId="35" xfId="0" applyFont="1" applyFill="1" applyBorder="1" applyAlignment="1">
      <alignment horizontal="center" vertical="center" wrapText="1"/>
    </xf>
    <xf numFmtId="0" fontId="36" fillId="25" borderId="20" xfId="0" applyFont="1" applyFill="1" applyBorder="1" applyAlignment="1">
      <alignment horizontal="center" vertical="center" wrapText="1"/>
    </xf>
    <xf numFmtId="0" fontId="37" fillId="25" borderId="36" xfId="0" applyFont="1" applyFill="1" applyBorder="1" applyAlignment="1">
      <alignment horizontal="center" vertical="center" wrapText="1"/>
    </xf>
    <xf numFmtId="0" fontId="9" fillId="9" borderId="39" xfId="1" applyFont="1" applyFill="1" applyBorder="1" applyAlignment="1">
      <alignment horizontal="center" vertical="center" wrapText="1"/>
    </xf>
    <xf numFmtId="0" fontId="9" fillId="9" borderId="37" xfId="1" applyFont="1" applyFill="1" applyBorder="1" applyAlignment="1">
      <alignment horizontal="center" vertical="center" wrapText="1"/>
    </xf>
    <xf numFmtId="0" fontId="29" fillId="9" borderId="38" xfId="1" applyFont="1" applyFill="1" applyBorder="1" applyAlignment="1">
      <alignment horizontal="center" vertical="center" wrapText="1"/>
    </xf>
    <xf numFmtId="0" fontId="9" fillId="9" borderId="40" xfId="1" applyFont="1" applyFill="1" applyBorder="1" applyAlignment="1">
      <alignment horizontal="center" vertical="center" wrapText="1"/>
    </xf>
    <xf numFmtId="0" fontId="9" fillId="9" borderId="41" xfId="1" applyFont="1" applyFill="1" applyBorder="1" applyAlignment="1">
      <alignment horizontal="center" vertical="center" wrapText="1"/>
    </xf>
    <xf numFmtId="0" fontId="9" fillId="9" borderId="42" xfId="1" applyFont="1" applyFill="1" applyBorder="1" applyAlignment="1">
      <alignment horizontal="center" vertical="center" wrapText="1"/>
    </xf>
    <xf numFmtId="0" fontId="9" fillId="9" borderId="35" xfId="1" applyFont="1" applyFill="1" applyBorder="1" applyAlignment="1">
      <alignment horizontal="center" vertical="center" wrapText="1"/>
    </xf>
    <xf numFmtId="0" fontId="9" fillId="9" borderId="43" xfId="1" applyFont="1" applyFill="1" applyBorder="1" applyAlignment="1">
      <alignment horizontal="center" vertical="center" wrapText="1"/>
    </xf>
    <xf numFmtId="0" fontId="9" fillId="9" borderId="38" xfId="1" applyFont="1" applyFill="1" applyBorder="1" applyAlignment="1">
      <alignment horizontal="center" vertical="center" wrapText="1"/>
    </xf>
    <xf numFmtId="0" fontId="9" fillId="11" borderId="43" xfId="1" applyFont="1" applyFill="1" applyBorder="1" applyAlignment="1">
      <alignment horizontal="center" vertical="center" wrapText="1"/>
    </xf>
    <xf numFmtId="0" fontId="9" fillId="9" borderId="44" xfId="1" applyFont="1" applyFill="1" applyBorder="1" applyAlignment="1">
      <alignment horizontal="center" vertical="center" wrapText="1"/>
    </xf>
    <xf numFmtId="0" fontId="9" fillId="9" borderId="34" xfId="1" applyFont="1" applyFill="1" applyBorder="1" applyAlignment="1">
      <alignment horizontal="center" vertical="center" wrapText="1"/>
    </xf>
    <xf numFmtId="0" fontId="9" fillId="9" borderId="45" xfId="1" applyFont="1" applyFill="1" applyBorder="1" applyAlignment="1">
      <alignment horizontal="center" vertical="center" wrapText="1"/>
    </xf>
    <xf numFmtId="0" fontId="9" fillId="9" borderId="46" xfId="1" applyFont="1" applyFill="1" applyBorder="1" applyAlignment="1">
      <alignment horizontal="center" vertical="center" wrapText="1"/>
    </xf>
    <xf numFmtId="0" fontId="9" fillId="9" borderId="47" xfId="1" applyFont="1" applyFill="1" applyBorder="1" applyAlignment="1">
      <alignment horizontal="center" vertical="center" wrapText="1"/>
    </xf>
    <xf numFmtId="0" fontId="9" fillId="9" borderId="48" xfId="1" applyFont="1" applyFill="1" applyBorder="1" applyAlignment="1">
      <alignment horizontal="center" vertical="center" wrapText="1"/>
    </xf>
    <xf numFmtId="0" fontId="9" fillId="11" borderId="38" xfId="1" applyFont="1" applyFill="1" applyBorder="1" applyAlignment="1">
      <alignment horizontal="center" vertical="center" wrapText="1"/>
    </xf>
    <xf numFmtId="0" fontId="9" fillId="11" borderId="41" xfId="1" applyFont="1" applyFill="1" applyBorder="1" applyAlignment="1">
      <alignment horizontal="center" vertical="center" wrapText="1"/>
    </xf>
    <xf numFmtId="0" fontId="9" fillId="11" borderId="42" xfId="1" applyFont="1" applyFill="1" applyBorder="1" applyAlignment="1">
      <alignment horizontal="center" vertical="center" wrapText="1"/>
    </xf>
    <xf numFmtId="0" fontId="9" fillId="11" borderId="46" xfId="1" applyFont="1" applyFill="1" applyBorder="1" applyAlignment="1">
      <alignment horizontal="center" vertical="center" wrapText="1"/>
    </xf>
    <xf numFmtId="0" fontId="9" fillId="9" borderId="50" xfId="1" applyFont="1" applyFill="1" applyBorder="1" applyAlignment="1">
      <alignment horizontal="center" vertical="center" wrapText="1"/>
    </xf>
    <xf numFmtId="0" fontId="9" fillId="9" borderId="51" xfId="1" applyFont="1" applyFill="1" applyBorder="1" applyAlignment="1">
      <alignment horizontal="center" vertical="center" wrapText="1"/>
    </xf>
    <xf numFmtId="0" fontId="9" fillId="9" borderId="52" xfId="1" applyFont="1" applyFill="1" applyBorder="1" applyAlignment="1">
      <alignment horizontal="center" vertical="center" wrapText="1"/>
    </xf>
    <xf numFmtId="0" fontId="9" fillId="11" borderId="52" xfId="1" applyFont="1" applyFill="1" applyBorder="1" applyAlignment="1">
      <alignment horizontal="center" vertical="center" wrapText="1"/>
    </xf>
    <xf numFmtId="0" fontId="9" fillId="9" borderId="53" xfId="1" applyFont="1" applyFill="1" applyBorder="1" applyAlignment="1">
      <alignment horizontal="center" vertical="center" wrapText="1"/>
    </xf>
    <xf numFmtId="0" fontId="9" fillId="9" borderId="54" xfId="1" applyFont="1" applyFill="1" applyBorder="1" applyAlignment="1">
      <alignment horizontal="center" vertical="center" wrapText="1"/>
    </xf>
    <xf numFmtId="0" fontId="9" fillId="9" borderId="49" xfId="1" applyFont="1" applyFill="1" applyBorder="1" applyAlignment="1">
      <alignment horizontal="center" vertical="center" wrapText="1"/>
    </xf>
    <xf numFmtId="0" fontId="9" fillId="11" borderId="48" xfId="1" applyFont="1" applyFill="1" applyBorder="1" applyAlignment="1">
      <alignment horizontal="center" vertical="center" wrapText="1"/>
    </xf>
    <xf numFmtId="0" fontId="9" fillId="11" borderId="51" xfId="1" applyFont="1" applyFill="1" applyBorder="1" applyAlignment="1">
      <alignment horizontal="center" vertical="center" wrapText="1"/>
    </xf>
    <xf numFmtId="0" fontId="9" fillId="11" borderId="35" xfId="1" applyFont="1" applyFill="1" applyBorder="1" applyAlignment="1">
      <alignment horizontal="center" vertical="center" wrapText="1"/>
    </xf>
    <xf numFmtId="0" fontId="9" fillId="11" borderId="37" xfId="1" applyFont="1" applyFill="1" applyBorder="1" applyAlignment="1">
      <alignment horizontal="center" vertical="center" wrapText="1"/>
    </xf>
    <xf numFmtId="0" fontId="9" fillId="11" borderId="47" xfId="1" applyFont="1" applyFill="1" applyBorder="1" applyAlignment="1">
      <alignment horizontal="center" vertical="center" wrapText="1"/>
    </xf>
    <xf numFmtId="0" fontId="9" fillId="11" borderId="40" xfId="1" applyFont="1" applyFill="1" applyBorder="1" applyAlignment="1">
      <alignment horizontal="center" vertical="center" wrapText="1"/>
    </xf>
    <xf numFmtId="0" fontId="9" fillId="11" borderId="55" xfId="1" applyFont="1" applyFill="1" applyBorder="1" applyAlignment="1">
      <alignment horizontal="center" vertical="center" wrapText="1"/>
    </xf>
    <xf numFmtId="0" fontId="9" fillId="11" borderId="44" xfId="1" applyFont="1" applyFill="1" applyBorder="1" applyAlignment="1">
      <alignment horizontal="center" vertical="center" wrapText="1"/>
    </xf>
    <xf numFmtId="0" fontId="9" fillId="11" borderId="45" xfId="1" applyFont="1" applyFill="1" applyBorder="1" applyAlignment="1">
      <alignment horizontal="center" vertical="center" wrapText="1"/>
    </xf>
    <xf numFmtId="0" fontId="9" fillId="11" borderId="34" xfId="1" applyFont="1" applyFill="1" applyBorder="1" applyAlignment="1">
      <alignment horizontal="center" vertical="center" wrapText="1"/>
    </xf>
    <xf numFmtId="0" fontId="9" fillId="11" borderId="50" xfId="1" applyFont="1" applyFill="1" applyBorder="1" applyAlignment="1">
      <alignment horizontal="center" vertical="center" wrapText="1"/>
    </xf>
    <xf numFmtId="0" fontId="9" fillId="11" borderId="54" xfId="1" applyFont="1" applyFill="1" applyBorder="1" applyAlignment="1">
      <alignment horizontal="center" vertical="center" wrapText="1"/>
    </xf>
    <xf numFmtId="0" fontId="9" fillId="9" borderId="56" xfId="1" applyFont="1" applyFill="1" applyBorder="1" applyAlignment="1">
      <alignment horizontal="center" vertical="center" wrapText="1"/>
    </xf>
    <xf numFmtId="0" fontId="9" fillId="9" borderId="57" xfId="1" applyFont="1" applyFill="1" applyBorder="1" applyAlignment="1">
      <alignment horizontal="center" vertical="center" wrapText="1"/>
    </xf>
    <xf numFmtId="0" fontId="9" fillId="9" borderId="38" xfId="0" applyFont="1" applyFill="1" applyBorder="1" applyAlignment="1">
      <alignment horizontal="center" vertical="center" wrapText="1"/>
    </xf>
    <xf numFmtId="0" fontId="9" fillId="9" borderId="55" xfId="1" applyFont="1" applyFill="1" applyBorder="1" applyAlignment="1">
      <alignment horizontal="center" vertical="center" wrapText="1"/>
    </xf>
    <xf numFmtId="0" fontId="9" fillId="9" borderId="35" xfId="0" applyFont="1" applyFill="1" applyBorder="1" applyAlignment="1">
      <alignment horizontal="center" vertical="center" wrapText="1"/>
    </xf>
    <xf numFmtId="0" fontId="7" fillId="25" borderId="35" xfId="0" applyFont="1" applyFill="1" applyBorder="1" applyAlignment="1">
      <alignment horizontal="center" vertical="center"/>
    </xf>
    <xf numFmtId="0" fontId="0" fillId="25" borderId="35" xfId="0" applyFill="1" applyBorder="1" applyAlignment="1">
      <alignment horizontal="center" vertical="center" wrapText="1"/>
    </xf>
    <xf numFmtId="9" fontId="9" fillId="25" borderId="35" xfId="0" applyNumberFormat="1" applyFont="1" applyFill="1" applyBorder="1" applyAlignment="1">
      <alignment horizontal="center" vertical="center" wrapText="1"/>
    </xf>
    <xf numFmtId="0" fontId="9" fillId="25" borderId="35" xfId="0" applyFont="1" applyFill="1" applyBorder="1" applyAlignment="1">
      <alignment horizontal="center" vertical="center" wrapText="1"/>
    </xf>
    <xf numFmtId="0" fontId="28" fillId="0" borderId="0" xfId="1" applyFont="1" applyFill="1" applyBorder="1" applyAlignment="1">
      <alignment vertical="center" wrapText="1"/>
    </xf>
    <xf numFmtId="0" fontId="39" fillId="17" borderId="0" xfId="1" applyFont="1" applyFill="1" applyBorder="1" applyAlignment="1">
      <alignment vertical="top" wrapText="1"/>
    </xf>
    <xf numFmtId="0" fontId="39" fillId="17" borderId="14" xfId="1" applyFont="1" applyFill="1" applyBorder="1" applyAlignment="1">
      <alignment vertical="top" wrapText="1"/>
    </xf>
    <xf numFmtId="0" fontId="39" fillId="17" borderId="7" xfId="1" applyFont="1" applyFill="1" applyBorder="1" applyAlignment="1">
      <alignment vertical="top" wrapText="1"/>
    </xf>
    <xf numFmtId="0" fontId="39" fillId="17" borderId="7" xfId="1" applyFont="1" applyFill="1" applyBorder="1" applyAlignment="1">
      <alignment horizontal="left" vertical="top" wrapText="1"/>
    </xf>
    <xf numFmtId="0" fontId="28" fillId="9" borderId="38" xfId="1" applyFont="1" applyFill="1" applyBorder="1" applyAlignment="1">
      <alignment horizontal="center" vertical="center" wrapText="1"/>
    </xf>
    <xf numFmtId="0" fontId="28" fillId="9" borderId="34" xfId="1" applyFont="1" applyFill="1" applyBorder="1" applyAlignment="1">
      <alignment horizontal="center" vertical="center" wrapText="1"/>
    </xf>
    <xf numFmtId="0" fontId="28" fillId="0" borderId="23" xfId="1" applyFont="1" applyFill="1" applyBorder="1" applyAlignment="1">
      <alignment vertical="center" wrapText="1"/>
    </xf>
    <xf numFmtId="0" fontId="28" fillId="9" borderId="35" xfId="1" applyFont="1" applyFill="1" applyBorder="1" applyAlignment="1">
      <alignment horizontal="center" vertical="center" wrapText="1"/>
    </xf>
    <xf numFmtId="0" fontId="28" fillId="11" borderId="38" xfId="1" applyFont="1" applyFill="1" applyBorder="1" applyAlignment="1">
      <alignment horizontal="center" vertical="center" wrapText="1"/>
    </xf>
    <xf numFmtId="0" fontId="28" fillId="17" borderId="0" xfId="1" applyFont="1" applyFill="1" applyBorder="1" applyAlignment="1">
      <alignment vertical="top" wrapText="1"/>
    </xf>
    <xf numFmtId="0" fontId="28" fillId="17" borderId="14" xfId="1" applyFont="1" applyFill="1" applyBorder="1" applyAlignment="1">
      <alignment vertical="top" wrapText="1"/>
    </xf>
    <xf numFmtId="0" fontId="28" fillId="17" borderId="7" xfId="1" applyFont="1" applyFill="1" applyBorder="1" applyAlignment="1">
      <alignment vertical="top" wrapText="1"/>
    </xf>
    <xf numFmtId="0" fontId="28" fillId="9" borderId="52" xfId="1" applyFont="1" applyFill="1" applyBorder="1" applyAlignment="1">
      <alignment horizontal="center" vertical="center" wrapText="1"/>
    </xf>
    <xf numFmtId="0" fontId="28" fillId="9" borderId="42" xfId="1" applyFont="1" applyFill="1" applyBorder="1" applyAlignment="1">
      <alignment horizontal="center" vertical="center" wrapText="1"/>
    </xf>
    <xf numFmtId="0" fontId="37" fillId="17" borderId="20" xfId="0" applyFont="1" applyFill="1" applyBorder="1" applyAlignment="1">
      <alignment horizontal="center" vertical="top" wrapText="1"/>
    </xf>
    <xf numFmtId="0" fontId="39" fillId="17" borderId="25" xfId="1" applyFont="1" applyFill="1" applyBorder="1" applyAlignment="1">
      <alignment vertical="top" wrapText="1"/>
    </xf>
    <xf numFmtId="0" fontId="28" fillId="17" borderId="5" xfId="1" applyFont="1" applyFill="1" applyBorder="1" applyAlignment="1">
      <alignment vertical="top" wrapText="1"/>
    </xf>
    <xf numFmtId="0" fontId="39" fillId="17" borderId="24" xfId="1" applyFont="1" applyFill="1" applyBorder="1" applyAlignment="1">
      <alignment vertical="top" wrapText="1"/>
    </xf>
    <xf numFmtId="0" fontId="39" fillId="17" borderId="3" xfId="1" applyFont="1" applyFill="1" applyBorder="1" applyAlignment="1">
      <alignment vertical="top" wrapText="1"/>
    </xf>
    <xf numFmtId="0" fontId="28" fillId="17" borderId="2" xfId="1" applyFont="1" applyFill="1" applyBorder="1" applyAlignment="1">
      <alignment vertical="top" wrapText="1"/>
    </xf>
    <xf numFmtId="0" fontId="28" fillId="17" borderId="9" xfId="1" applyFont="1" applyFill="1" applyBorder="1" applyAlignment="1">
      <alignment vertical="top" wrapText="1"/>
    </xf>
    <xf numFmtId="0" fontId="28" fillId="17" borderId="19" xfId="1" applyFont="1" applyFill="1" applyBorder="1" applyAlignment="1">
      <alignment vertical="top" wrapText="1"/>
    </xf>
    <xf numFmtId="0" fontId="28" fillId="17" borderId="23" xfId="1" applyFont="1" applyFill="1" applyBorder="1" applyAlignment="1">
      <alignment vertical="top" wrapText="1"/>
    </xf>
    <xf numFmtId="0" fontId="28" fillId="17" borderId="10" xfId="1" applyFont="1" applyFill="1" applyBorder="1" applyAlignment="1">
      <alignment vertical="top" wrapText="1"/>
    </xf>
    <xf numFmtId="0" fontId="28" fillId="17" borderId="12" xfId="0" applyFont="1" applyFill="1" applyBorder="1" applyAlignment="1">
      <alignment vertical="top" wrapText="1"/>
    </xf>
    <xf numFmtId="0" fontId="39" fillId="17" borderId="12" xfId="1" applyFont="1" applyFill="1" applyBorder="1" applyAlignment="1">
      <alignment vertical="top" wrapText="1"/>
    </xf>
    <xf numFmtId="0" fontId="28" fillId="17" borderId="13" xfId="1" applyFont="1" applyFill="1" applyBorder="1" applyAlignment="1">
      <alignment vertical="top" wrapText="1"/>
    </xf>
    <xf numFmtId="0" fontId="28" fillId="17" borderId="15" xfId="1" applyFont="1" applyFill="1" applyBorder="1" applyAlignment="1">
      <alignment vertical="top" wrapText="1"/>
    </xf>
    <xf numFmtId="0" fontId="28" fillId="17" borderId="1" xfId="1" applyFont="1" applyFill="1" applyBorder="1" applyAlignment="1">
      <alignment vertical="top" wrapText="1"/>
    </xf>
    <xf numFmtId="0" fontId="39" fillId="17" borderId="26" xfId="1" applyFont="1" applyFill="1" applyBorder="1" applyAlignment="1">
      <alignment vertical="top" wrapText="1"/>
    </xf>
    <xf numFmtId="0" fontId="39" fillId="17" borderId="2" xfId="1" applyFont="1" applyFill="1" applyBorder="1" applyAlignment="1">
      <alignment vertical="top" wrapText="1"/>
    </xf>
    <xf numFmtId="0" fontId="28" fillId="17" borderId="14" xfId="0" applyFont="1" applyFill="1" applyBorder="1" applyAlignment="1">
      <alignment vertical="top" wrapText="1"/>
    </xf>
    <xf numFmtId="0" fontId="28" fillId="17" borderId="31" xfId="1" applyFont="1" applyFill="1" applyBorder="1" applyAlignment="1">
      <alignment vertical="top" wrapText="1"/>
    </xf>
    <xf numFmtId="0" fontId="28" fillId="17" borderId="32" xfId="1" applyFont="1" applyFill="1" applyBorder="1" applyAlignment="1">
      <alignment vertical="top" wrapText="1"/>
    </xf>
    <xf numFmtId="0" fontId="28" fillId="17" borderId="12" xfId="1" applyFont="1" applyFill="1" applyBorder="1" applyAlignment="1">
      <alignment vertical="top" wrapText="1"/>
    </xf>
    <xf numFmtId="0" fontId="44" fillId="17" borderId="14" xfId="1" applyFont="1" applyFill="1" applyBorder="1" applyAlignment="1">
      <alignment vertical="top" wrapText="1"/>
    </xf>
    <xf numFmtId="0" fontId="44" fillId="17" borderId="5" xfId="1" applyFont="1" applyFill="1" applyBorder="1" applyAlignment="1">
      <alignment vertical="top" wrapText="1"/>
    </xf>
    <xf numFmtId="0" fontId="39" fillId="17" borderId="11" xfId="1" applyFont="1" applyFill="1" applyBorder="1" applyAlignment="1">
      <alignment vertical="top" wrapText="1"/>
    </xf>
    <xf numFmtId="0" fontId="44" fillId="17" borderId="7" xfId="1" applyFont="1" applyFill="1" applyBorder="1" applyAlignment="1">
      <alignment vertical="top" wrapText="1"/>
    </xf>
    <xf numFmtId="0" fontId="44" fillId="17" borderId="2" xfId="1" applyFont="1" applyFill="1" applyBorder="1" applyAlignment="1">
      <alignment vertical="top" wrapText="1"/>
    </xf>
    <xf numFmtId="0" fontId="39" fillId="17" borderId="8" xfId="1" applyFont="1" applyFill="1" applyBorder="1" applyAlignment="1">
      <alignment vertical="top" wrapText="1"/>
    </xf>
    <xf numFmtId="0" fontId="39" fillId="17" borderId="9" xfId="1" applyFont="1" applyFill="1" applyBorder="1" applyAlignment="1">
      <alignment vertical="top" wrapText="1"/>
    </xf>
    <xf numFmtId="0" fontId="39" fillId="17" borderId="5" xfId="1" applyFont="1" applyFill="1" applyBorder="1" applyAlignment="1">
      <alignment vertical="top" wrapText="1"/>
    </xf>
    <xf numFmtId="0" fontId="39" fillId="17" borderId="10" xfId="1" applyFont="1" applyFill="1" applyBorder="1" applyAlignment="1">
      <alignment vertical="top" wrapText="1"/>
    </xf>
    <xf numFmtId="0" fontId="39" fillId="17" borderId="23" xfId="1" applyFont="1" applyFill="1" applyBorder="1" applyAlignment="1">
      <alignment vertical="top" wrapText="1"/>
    </xf>
    <xf numFmtId="0" fontId="44" fillId="17" borderId="3" xfId="1" applyFont="1" applyFill="1" applyBorder="1" applyAlignment="1">
      <alignment vertical="top" wrapText="1"/>
    </xf>
    <xf numFmtId="0" fontId="44" fillId="17" borderId="9" xfId="1" applyFont="1" applyFill="1" applyBorder="1" applyAlignment="1">
      <alignment vertical="top" wrapText="1"/>
    </xf>
    <xf numFmtId="0" fontId="39" fillId="17" borderId="14" xfId="0" applyFont="1" applyFill="1" applyBorder="1" applyAlignment="1">
      <alignment vertical="top" wrapText="1"/>
    </xf>
    <xf numFmtId="0" fontId="39" fillId="17" borderId="19" xfId="1" applyFont="1" applyFill="1" applyBorder="1" applyAlignment="1">
      <alignment vertical="top" wrapText="1"/>
    </xf>
    <xf numFmtId="0" fontId="39" fillId="17" borderId="27" xfId="1" applyFont="1" applyFill="1" applyBorder="1" applyAlignment="1">
      <alignment vertical="top" wrapText="1"/>
    </xf>
    <xf numFmtId="0" fontId="39" fillId="17" borderId="28" xfId="1" applyFont="1" applyFill="1" applyBorder="1" applyAlignment="1">
      <alignment vertical="top" wrapText="1"/>
    </xf>
    <xf numFmtId="0" fontId="44" fillId="17" borderId="13" xfId="1" applyFont="1" applyFill="1" applyBorder="1" applyAlignment="1">
      <alignment vertical="top" wrapText="1"/>
    </xf>
    <xf numFmtId="0" fontId="39" fillId="17" borderId="0" xfId="0" applyFont="1" applyFill="1" applyAlignment="1">
      <alignment vertical="top" wrapText="1"/>
    </xf>
    <xf numFmtId="0" fontId="39" fillId="11" borderId="0" xfId="0" applyFont="1" applyFill="1" applyAlignment="1">
      <alignment vertical="top" wrapText="1"/>
    </xf>
    <xf numFmtId="0" fontId="46" fillId="11" borderId="0" xfId="0" applyFont="1" applyFill="1" applyAlignment="1">
      <alignment vertical="top" wrapText="1"/>
    </xf>
    <xf numFmtId="0" fontId="39" fillId="9" borderId="0" xfId="0" applyFont="1" applyFill="1" applyAlignment="1">
      <alignment vertical="top" wrapText="1"/>
    </xf>
    <xf numFmtId="0" fontId="49" fillId="9" borderId="0" xfId="1" applyFont="1" applyFill="1" applyBorder="1" applyAlignment="1">
      <alignment vertical="center" wrapText="1"/>
    </xf>
    <xf numFmtId="0" fontId="29" fillId="9" borderId="2" xfId="1" applyFont="1" applyFill="1" applyBorder="1" applyAlignment="1">
      <alignment horizontal="left" vertical="center" wrapText="1"/>
    </xf>
    <xf numFmtId="0" fontId="29" fillId="9" borderId="0" xfId="0" applyFont="1" applyFill="1" applyBorder="1" applyAlignment="1">
      <alignment vertical="center" wrapText="1"/>
    </xf>
    <xf numFmtId="0" fontId="29" fillId="9" borderId="0" xfId="0" applyNumberFormat="1" applyFont="1" applyFill="1" applyBorder="1" applyAlignment="1">
      <alignment vertical="center" wrapText="1"/>
    </xf>
    <xf numFmtId="0" fontId="9" fillId="0" borderId="58" xfId="1" applyFont="1" applyFill="1" applyBorder="1" applyAlignment="1">
      <alignment vertical="center" wrapText="1"/>
    </xf>
    <xf numFmtId="0" fontId="28" fillId="17" borderId="26" xfId="1" applyFont="1" applyFill="1" applyBorder="1" applyAlignment="1">
      <alignment vertical="top" wrapText="1"/>
    </xf>
    <xf numFmtId="0" fontId="28" fillId="0" borderId="9" xfId="1" applyFont="1" applyFill="1" applyBorder="1" applyAlignment="1">
      <alignment vertical="center" wrapText="1"/>
    </xf>
    <xf numFmtId="0" fontId="28" fillId="0" borderId="7" xfId="1" applyFont="1" applyFill="1" applyBorder="1" applyAlignment="1">
      <alignment vertical="center" wrapText="1"/>
    </xf>
    <xf numFmtId="0" fontId="28" fillId="0" borderId="14" xfId="1" applyFont="1" applyFill="1" applyBorder="1" applyAlignment="1">
      <alignment vertical="center" wrapText="1"/>
    </xf>
    <xf numFmtId="0" fontId="28" fillId="0" borderId="7" xfId="1" applyFont="1" applyFill="1" applyBorder="1" applyAlignment="1">
      <alignment vertical="top" wrapText="1"/>
    </xf>
    <xf numFmtId="0" fontId="28" fillId="0" borderId="12" xfId="1" applyFont="1" applyFill="1" applyBorder="1" applyAlignment="1">
      <alignment vertical="center" wrapText="1"/>
    </xf>
    <xf numFmtId="0" fontId="28" fillId="17" borderId="6" xfId="1" applyFont="1" applyFill="1" applyBorder="1" applyAlignment="1">
      <alignment vertical="top" wrapText="1"/>
    </xf>
    <xf numFmtId="0" fontId="28" fillId="0" borderId="6" xfId="1" applyFont="1" applyFill="1" applyBorder="1" applyAlignment="1">
      <alignment vertical="center" wrapText="1"/>
    </xf>
    <xf numFmtId="0" fontId="28" fillId="0" borderId="13" xfId="1" applyFont="1" applyFill="1" applyBorder="1" applyAlignment="1">
      <alignment vertical="center" wrapText="1"/>
    </xf>
    <xf numFmtId="0" fontId="28" fillId="9" borderId="48" xfId="1" applyFont="1" applyFill="1" applyBorder="1" applyAlignment="1">
      <alignment horizontal="center" vertical="center" wrapText="1"/>
    </xf>
    <xf numFmtId="0" fontId="28" fillId="11" borderId="41" xfId="1" applyFont="1" applyFill="1" applyBorder="1" applyAlignment="1">
      <alignment horizontal="center" vertical="center" wrapText="1"/>
    </xf>
    <xf numFmtId="0" fontId="28" fillId="17" borderId="3" xfId="1" applyFont="1" applyFill="1" applyBorder="1" applyAlignment="1">
      <alignment vertical="top" wrapText="1"/>
    </xf>
    <xf numFmtId="0" fontId="28" fillId="0" borderId="1" xfId="1" applyFont="1" applyFill="1" applyBorder="1" applyAlignment="1">
      <alignment vertical="center" wrapText="1"/>
    </xf>
    <xf numFmtId="0" fontId="51" fillId="0" borderId="0" xfId="0" applyFont="1" applyAlignment="1">
      <alignment horizontal="center" vertical="center"/>
    </xf>
    <xf numFmtId="0" fontId="28" fillId="17" borderId="24" xfId="1" applyFont="1" applyFill="1" applyBorder="1" applyAlignment="1">
      <alignment vertical="top" wrapText="1"/>
    </xf>
    <xf numFmtId="0" fontId="28" fillId="17" borderId="0" xfId="0" applyFont="1" applyFill="1" applyAlignment="1">
      <alignment vertical="top" wrapText="1"/>
    </xf>
    <xf numFmtId="0" fontId="28" fillId="17" borderId="11" xfId="1" applyFont="1" applyFill="1" applyBorder="1" applyAlignment="1">
      <alignment vertical="top" wrapText="1"/>
    </xf>
    <xf numFmtId="0" fontId="52" fillId="25" borderId="0" xfId="0" applyFont="1" applyFill="1" applyAlignment="1">
      <alignment horizontal="center" vertical="center" wrapText="1"/>
    </xf>
    <xf numFmtId="0" fontId="53" fillId="0" borderId="0" xfId="1" applyFont="1" applyFill="1" applyBorder="1" applyAlignment="1">
      <alignment vertical="center" wrapText="1"/>
    </xf>
    <xf numFmtId="0" fontId="53" fillId="0" borderId="0" xfId="0" applyFont="1" applyAlignment="1">
      <alignment vertical="center" wrapText="1"/>
    </xf>
    <xf numFmtId="0" fontId="53" fillId="0" borderId="0" xfId="0" applyFont="1" applyAlignment="1">
      <alignment horizontal="center" vertical="center" wrapText="1"/>
    </xf>
    <xf numFmtId="0" fontId="54" fillId="0" borderId="0" xfId="1" applyFont="1" applyFill="1" applyBorder="1" applyAlignment="1">
      <alignment vertical="center" wrapText="1"/>
    </xf>
    <xf numFmtId="0" fontId="53" fillId="0" borderId="0" xfId="1" applyFont="1" applyFill="1" applyBorder="1" applyAlignment="1">
      <alignment horizontal="center" vertical="center" wrapText="1"/>
    </xf>
    <xf numFmtId="0" fontId="54" fillId="0" borderId="0" xfId="0" applyFont="1" applyAlignment="1">
      <alignment vertical="center" wrapText="1"/>
    </xf>
    <xf numFmtId="0" fontId="54" fillId="0" borderId="0" xfId="0" applyFont="1" applyAlignment="1">
      <alignment wrapText="1"/>
    </xf>
    <xf numFmtId="0" fontId="55" fillId="0" borderId="0" xfId="1" applyFont="1" applyFill="1" applyBorder="1" applyAlignment="1">
      <alignment horizontal="center" vertical="center" wrapText="1"/>
    </xf>
    <xf numFmtId="0" fontId="55" fillId="0" borderId="0" xfId="0" applyFont="1" applyAlignment="1">
      <alignment horizontal="center" vertical="center" wrapText="1"/>
    </xf>
    <xf numFmtId="0" fontId="53" fillId="0" borderId="0" xfId="1" applyFont="1" applyFill="1" applyBorder="1" applyAlignment="1">
      <alignment vertical="top" wrapText="1"/>
    </xf>
    <xf numFmtId="0" fontId="53" fillId="0" borderId="0" xfId="0" applyFont="1" applyAlignment="1">
      <alignment horizontal="center"/>
    </xf>
    <xf numFmtId="0" fontId="55" fillId="0" borderId="0" xfId="1" applyFont="1" applyFill="1" applyBorder="1" applyAlignment="1">
      <alignment vertical="center" wrapText="1"/>
    </xf>
    <xf numFmtId="0" fontId="53" fillId="0" borderId="0" xfId="1" applyFont="1" applyFill="1" applyBorder="1" applyAlignment="1">
      <alignment horizontal="left" vertical="center" wrapText="1"/>
    </xf>
    <xf numFmtId="0" fontId="53" fillId="0" borderId="0" xfId="1" applyFont="1" applyFill="1" applyBorder="1" applyAlignment="1">
      <alignment horizontal="left" vertical="top" wrapText="1"/>
    </xf>
    <xf numFmtId="0" fontId="53" fillId="0" borderId="0" xfId="0" applyFont="1" applyAlignment="1">
      <alignment horizontal="center" vertical="center"/>
    </xf>
    <xf numFmtId="0" fontId="21" fillId="11" borderId="0" xfId="0" applyFont="1" applyFill="1" applyBorder="1" applyAlignment="1">
      <alignment vertical="center" wrapText="1"/>
    </xf>
    <xf numFmtId="0" fontId="21" fillId="9" borderId="0" xfId="0" applyFont="1" applyFill="1" applyBorder="1" applyAlignment="1">
      <alignment vertical="center" wrapText="1"/>
    </xf>
    <xf numFmtId="0" fontId="6" fillId="9" borderId="0" xfId="0" applyFont="1" applyFill="1" applyBorder="1" applyAlignment="1">
      <alignment vertical="center" wrapText="1"/>
    </xf>
    <xf numFmtId="0" fontId="8" fillId="9" borderId="5" xfId="0" applyFont="1" applyFill="1" applyBorder="1" applyAlignment="1">
      <alignment vertical="center" wrapText="1"/>
    </xf>
    <xf numFmtId="0" fontId="49" fillId="9" borderId="7" xfId="1" applyFont="1" applyFill="1" applyBorder="1" applyAlignment="1">
      <alignment vertical="center" wrapText="1"/>
    </xf>
    <xf numFmtId="0" fontId="9" fillId="9" borderId="0" xfId="0" applyFont="1" applyFill="1" applyBorder="1" applyAlignment="1">
      <alignment horizontal="left" vertical="center" wrapText="1"/>
    </xf>
    <xf numFmtId="0" fontId="9" fillId="11" borderId="0" xfId="0" applyFont="1" applyFill="1" applyBorder="1" applyAlignment="1">
      <alignment horizontal="left" vertical="top" wrapText="1"/>
    </xf>
    <xf numFmtId="0" fontId="9" fillId="9" borderId="5" xfId="1" applyFont="1" applyFill="1" applyBorder="1" applyAlignment="1">
      <alignment horizontal="left" vertical="center" wrapText="1"/>
    </xf>
    <xf numFmtId="0" fontId="9" fillId="9" borderId="30" xfId="0" applyFont="1" applyFill="1" applyBorder="1" applyAlignment="1">
      <alignment horizontal="left" vertical="center" wrapText="1"/>
    </xf>
    <xf numFmtId="0" fontId="29" fillId="9" borderId="7" xfId="1" applyFont="1" applyFill="1" applyBorder="1" applyAlignment="1">
      <alignment horizontal="left" vertical="center" wrapText="1"/>
    </xf>
    <xf numFmtId="0" fontId="9" fillId="9" borderId="0" xfId="0" applyFont="1" applyFill="1" applyBorder="1" applyAlignment="1">
      <alignment vertical="center" wrapText="1"/>
    </xf>
    <xf numFmtId="0" fontId="9" fillId="11" borderId="0" xfId="0" applyFont="1" applyFill="1" applyBorder="1" applyAlignment="1">
      <alignment vertical="center" wrapText="1"/>
    </xf>
    <xf numFmtId="0" fontId="9" fillId="9" borderId="5" xfId="1" applyFont="1" applyFill="1" applyBorder="1" applyAlignment="1">
      <alignment vertical="center" wrapText="1"/>
    </xf>
    <xf numFmtId="0" fontId="9" fillId="9" borderId="29" xfId="0" applyFont="1" applyFill="1" applyBorder="1" applyAlignment="1">
      <alignment vertical="center" wrapText="1"/>
    </xf>
    <xf numFmtId="0" fontId="29" fillId="9" borderId="7" xfId="1" applyFont="1" applyFill="1" applyBorder="1" applyAlignment="1">
      <alignment vertical="center" wrapText="1"/>
    </xf>
    <xf numFmtId="0" fontId="27" fillId="0" borderId="0" xfId="0" applyFont="1" applyBorder="1" applyAlignment="1">
      <alignment wrapText="1"/>
    </xf>
    <xf numFmtId="0" fontId="27" fillId="0" borderId="14" xfId="0" applyFont="1" applyBorder="1" applyAlignment="1">
      <alignment wrapText="1"/>
    </xf>
    <xf numFmtId="0" fontId="29" fillId="9" borderId="7" xfId="0" applyFont="1" applyFill="1" applyBorder="1" applyAlignment="1">
      <alignment vertical="center" wrapText="1"/>
    </xf>
    <xf numFmtId="0" fontId="29" fillId="9" borderId="7" xfId="0" applyNumberFormat="1" applyFont="1" applyFill="1" applyBorder="1" applyAlignment="1">
      <alignment vertical="center" wrapText="1"/>
    </xf>
    <xf numFmtId="0" fontId="13" fillId="9" borderId="2" xfId="0" applyFont="1" applyFill="1" applyBorder="1" applyAlignment="1">
      <alignment vertical="center" wrapText="1"/>
    </xf>
    <xf numFmtId="0" fontId="32" fillId="0" borderId="12" xfId="0" applyFont="1" applyBorder="1"/>
    <xf numFmtId="0" fontId="32" fillId="0" borderId="14" xfId="0" applyFont="1" applyBorder="1"/>
    <xf numFmtId="0" fontId="32" fillId="0" borderId="7" xfId="0" applyFont="1" applyBorder="1"/>
    <xf numFmtId="0" fontId="39" fillId="17" borderId="15" xfId="1" applyFont="1" applyFill="1" applyBorder="1" applyAlignment="1">
      <alignment vertical="top" wrapText="1"/>
    </xf>
    <xf numFmtId="0" fontId="43" fillId="17" borderId="14" xfId="0" applyFont="1" applyFill="1" applyBorder="1" applyAlignment="1">
      <alignment vertical="top" wrapText="1"/>
    </xf>
    <xf numFmtId="0" fontId="39" fillId="17" borderId="5" xfId="0" applyFont="1" applyFill="1" applyBorder="1" applyAlignment="1">
      <alignment vertical="top" wrapText="1"/>
    </xf>
    <xf numFmtId="0" fontId="28" fillId="17" borderId="2" xfId="0" applyFont="1" applyFill="1" applyBorder="1" applyAlignment="1">
      <alignment vertical="top" wrapText="1"/>
    </xf>
    <xf numFmtId="0" fontId="28" fillId="17" borderId="29" xfId="1" applyFont="1" applyFill="1" applyBorder="1" applyAlignment="1">
      <alignment vertical="top" wrapText="1"/>
    </xf>
    <xf numFmtId="0" fontId="44" fillId="17" borderId="11" xfId="1" applyFont="1" applyFill="1" applyBorder="1" applyAlignment="1">
      <alignment vertical="top" wrapText="1"/>
    </xf>
    <xf numFmtId="0" fontId="29" fillId="0" borderId="10" xfId="1" applyFont="1" applyFill="1" applyBorder="1" applyAlignment="1">
      <alignment vertical="center" wrapText="1"/>
    </xf>
    <xf numFmtId="0" fontId="14" fillId="0" borderId="8" xfId="1" applyFont="1" applyFill="1" applyBorder="1" applyAlignment="1">
      <alignment vertical="center" wrapText="1"/>
    </xf>
    <xf numFmtId="0" fontId="9" fillId="0" borderId="5" xfId="0" applyFont="1" applyFill="1" applyBorder="1" applyAlignment="1">
      <alignment vertical="center" wrapText="1"/>
    </xf>
    <xf numFmtId="0" fontId="30" fillId="0" borderId="29" xfId="1" applyFont="1" applyFill="1" applyBorder="1" applyAlignment="1">
      <alignment vertical="center" wrapText="1"/>
    </xf>
    <xf numFmtId="0" fontId="9" fillId="0" borderId="31" xfId="1" applyFont="1" applyFill="1" applyBorder="1" applyAlignment="1">
      <alignment vertical="center" wrapText="1"/>
    </xf>
    <xf numFmtId="0" fontId="13" fillId="0" borderId="11" xfId="1" applyFont="1" applyFill="1" applyBorder="1" applyAlignment="1">
      <alignment vertical="center" wrapText="1"/>
    </xf>
    <xf numFmtId="0" fontId="9" fillId="9" borderId="52" xfId="0" applyFont="1" applyFill="1" applyBorder="1" applyAlignment="1">
      <alignment horizontal="center" vertical="center" wrapText="1"/>
    </xf>
    <xf numFmtId="0" fontId="1" fillId="0" borderId="0" xfId="0" applyFont="1" applyAlignment="1">
      <alignment horizontal="center"/>
    </xf>
    <xf numFmtId="0" fontId="17" fillId="8" borderId="0" xfId="0" applyFont="1" applyFill="1" applyAlignment="1">
      <alignment horizontal="center" vertical="center" wrapText="1"/>
    </xf>
    <xf numFmtId="0" fontId="17" fillId="17" borderId="0" xfId="0" applyFont="1" applyFill="1" applyAlignment="1">
      <alignment horizontal="center" vertical="center" wrapText="1"/>
    </xf>
    <xf numFmtId="0" fontId="17" fillId="7" borderId="0" xfId="0" applyFont="1" applyFill="1" applyAlignment="1">
      <alignment horizontal="center" vertical="center" wrapText="1"/>
    </xf>
  </cellXfs>
  <cellStyles count="3">
    <cellStyle name="Hyperlink" xfId="1" builtinId="8"/>
    <cellStyle name="Normal" xfId="0" builtinId="0"/>
    <cellStyle name="Per cent" xfId="2" builtinId="5"/>
  </cellStyles>
  <dxfs count="21">
    <dxf>
      <font>
        <b val="0"/>
        <i val="0"/>
        <strike val="0"/>
        <condense val="0"/>
        <extend val="0"/>
        <outline val="0"/>
        <shadow val="0"/>
        <u val="none"/>
        <vertAlign val="baseline"/>
        <sz val="10"/>
        <color auto="1"/>
        <name val="EC Square Sans Pro"/>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indexed="64"/>
        </left>
        <right style="medium">
          <color indexed="64"/>
        </right>
        <top style="dotted">
          <color indexed="64"/>
        </top>
        <bottom style="dotted">
          <color indexed="64"/>
        </bottom>
      </border>
    </dxf>
    <dxf>
      <font>
        <b val="0"/>
        <i val="0"/>
        <strike val="0"/>
        <condense val="0"/>
        <extend val="0"/>
        <outline val="0"/>
        <shadow val="0"/>
        <u val="none"/>
        <vertAlign val="baseline"/>
        <sz val="10"/>
        <color auto="1"/>
        <name val="EC Square Sans Pro"/>
        <family val="2"/>
        <scheme val="none"/>
      </font>
      <fill>
        <patternFill patternType="none">
          <fgColor indexed="64"/>
          <bgColor auto="1"/>
        </patternFill>
      </fill>
      <alignment horizontal="general" vertical="center" textRotation="0" wrapText="1" indent="0" justifyLastLine="0" shrinkToFit="0" readingOrder="0"/>
      <border outline="0">
        <left/>
        <right style="medium">
          <color indexed="64"/>
        </right>
      </border>
    </dxf>
    <dxf>
      <font>
        <b val="0"/>
        <i val="0"/>
        <strike val="0"/>
        <condense val="0"/>
        <extend val="0"/>
        <outline val="0"/>
        <shadow val="0"/>
        <u val="none"/>
        <vertAlign val="baseline"/>
        <sz val="10"/>
        <color theme="0" tint="-0.499984740745262"/>
        <name val="EC Square Sans Pro"/>
        <scheme val="none"/>
      </font>
      <fill>
        <patternFill patternType="solid">
          <fgColor indexed="64"/>
          <bgColor theme="7" tint="0.3999755851924192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EC Square Sans Pro"/>
        <family val="2"/>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EC Square Sans Pro"/>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EC Square Sans Pro"/>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EC Square Sans Pro"/>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EC Square Sans Pro"/>
        <scheme val="none"/>
      </font>
      <numFmt numFmtId="0" formatCode="General"/>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EC Square Sans Pro"/>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EC Square Sans Pro"/>
        <scheme val="none"/>
      </font>
      <fill>
        <patternFill patternType="solid">
          <fgColor indexed="64"/>
          <bgColor theme="0"/>
        </patternFill>
      </fill>
      <alignment horizontal="general" vertical="center" textRotation="0" wrapText="1" indent="0" justifyLastLine="0" shrinkToFit="0" readingOrder="0"/>
      <border diagonalUp="0" diagonalDown="0">
        <left/>
        <right/>
        <top/>
        <bottom style="thin">
          <color indexed="64"/>
        </bottom>
      </border>
    </dxf>
    <dxf>
      <font>
        <b val="0"/>
        <i val="0"/>
        <strike val="0"/>
        <condense val="0"/>
        <extend val="0"/>
        <outline val="0"/>
        <shadow val="0"/>
        <u val="none"/>
        <vertAlign val="baseline"/>
        <sz val="10"/>
        <color auto="1"/>
        <name val="EC Square Sans Pro"/>
        <scheme val="none"/>
      </font>
      <fill>
        <patternFill patternType="solid">
          <fgColor indexed="64"/>
          <bgColor theme="0"/>
        </patternFill>
      </fill>
      <alignment horizontal="left" vertical="center" textRotation="0" wrapText="1" indent="0" justifyLastLine="0" shrinkToFit="0" readingOrder="0"/>
      <border diagonalUp="0" diagonalDown="0">
        <left/>
        <right/>
        <top/>
        <bottom style="thin">
          <color indexed="64"/>
        </bottom>
      </border>
    </dxf>
    <dxf>
      <font>
        <b val="0"/>
        <i val="0"/>
        <strike val="0"/>
        <condense val="0"/>
        <extend val="0"/>
        <outline val="0"/>
        <shadow val="0"/>
        <u val="none"/>
        <vertAlign val="baseline"/>
        <sz val="10"/>
        <color theme="4" tint="-0.249977111117893"/>
        <name val="EC Square Sans Pro"/>
        <scheme val="none"/>
      </font>
      <fill>
        <patternFill>
          <fgColor indexed="64"/>
          <bgColor theme="0"/>
        </patternFill>
      </fill>
      <alignment horizontal="general" vertical="center" textRotation="0" wrapText="1" indent="0" justifyLastLine="0" shrinkToFit="0" readingOrder="0"/>
    </dxf>
    <dxf>
      <font>
        <strike val="0"/>
        <outline val="0"/>
        <shadow val="0"/>
        <u val="none"/>
        <vertAlign val="baseline"/>
        <sz val="10"/>
        <color theme="1"/>
        <name val="EC Square Sans Pro"/>
        <scheme val="none"/>
      </font>
      <fill>
        <patternFill>
          <fgColor indexed="64"/>
          <bgColor theme="0"/>
        </patternFill>
      </fill>
      <alignment vertical="center" textRotation="0" wrapText="1" indent="0" justifyLastLine="0" shrinkToFit="0" readingOrder="0"/>
    </dxf>
    <dxf>
      <font>
        <b/>
        <i val="0"/>
        <strike val="0"/>
        <outline val="0"/>
        <shadow val="0"/>
        <u val="none"/>
        <vertAlign val="baseline"/>
        <sz val="10"/>
        <color auto="1"/>
        <name val="EC Square Sans Pro"/>
        <scheme val="none"/>
      </font>
      <fill>
        <patternFill>
          <fgColor indexed="64"/>
          <bgColor theme="0"/>
        </patternFill>
      </fill>
      <alignment vertical="center" textRotation="0" wrapText="1" indent="0" justifyLastLine="0" shrinkToFit="0" readingOrder="0"/>
    </dxf>
    <dxf>
      <font>
        <strike val="0"/>
        <outline val="0"/>
        <shadow val="0"/>
        <u val="none"/>
        <vertAlign val="baseline"/>
        <sz val="12"/>
        <color theme="1"/>
        <name val="EC Square Sans Pro"/>
        <scheme val="none"/>
      </font>
      <alignment vertical="center" textRotation="0" wrapText="1" indent="0" justifyLastLine="0" shrinkToFit="0" readingOrder="0"/>
    </dxf>
    <dxf>
      <border>
        <bottom style="thick">
          <color rgb="FF000000"/>
        </bottom>
      </border>
    </dxf>
    <dxf>
      <font>
        <b val="0"/>
        <strike val="0"/>
        <outline val="0"/>
        <shadow val="0"/>
        <u val="none"/>
        <vertAlign val="baseline"/>
        <sz val="14"/>
        <color theme="1"/>
        <name val="EC Square Sans Pro"/>
        <scheme val="none"/>
      </font>
      <fill>
        <patternFill patternType="solid">
          <fgColor indexed="64"/>
          <bgColor theme="9" tint="0.39997558519241921"/>
        </patternFill>
      </fill>
      <alignment horizontal="center" vertical="center" textRotation="0" wrapText="1" indent="0" justifyLastLine="0" shrinkToFit="0" readingOrder="0"/>
    </dxf>
    <dxf>
      <font>
        <b/>
        <i val="0"/>
        <color theme="0" tint="-0.499984740745262"/>
      </font>
    </dxf>
    <dxf>
      <font>
        <b/>
        <i val="0"/>
        <color rgb="FF00B050"/>
      </font>
    </dxf>
    <dxf>
      <font>
        <b/>
        <i val="0"/>
        <color rgb="FFFF0000"/>
      </font>
    </dxf>
    <dxf>
      <font>
        <b/>
        <i val="0"/>
        <color rgb="FFF9A13E"/>
      </font>
    </dxf>
  </dxfs>
  <tableStyles count="0" defaultTableStyle="TableStyleMedium2" defaultPivotStyle="PivotStyleLight16"/>
  <colors>
    <mruColors>
      <color rgb="FFF9A13E"/>
      <color rgb="FF99CA3C"/>
      <color rgb="FFDE435D"/>
      <color rgb="FFFF5B5B"/>
      <color rgb="FFF56A7D"/>
      <color rgb="FFF6BE3E"/>
      <color rgb="FFED7D31"/>
      <color rgb="FFF44646"/>
      <color rgb="FFC2DF8A"/>
      <color rgb="FFE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AllTargetsAssessed_sum!$B$75</c:f>
              <c:strCache>
                <c:ptCount val="1"/>
                <c:pt idx="0">
                  <c:v>no data</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0"/>
              </c:ext>
            </c:extLst>
          </c:dLbls>
          <c:cat>
            <c:strRef>
              <c:f>AllTargetsAssessed_sum!$A$77:$A$83</c:f>
              <c:strCache>
                <c:ptCount val="7"/>
                <c:pt idx="0">
                  <c:v>Climate ambition</c:v>
                </c:pt>
                <c:pt idx="1">
                  <c:v>Clean, affordable and secure energy</c:v>
                </c:pt>
                <c:pt idx="2">
                  <c:v>Industrial strategy for a clean and circular economy</c:v>
                </c:pt>
                <c:pt idx="3">
                  <c:v>Sustainable and smart mobility</c:v>
                </c:pt>
                <c:pt idx="4">
                  <c:v>CAP / Farm to Fork</c:v>
                </c:pt>
                <c:pt idx="5">
                  <c:v>Preserving and protecting biodiversity</c:v>
                </c:pt>
                <c:pt idx="6">
                  <c:v>Towards a zero-pollution ambition</c:v>
                </c:pt>
              </c:strCache>
            </c:strRef>
          </c:cat>
          <c:val>
            <c:numRef>
              <c:f>AllTargetsAssessed_sum!$B$77:$B$83</c:f>
              <c:numCache>
                <c:formatCode>General</c:formatCode>
                <c:ptCount val="7"/>
                <c:pt idx="0">
                  <c:v>0</c:v>
                </c:pt>
                <c:pt idx="1">
                  <c:v>0</c:v>
                </c:pt>
                <c:pt idx="2">
                  <c:v>1</c:v>
                </c:pt>
                <c:pt idx="3">
                  <c:v>1</c:v>
                </c:pt>
                <c:pt idx="4">
                  <c:v>0</c:v>
                </c:pt>
                <c:pt idx="5">
                  <c:v>0</c:v>
                </c:pt>
                <c:pt idx="6">
                  <c:v>0</c:v>
                </c:pt>
              </c:numCache>
            </c:numRef>
          </c:val>
          <c:extLst>
            <c:ext xmlns:c16="http://schemas.microsoft.com/office/drawing/2014/chart" uri="{C3380CC4-5D6E-409C-BE32-E72D297353CC}">
              <c16:uniqueId val="{00000000-60E3-400B-A9EF-D7CB0B5A1117}"/>
            </c:ext>
          </c:extLst>
        </c:ser>
        <c:ser>
          <c:idx val="1"/>
          <c:order val="1"/>
          <c:tx>
            <c:strRef>
              <c:f>AllTargetsAssessed_sum!$C$75</c:f>
              <c:strCache>
                <c:ptCount val="1"/>
                <c:pt idx="0">
                  <c:v>Not progressing</c:v>
                </c:pt>
              </c:strCache>
            </c:strRef>
          </c:tx>
          <c:spPr>
            <a:solidFill>
              <a:srgbClr val="C00000"/>
            </a:solidFill>
            <a:ln>
              <a:noFill/>
            </a:ln>
            <a:effectLst>
              <a:outerShdw blurRad="57150" dist="19050" dir="5400000" algn="ctr" rotWithShape="0">
                <a:srgbClr val="000000">
                  <a:alpha val="63000"/>
                </a:srgbClr>
              </a:outerShdw>
            </a:effectLst>
          </c:spPr>
          <c:invertIfNegative val="0"/>
          <c:dLbls>
            <c:dLbl>
              <c:idx val="5"/>
              <c:layout>
                <c:manualLayout>
                  <c:x val="-1.8354705661792277E-3"/>
                  <c:y val="2.9573768067723929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E3-400B-A9EF-D7CB0B5A1117}"/>
                </c:ext>
              </c:extLst>
            </c:dLbl>
            <c:dLbl>
              <c:idx val="6"/>
              <c:layout>
                <c:manualLayout>
                  <c:x val="1.9740532433445818E-3"/>
                  <c:y val="2.9573768081495287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E3-400B-A9EF-D7CB0B5A11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AllTargetsAssessed_sum!$A$77:$A$83</c:f>
              <c:strCache>
                <c:ptCount val="7"/>
                <c:pt idx="0">
                  <c:v>Climate ambition</c:v>
                </c:pt>
                <c:pt idx="1">
                  <c:v>Clean, affordable and secure energy</c:v>
                </c:pt>
                <c:pt idx="2">
                  <c:v>Industrial strategy for a clean and circular economy</c:v>
                </c:pt>
                <c:pt idx="3">
                  <c:v>Sustainable and smart mobility</c:v>
                </c:pt>
                <c:pt idx="4">
                  <c:v>CAP / Farm to Fork</c:v>
                </c:pt>
                <c:pt idx="5">
                  <c:v>Preserving and protecting biodiversity</c:v>
                </c:pt>
                <c:pt idx="6">
                  <c:v>Towards a zero-pollution ambition</c:v>
                </c:pt>
              </c:strCache>
            </c:strRef>
          </c:cat>
          <c:val>
            <c:numRef>
              <c:f>AllTargetsAssessed_sum!$C$77:$C$83</c:f>
              <c:numCache>
                <c:formatCode>General</c:formatCode>
                <c:ptCount val="7"/>
                <c:pt idx="0">
                  <c:v>0</c:v>
                </c:pt>
                <c:pt idx="1">
                  <c:v>0</c:v>
                </c:pt>
                <c:pt idx="2">
                  <c:v>0</c:v>
                </c:pt>
                <c:pt idx="3">
                  <c:v>0</c:v>
                </c:pt>
                <c:pt idx="4">
                  <c:v>1</c:v>
                </c:pt>
                <c:pt idx="5">
                  <c:v>1</c:v>
                </c:pt>
                <c:pt idx="6">
                  <c:v>1</c:v>
                </c:pt>
              </c:numCache>
            </c:numRef>
          </c:val>
          <c:extLst>
            <c:ext xmlns:c16="http://schemas.microsoft.com/office/drawing/2014/chart" uri="{C3380CC4-5D6E-409C-BE32-E72D297353CC}">
              <c16:uniqueId val="{00000003-60E3-400B-A9EF-D7CB0B5A1117}"/>
            </c:ext>
          </c:extLst>
        </c:ser>
        <c:ser>
          <c:idx val="2"/>
          <c:order val="2"/>
          <c:tx>
            <c:strRef>
              <c:f>AllTargetsAssessed_sum!$D$75</c:f>
              <c:strCache>
                <c:ptCount val="1"/>
                <c:pt idx="0">
                  <c:v>Acceleration needed</c:v>
                </c:pt>
              </c:strCache>
            </c:strRef>
          </c:tx>
          <c:spPr>
            <a:solidFill>
              <a:schemeClr val="accent4"/>
            </a:solidFill>
            <a:ln>
              <a:noFill/>
            </a:ln>
            <a:effectLst>
              <a:outerShdw blurRad="57150" dist="19050" dir="5400000" algn="ctr" rotWithShape="0">
                <a:srgbClr val="000000">
                  <a:alpha val="63000"/>
                </a:srgbClr>
              </a:outerShdw>
            </a:effectLst>
          </c:spPr>
          <c:invertIfNegative val="0"/>
          <c:dLbls>
            <c:dLbl>
              <c:idx val="4"/>
              <c:layout>
                <c:manualLayout>
                  <c:x val="6.9291338582677165E-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E3-400B-A9EF-D7CB0B5A11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AllTargetsAssessed_sum!$A$77:$A$83</c:f>
              <c:strCache>
                <c:ptCount val="7"/>
                <c:pt idx="0">
                  <c:v>Climate ambition</c:v>
                </c:pt>
                <c:pt idx="1">
                  <c:v>Clean, affordable and secure energy</c:v>
                </c:pt>
                <c:pt idx="2">
                  <c:v>Industrial strategy for a clean and circular economy</c:v>
                </c:pt>
                <c:pt idx="3">
                  <c:v>Sustainable and smart mobility</c:v>
                </c:pt>
                <c:pt idx="4">
                  <c:v>CAP / Farm to Fork</c:v>
                </c:pt>
                <c:pt idx="5">
                  <c:v>Preserving and protecting biodiversity</c:v>
                </c:pt>
                <c:pt idx="6">
                  <c:v>Towards a zero-pollution ambition</c:v>
                </c:pt>
              </c:strCache>
            </c:strRef>
          </c:cat>
          <c:val>
            <c:numRef>
              <c:f>AllTargetsAssessed_sum!$D$77:$D$83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60E3-400B-A9EF-D7CB0B5A1117}"/>
            </c:ext>
          </c:extLst>
        </c:ser>
        <c:ser>
          <c:idx val="3"/>
          <c:order val="3"/>
          <c:tx>
            <c:strRef>
              <c:f>AllTargetsAssessed_sum!$E$75</c:f>
              <c:strCache>
                <c:ptCount val="1"/>
                <c:pt idx="0">
                  <c:v>On track</c:v>
                </c:pt>
              </c:strCache>
            </c:strRef>
          </c:tx>
          <c:spPr>
            <a:solidFill>
              <a:schemeClr val="accent6"/>
            </a:solidFill>
            <a:ln>
              <a:noFill/>
            </a:ln>
            <a:effectLst>
              <a:outerShdw blurRad="57150" dist="19050" dir="5400000" algn="ctr" rotWithShape="0">
                <a:srgbClr val="000000">
                  <a:alpha val="63000"/>
                </a:srgbClr>
              </a:outerShdw>
            </a:effectLst>
          </c:spPr>
          <c:invertIfNegative val="0"/>
          <c:dLbls>
            <c:dLbl>
              <c:idx val="1"/>
              <c:layout>
                <c:manualLayout>
                  <c:x val="6.9291338582677165E-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E3-400B-A9EF-D7CB0B5A1117}"/>
                </c:ext>
              </c:extLst>
            </c:dLbl>
            <c:dLbl>
              <c:idx val="3"/>
              <c:delete val="1"/>
              <c:extLst>
                <c:ext xmlns:c15="http://schemas.microsoft.com/office/drawing/2012/chart" uri="{CE6537A1-D6FC-4f65-9D91-7224C49458BB}"/>
                <c:ext xmlns:c16="http://schemas.microsoft.com/office/drawing/2014/chart" uri="{C3380CC4-5D6E-409C-BE32-E72D297353CC}">
                  <c16:uniqueId val="{00000007-60E3-400B-A9EF-D7CB0B5A11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AllTargetsAssessed_sum!$A$77:$A$83</c:f>
              <c:strCache>
                <c:ptCount val="7"/>
                <c:pt idx="0">
                  <c:v>Climate ambition</c:v>
                </c:pt>
                <c:pt idx="1">
                  <c:v>Clean, affordable and secure energy</c:v>
                </c:pt>
                <c:pt idx="2">
                  <c:v>Industrial strategy for a clean and circular economy</c:v>
                </c:pt>
                <c:pt idx="3">
                  <c:v>Sustainable and smart mobility</c:v>
                </c:pt>
                <c:pt idx="4">
                  <c:v>CAP / Farm to Fork</c:v>
                </c:pt>
                <c:pt idx="5">
                  <c:v>Preserving and protecting biodiversity</c:v>
                </c:pt>
                <c:pt idx="6">
                  <c:v>Towards a zero-pollution ambition</c:v>
                </c:pt>
              </c:strCache>
            </c:strRef>
          </c:cat>
          <c:val>
            <c:numRef>
              <c:f>AllTargetsAssessed_sum!$E$77:$E$83</c:f>
              <c:numCache>
                <c:formatCode>General</c:formatCode>
                <c:ptCount val="7"/>
                <c:pt idx="0">
                  <c:v>1</c:v>
                </c:pt>
                <c:pt idx="1">
                  <c:v>1</c:v>
                </c:pt>
                <c:pt idx="2">
                  <c:v>0</c:v>
                </c:pt>
                <c:pt idx="3">
                  <c:v>0</c:v>
                </c:pt>
                <c:pt idx="4">
                  <c:v>1</c:v>
                </c:pt>
                <c:pt idx="5">
                  <c:v>1</c:v>
                </c:pt>
                <c:pt idx="6">
                  <c:v>0</c:v>
                </c:pt>
              </c:numCache>
            </c:numRef>
          </c:val>
          <c:extLst>
            <c:ext xmlns:c16="http://schemas.microsoft.com/office/drawing/2014/chart" uri="{C3380CC4-5D6E-409C-BE32-E72D297353CC}">
              <c16:uniqueId val="{00000008-60E3-400B-A9EF-D7CB0B5A1117}"/>
            </c:ext>
          </c:extLst>
        </c:ser>
        <c:dLbls>
          <c:dLblPos val="inEnd"/>
          <c:showLegendKey val="0"/>
          <c:showVal val="1"/>
          <c:showCatName val="0"/>
          <c:showSerName val="0"/>
          <c:showPercent val="0"/>
          <c:showBubbleSize val="0"/>
        </c:dLbls>
        <c:gapWidth val="57"/>
        <c:overlap val="100"/>
        <c:axId val="630551992"/>
        <c:axId val="630546088"/>
      </c:barChart>
      <c:catAx>
        <c:axId val="630551992"/>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crossAx val="630546088"/>
        <c:crosses val="autoZero"/>
        <c:auto val="1"/>
        <c:lblAlgn val="ctr"/>
        <c:lblOffset val="100"/>
        <c:noMultiLvlLbl val="0"/>
      </c:catAx>
      <c:valAx>
        <c:axId val="630546088"/>
        <c:scaling>
          <c:orientation val="minMax"/>
        </c:scaling>
        <c:delete val="1"/>
        <c:axPos val="t"/>
        <c:numFmt formatCode="General" sourceLinked="1"/>
        <c:majorTickMark val="none"/>
        <c:minorTickMark val="none"/>
        <c:tickLblPos val="nextTo"/>
        <c:crossAx val="630551992"/>
        <c:crosses val="autoZero"/>
        <c:crossBetween val="between"/>
      </c:valAx>
      <c:spPr>
        <a:noFill/>
        <a:ln>
          <a:noFill/>
        </a:ln>
        <a:effectLst/>
      </c:spPr>
    </c:plotArea>
    <c:legend>
      <c:legendPos val="b"/>
      <c:layout>
        <c:manualLayout>
          <c:xMode val="edge"/>
          <c:yMode val="edge"/>
          <c:x val="0.31492958380202474"/>
          <c:y val="0.90399467672174783"/>
          <c:w val="0.65904120713921555"/>
          <c:h val="7.544736402972142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legend>
    <c:plotVisOnly val="1"/>
    <c:dispBlanksAs val="gap"/>
    <c:showDLblsOverMax val="0"/>
  </c:chart>
  <c:spPr>
    <a:solidFill>
      <a:schemeClr val="bg1"/>
    </a:solidFill>
    <a:ln w="9525" cap="flat" cmpd="sng" algn="ctr">
      <a:noFill/>
      <a:round/>
    </a:ln>
    <a:effectLst/>
  </c:spPr>
  <c:txPr>
    <a:bodyPr/>
    <a:lstStyle/>
    <a:p>
      <a:pPr>
        <a:defRPr>
          <a:latin typeface="EC Square Sans Cond Pro" panose="020B0506040000020004" pitchFamily="34" charset="0"/>
        </a:defRPr>
      </a:pPr>
      <a:endParaRPr lang="en-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r>
              <a:rPr lang="en-US"/>
              <a:t>Total assessment </a:t>
            </a:r>
            <a:endParaRPr lang="en-US" i="1"/>
          </a:p>
        </c:rich>
      </c:tx>
      <c:layout>
        <c:manualLayout>
          <c:xMode val="edge"/>
          <c:yMode val="edge"/>
          <c:x val="0.2767222222222222"/>
          <c:y val="3.83693045563549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title>
    <c:autoTitleDeleted val="0"/>
    <c:plotArea>
      <c:layout>
        <c:manualLayout>
          <c:layoutTarget val="inner"/>
          <c:xMode val="edge"/>
          <c:yMode val="edge"/>
          <c:x val="0.29171609798775155"/>
          <c:y val="0.18665911540639787"/>
          <c:w val="0.67772834645669289"/>
          <c:h val="0.68212797767367683"/>
        </c:manualLayout>
      </c:layout>
      <c:barChart>
        <c:barDir val="bar"/>
        <c:grouping val="stacked"/>
        <c:varyColors val="0"/>
        <c:ser>
          <c:idx val="0"/>
          <c:order val="0"/>
          <c:tx>
            <c:strRef>
              <c:f>AllTargetsAssessed_sum!$A$63</c:f>
              <c:strCache>
                <c:ptCount val="1"/>
                <c:pt idx="0">
                  <c:v>Legal act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85E-4E0D-B0F5-F3ED400CD9F2}"/>
              </c:ext>
            </c:extLst>
          </c:dPt>
          <c:dPt>
            <c:idx val="1"/>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85E-4E0D-B0F5-F3ED400CD9F2}"/>
              </c:ext>
            </c:extLst>
          </c:dPt>
          <c:dPt>
            <c:idx val="2"/>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85E-4E0D-B0F5-F3ED400CD9F2}"/>
              </c:ext>
            </c:extLst>
          </c:dPt>
          <c:dPt>
            <c:idx val="3"/>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85E-4E0D-B0F5-F3ED400CD9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AllTargetsAssessed_sum!$B$61:$E$61</c:f>
              <c:strCache>
                <c:ptCount val="4"/>
                <c:pt idx="0">
                  <c:v>no data</c:v>
                </c:pt>
                <c:pt idx="1">
                  <c:v>Not progressing</c:v>
                </c:pt>
                <c:pt idx="2">
                  <c:v>Acceleration needed</c:v>
                </c:pt>
                <c:pt idx="3">
                  <c:v>On track</c:v>
                </c:pt>
              </c:strCache>
            </c:strRef>
          </c:cat>
          <c:val>
            <c:numRef>
              <c:f>AllTargetsAssessed_sum!$B$63:$E$63</c:f>
              <c:numCache>
                <c:formatCode>General</c:formatCode>
                <c:ptCount val="4"/>
                <c:pt idx="0">
                  <c:v>0</c:v>
                </c:pt>
                <c:pt idx="1">
                  <c:v>3</c:v>
                </c:pt>
                <c:pt idx="2">
                  <c:v>1</c:v>
                </c:pt>
                <c:pt idx="3">
                  <c:v>13</c:v>
                </c:pt>
              </c:numCache>
            </c:numRef>
          </c:val>
          <c:extLst>
            <c:ext xmlns:c16="http://schemas.microsoft.com/office/drawing/2014/chart" uri="{C3380CC4-5D6E-409C-BE32-E72D297353CC}">
              <c16:uniqueId val="{00000008-185E-4E0D-B0F5-F3ED400CD9F2}"/>
            </c:ext>
          </c:extLst>
        </c:ser>
        <c:ser>
          <c:idx val="1"/>
          <c:order val="1"/>
          <c:tx>
            <c:strRef>
              <c:f>AllTargetsAssessed_sum!$A$64</c:f>
              <c:strCache>
                <c:ptCount val="1"/>
                <c:pt idx="0">
                  <c:v>Proposal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85E-4E0D-B0F5-F3ED400CD9F2}"/>
              </c:ext>
            </c:extLst>
          </c:dPt>
          <c:dPt>
            <c:idx val="1"/>
            <c:invertIfNegative val="0"/>
            <c:bubble3D val="0"/>
            <c:spPr>
              <a:solidFill>
                <a:srgbClr val="E6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85E-4E0D-B0F5-F3ED400CD9F2}"/>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185E-4E0D-B0F5-F3ED400CD9F2}"/>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85E-4E0D-B0F5-F3ED400CD9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AllTargetsAssessed_sum!$B$61:$E$61</c:f>
              <c:strCache>
                <c:ptCount val="4"/>
                <c:pt idx="0">
                  <c:v>no data</c:v>
                </c:pt>
                <c:pt idx="1">
                  <c:v>Not progressing</c:v>
                </c:pt>
                <c:pt idx="2">
                  <c:v>Acceleration needed</c:v>
                </c:pt>
                <c:pt idx="3">
                  <c:v>On track</c:v>
                </c:pt>
              </c:strCache>
            </c:strRef>
          </c:cat>
          <c:val>
            <c:numRef>
              <c:f>AllTargetsAssessed_sum!$B$64:$E$64</c:f>
              <c:numCache>
                <c:formatCode>General</c:formatCode>
                <c:ptCount val="4"/>
                <c:pt idx="0">
                  <c:v>1</c:v>
                </c:pt>
                <c:pt idx="1">
                  <c:v>2</c:v>
                </c:pt>
                <c:pt idx="2">
                  <c:v>0</c:v>
                </c:pt>
                <c:pt idx="3">
                  <c:v>0</c:v>
                </c:pt>
              </c:numCache>
            </c:numRef>
          </c:val>
          <c:extLst>
            <c:ext xmlns:c16="http://schemas.microsoft.com/office/drawing/2014/chart" uri="{C3380CC4-5D6E-409C-BE32-E72D297353CC}">
              <c16:uniqueId val="{00000010-185E-4E0D-B0F5-F3ED400CD9F2}"/>
            </c:ext>
          </c:extLst>
        </c:ser>
        <c:ser>
          <c:idx val="2"/>
          <c:order val="2"/>
          <c:tx>
            <c:strRef>
              <c:f>AllTargetsAssessed_sum!$A$65</c:f>
              <c:strCache>
                <c:ptCount val="1"/>
                <c:pt idx="0">
                  <c:v>Communication - quantified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pattFill prst="pct75">
                <a:fgClr>
                  <a:schemeClr val="bg1">
                    <a:lumMod val="75000"/>
                  </a:schemeClr>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185E-4E0D-B0F5-F3ED400CD9F2}"/>
              </c:ext>
            </c:extLst>
          </c:dPt>
          <c:dPt>
            <c:idx val="1"/>
            <c:invertIfNegative val="0"/>
            <c:bubble3D val="0"/>
            <c:spPr>
              <a:pattFill prst="pct75">
                <a:fgClr>
                  <a:srgbClr val="FF5B5B"/>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185E-4E0D-B0F5-F3ED400CD9F2}"/>
              </c:ext>
            </c:extLst>
          </c:dPt>
          <c:dPt>
            <c:idx val="2"/>
            <c:invertIfNegative val="0"/>
            <c:bubble3D val="0"/>
            <c:spPr>
              <a:pattFill prst="pct75">
                <a:fgClr>
                  <a:schemeClr val="accent4">
                    <a:lumMod val="40000"/>
                    <a:lumOff val="60000"/>
                  </a:schemeClr>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85E-4E0D-B0F5-F3ED400CD9F2}"/>
              </c:ext>
            </c:extLst>
          </c:dPt>
          <c:dPt>
            <c:idx val="3"/>
            <c:invertIfNegative val="0"/>
            <c:bubble3D val="0"/>
            <c:spPr>
              <a:pattFill prst="pct75">
                <a:fgClr>
                  <a:schemeClr val="accent6">
                    <a:lumMod val="60000"/>
                    <a:lumOff val="40000"/>
                  </a:schemeClr>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185E-4E0D-B0F5-F3ED400CD9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AllTargetsAssessed_sum!$B$61:$E$61</c:f>
              <c:strCache>
                <c:ptCount val="4"/>
                <c:pt idx="0">
                  <c:v>no data</c:v>
                </c:pt>
                <c:pt idx="1">
                  <c:v>Not progressing</c:v>
                </c:pt>
                <c:pt idx="2">
                  <c:v>Acceleration needed</c:v>
                </c:pt>
                <c:pt idx="3">
                  <c:v>On track</c:v>
                </c:pt>
              </c:strCache>
            </c:strRef>
          </c:cat>
          <c:val>
            <c:numRef>
              <c:f>AllTargetsAssessed_sum!$B$65:$E$65</c:f>
              <c:numCache>
                <c:formatCode>General</c:formatCode>
                <c:ptCount val="4"/>
                <c:pt idx="0">
                  <c:v>3</c:v>
                </c:pt>
                <c:pt idx="1">
                  <c:v>10</c:v>
                </c:pt>
                <c:pt idx="2">
                  <c:v>3</c:v>
                </c:pt>
                <c:pt idx="3">
                  <c:v>27</c:v>
                </c:pt>
              </c:numCache>
            </c:numRef>
          </c:val>
          <c:extLst>
            <c:ext xmlns:c16="http://schemas.microsoft.com/office/drawing/2014/chart" uri="{C3380CC4-5D6E-409C-BE32-E72D297353CC}">
              <c16:uniqueId val="{00000011-185E-4E0D-B0F5-F3ED400CD9F2}"/>
            </c:ext>
          </c:extLst>
        </c:ser>
        <c:ser>
          <c:idx val="3"/>
          <c:order val="3"/>
          <c:tx>
            <c:strRef>
              <c:f>AllTargetsAssessed_sum!$A$66</c:f>
              <c:strCache>
                <c:ptCount val="1"/>
                <c:pt idx="0">
                  <c:v>Communication - not quantified</c:v>
                </c:pt>
              </c:strCache>
            </c:strRef>
          </c:tx>
          <c:spPr>
            <a:pattFill prst="pct5">
              <a:fgClr>
                <a:schemeClr val="bg1">
                  <a:lumMod val="75000"/>
                </a:schemeClr>
              </a:fgClr>
              <a:bgClr>
                <a:schemeClr val="bg1"/>
              </a:bgClr>
            </a:pattFill>
            <a:ln>
              <a:noFill/>
            </a:ln>
            <a:effectLst>
              <a:outerShdw blurRad="57150" dist="19050" dir="5400000" algn="ctr" rotWithShape="0">
                <a:srgbClr val="000000">
                  <a:alpha val="63000"/>
                </a:srgbClr>
              </a:outerShdw>
            </a:effectLst>
          </c:spPr>
          <c:invertIfNegative val="0"/>
          <c:dPt>
            <c:idx val="1"/>
            <c:invertIfNegative val="0"/>
            <c:bubble3D val="0"/>
            <c:spPr>
              <a:pattFill prst="pct5">
                <a:fgClr>
                  <a:srgbClr val="F44646"/>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D8A8-4A53-BCCF-4893295C5A7E}"/>
              </c:ext>
            </c:extLst>
          </c:dPt>
          <c:dPt>
            <c:idx val="2"/>
            <c:invertIfNegative val="0"/>
            <c:bubble3D val="0"/>
            <c:spPr>
              <a:pattFill prst="pct5">
                <a:fgClr>
                  <a:schemeClr val="accent4">
                    <a:lumMod val="60000"/>
                    <a:lumOff val="40000"/>
                  </a:schemeClr>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D8A8-4A53-BCCF-4893295C5A7E}"/>
              </c:ext>
            </c:extLst>
          </c:dPt>
          <c:dPt>
            <c:idx val="3"/>
            <c:invertIfNegative val="0"/>
            <c:bubble3D val="0"/>
            <c:spPr>
              <a:pattFill prst="pct5">
                <a:fgClr>
                  <a:srgbClr val="92D050"/>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8A8-4A53-BCCF-4893295C5A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AllTargetsAssessed_sum!$B$61:$E$61</c:f>
              <c:strCache>
                <c:ptCount val="4"/>
                <c:pt idx="0">
                  <c:v>no data</c:v>
                </c:pt>
                <c:pt idx="1">
                  <c:v>Not progressing</c:v>
                </c:pt>
                <c:pt idx="2">
                  <c:v>Acceleration needed</c:v>
                </c:pt>
                <c:pt idx="3">
                  <c:v>On track</c:v>
                </c:pt>
              </c:strCache>
            </c:strRef>
          </c:cat>
          <c:val>
            <c:numRef>
              <c:f>AllTargetsAssessed_sum!$B$66:$E$66</c:f>
              <c:numCache>
                <c:formatCode>General</c:formatCode>
                <c:ptCount val="4"/>
                <c:pt idx="0">
                  <c:v>0</c:v>
                </c:pt>
                <c:pt idx="1">
                  <c:v>1</c:v>
                </c:pt>
                <c:pt idx="2">
                  <c:v>1</c:v>
                </c:pt>
                <c:pt idx="3">
                  <c:v>2</c:v>
                </c:pt>
              </c:numCache>
            </c:numRef>
          </c:val>
          <c:extLst>
            <c:ext xmlns:c16="http://schemas.microsoft.com/office/drawing/2014/chart" uri="{C3380CC4-5D6E-409C-BE32-E72D297353CC}">
              <c16:uniqueId val="{00000012-185E-4E0D-B0F5-F3ED400CD9F2}"/>
            </c:ext>
          </c:extLst>
        </c:ser>
        <c:dLbls>
          <c:dLblPos val="inEnd"/>
          <c:showLegendKey val="0"/>
          <c:showVal val="1"/>
          <c:showCatName val="0"/>
          <c:showSerName val="0"/>
          <c:showPercent val="0"/>
          <c:showBubbleSize val="0"/>
        </c:dLbls>
        <c:gapWidth val="86"/>
        <c:overlap val="100"/>
        <c:axId val="630551992"/>
        <c:axId val="630546088"/>
      </c:barChart>
      <c:catAx>
        <c:axId val="630551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crossAx val="630546088"/>
        <c:crosses val="autoZero"/>
        <c:auto val="1"/>
        <c:lblAlgn val="ctr"/>
        <c:lblOffset val="100"/>
        <c:noMultiLvlLbl val="0"/>
      </c:catAx>
      <c:valAx>
        <c:axId val="630546088"/>
        <c:scaling>
          <c:orientation val="minMax"/>
        </c:scaling>
        <c:delete val="1"/>
        <c:axPos val="b"/>
        <c:numFmt formatCode="General" sourceLinked="1"/>
        <c:majorTickMark val="none"/>
        <c:minorTickMark val="none"/>
        <c:tickLblPos val="nextTo"/>
        <c:crossAx val="630551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legend>
    <c:plotVisOnly val="1"/>
    <c:dispBlanksAs val="gap"/>
    <c:showDLblsOverMax val="0"/>
  </c:chart>
  <c:spPr>
    <a:solidFill>
      <a:schemeClr val="bg1"/>
    </a:solidFill>
    <a:ln w="9525" cap="flat" cmpd="sng" algn="ctr">
      <a:noFill/>
      <a:round/>
    </a:ln>
    <a:effectLst/>
  </c:spPr>
  <c:txPr>
    <a:bodyPr/>
    <a:lstStyle/>
    <a:p>
      <a:pPr>
        <a:defRPr>
          <a:latin typeface="EC Square Sans Cond Pro" panose="020B0506040000020004" pitchFamily="34" charset="0"/>
        </a:defRPr>
      </a:pPr>
      <a:endParaRPr lang="en-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AllTargetsAssessed_sum!$B$86</c:f>
              <c:strCache>
                <c:ptCount val="1"/>
                <c:pt idx="0">
                  <c:v>no data</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Pt>
            <c:idx val="4"/>
            <c:invertIfNegative val="0"/>
            <c:bubble3D val="0"/>
            <c:spPr>
              <a:solidFill>
                <a:schemeClr val="bg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39-4953-9BE9-3CE62C087330}"/>
              </c:ext>
            </c:extLst>
          </c:dPt>
          <c:dLbls>
            <c:dLbl>
              <c:idx val="0"/>
              <c:delete val="1"/>
              <c:extLst>
                <c:ext xmlns:c15="http://schemas.microsoft.com/office/drawing/2012/chart" uri="{CE6537A1-D6FC-4f65-9D91-7224C49458BB}"/>
                <c:ext xmlns:c16="http://schemas.microsoft.com/office/drawing/2014/chart" uri="{C3380CC4-5D6E-409C-BE32-E72D297353CC}">
                  <c16:uniqueId val="{00000002-7439-4953-9BE9-3CE62C087330}"/>
                </c:ext>
              </c:extLst>
            </c:dLbl>
            <c:dLbl>
              <c:idx val="2"/>
              <c:layout>
                <c:manualLayout>
                  <c:x val="-4.699490384713647E-3"/>
                  <c:y val="3.472182111278179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39-4953-9BE9-3CE62C087330}"/>
                </c:ext>
              </c:extLst>
            </c:dLbl>
            <c:spPr>
              <a:noFill/>
              <a:ln>
                <a:no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0"/>
              </c:ext>
            </c:extLst>
          </c:dLbls>
          <c:cat>
            <c:strRef>
              <c:f>AllTargetsAssessed_sum!$A$88:$A$94</c:f>
              <c:strCache>
                <c:ptCount val="7"/>
                <c:pt idx="0">
                  <c:v>Climate ambition</c:v>
                </c:pt>
                <c:pt idx="1">
                  <c:v>Clean, affordable and secure energy</c:v>
                </c:pt>
                <c:pt idx="2">
                  <c:v>Industrial strategy for a clean and circular economy</c:v>
                </c:pt>
                <c:pt idx="3">
                  <c:v>Sustainable and smart mobility</c:v>
                </c:pt>
                <c:pt idx="4">
                  <c:v>CAP / Farm to Fork</c:v>
                </c:pt>
                <c:pt idx="5">
                  <c:v>Preserving and protecting biodiversity</c:v>
                </c:pt>
                <c:pt idx="6">
                  <c:v>Towards a zero-pollution ambition</c:v>
                </c:pt>
              </c:strCache>
            </c:strRef>
          </c:cat>
          <c:val>
            <c:numRef>
              <c:f>AllTargetsAssessed_sum!$B$88:$B$94</c:f>
              <c:numCache>
                <c:formatCode>0%</c:formatCode>
                <c:ptCount val="7"/>
                <c:pt idx="0">
                  <c:v>0</c:v>
                </c:pt>
                <c:pt idx="1">
                  <c:v>0</c:v>
                </c:pt>
                <c:pt idx="2">
                  <c:v>1</c:v>
                </c:pt>
                <c:pt idx="3">
                  <c:v>1</c:v>
                </c:pt>
                <c:pt idx="4">
                  <c:v>0</c:v>
                </c:pt>
                <c:pt idx="5">
                  <c:v>0</c:v>
                </c:pt>
                <c:pt idx="6">
                  <c:v>0</c:v>
                </c:pt>
              </c:numCache>
            </c:numRef>
          </c:val>
          <c:extLst>
            <c:ext xmlns:c16="http://schemas.microsoft.com/office/drawing/2014/chart" uri="{C3380CC4-5D6E-409C-BE32-E72D297353CC}">
              <c16:uniqueId val="{00000004-7439-4953-9BE9-3CE62C087330}"/>
            </c:ext>
          </c:extLst>
        </c:ser>
        <c:ser>
          <c:idx val="1"/>
          <c:order val="1"/>
          <c:tx>
            <c:strRef>
              <c:f>AllTargetsAssessed_sum!$C$86</c:f>
              <c:strCache>
                <c:ptCount val="1"/>
                <c:pt idx="0">
                  <c:v>Not progressing</c:v>
                </c:pt>
              </c:strCache>
            </c:strRef>
          </c:tx>
          <c:spPr>
            <a:solidFill>
              <a:srgbClr val="C00000"/>
            </a:solidFill>
            <a:ln>
              <a:noFill/>
            </a:ln>
            <a:effectLst>
              <a:outerShdw blurRad="57150" dist="19050" dir="5400000" algn="ctr" rotWithShape="0">
                <a:srgbClr val="000000">
                  <a:alpha val="63000"/>
                </a:srgbClr>
              </a:outerShdw>
            </a:effectLst>
          </c:spPr>
          <c:invertIfNegative val="0"/>
          <c:dPt>
            <c:idx val="4"/>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439-4953-9BE9-3CE62C087330}"/>
              </c:ext>
            </c:extLst>
          </c:dPt>
          <c:dLbls>
            <c:dLbl>
              <c:idx val="0"/>
              <c:layout>
                <c:manualLayout>
                  <c:x val="-2.7835816342982773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39-4953-9BE9-3CE62C087330}"/>
                </c:ext>
              </c:extLst>
            </c:dLbl>
            <c:dLbl>
              <c:idx val="1"/>
              <c:delete val="1"/>
              <c:extLst>
                <c:ext xmlns:c15="http://schemas.microsoft.com/office/drawing/2012/chart" uri="{CE6537A1-D6FC-4f65-9D91-7224C49458BB}"/>
                <c:ext xmlns:c16="http://schemas.microsoft.com/office/drawing/2014/chart" uri="{C3380CC4-5D6E-409C-BE32-E72D297353CC}">
                  <c16:uniqueId val="{00000008-7439-4953-9BE9-3CE62C087330}"/>
                </c:ext>
              </c:extLst>
            </c:dLbl>
            <c:dLbl>
              <c:idx val="2"/>
              <c:layout>
                <c:manualLayout>
                  <c:x val="-2.8949684739839558E-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39-4953-9BE9-3CE62C087330}"/>
                </c:ext>
              </c:extLst>
            </c:dLbl>
            <c:dLbl>
              <c:idx val="5"/>
              <c:layout>
                <c:manualLayout>
                  <c:x val="-2.0053716235354851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439-4953-9BE9-3CE62C08733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AllTargetsAssessed_sum!$A$88:$A$94</c:f>
              <c:strCache>
                <c:ptCount val="7"/>
                <c:pt idx="0">
                  <c:v>Climate ambition</c:v>
                </c:pt>
                <c:pt idx="1">
                  <c:v>Clean, affordable and secure energy</c:v>
                </c:pt>
                <c:pt idx="2">
                  <c:v>Industrial strategy for a clean and circular economy</c:v>
                </c:pt>
                <c:pt idx="3">
                  <c:v>Sustainable and smart mobility</c:v>
                </c:pt>
                <c:pt idx="4">
                  <c:v>CAP / Farm to Fork</c:v>
                </c:pt>
                <c:pt idx="5">
                  <c:v>Preserving and protecting biodiversity</c:v>
                </c:pt>
                <c:pt idx="6">
                  <c:v>Towards a zero-pollution ambition</c:v>
                </c:pt>
              </c:strCache>
            </c:strRef>
          </c:cat>
          <c:val>
            <c:numRef>
              <c:f>AllTargetsAssessed_sum!$C$88:$C$94</c:f>
              <c:numCache>
                <c:formatCode>0%</c:formatCode>
                <c:ptCount val="7"/>
                <c:pt idx="0">
                  <c:v>0</c:v>
                </c:pt>
                <c:pt idx="1">
                  <c:v>0</c:v>
                </c:pt>
                <c:pt idx="2">
                  <c:v>0</c:v>
                </c:pt>
                <c:pt idx="3">
                  <c:v>0</c:v>
                </c:pt>
                <c:pt idx="4">
                  <c:v>0.5</c:v>
                </c:pt>
                <c:pt idx="5">
                  <c:v>0.5</c:v>
                </c:pt>
                <c:pt idx="6">
                  <c:v>1</c:v>
                </c:pt>
              </c:numCache>
            </c:numRef>
          </c:val>
          <c:extLst>
            <c:ext xmlns:c16="http://schemas.microsoft.com/office/drawing/2014/chart" uri="{C3380CC4-5D6E-409C-BE32-E72D297353CC}">
              <c16:uniqueId val="{0000000B-7439-4953-9BE9-3CE62C087330}"/>
            </c:ext>
          </c:extLst>
        </c:ser>
        <c:ser>
          <c:idx val="2"/>
          <c:order val="2"/>
          <c:tx>
            <c:strRef>
              <c:f>AllTargetsAssessed_sum!$D$86</c:f>
              <c:strCache>
                <c:ptCount val="1"/>
                <c:pt idx="0">
                  <c:v>Acceleration needed</c:v>
                </c:pt>
              </c:strCache>
            </c:strRef>
          </c:tx>
          <c:spPr>
            <a:solidFill>
              <a:schemeClr val="accent4"/>
            </a:solidFill>
            <a:ln>
              <a:noFill/>
            </a:ln>
            <a:effectLst>
              <a:outerShdw blurRad="57150" dist="19050" dir="5400000" algn="ctr" rotWithShape="0">
                <a:srgbClr val="000000">
                  <a:alpha val="63000"/>
                </a:srgbClr>
              </a:outerShdw>
            </a:effectLst>
          </c:spPr>
          <c:invertIfNegative val="0"/>
          <c:dPt>
            <c:idx val="4"/>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439-4953-9BE9-3CE62C08733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AllTargetsAssessed_sum!$A$88:$A$94</c:f>
              <c:strCache>
                <c:ptCount val="7"/>
                <c:pt idx="0">
                  <c:v>Climate ambition</c:v>
                </c:pt>
                <c:pt idx="1">
                  <c:v>Clean, affordable and secure energy</c:v>
                </c:pt>
                <c:pt idx="2">
                  <c:v>Industrial strategy for a clean and circular economy</c:v>
                </c:pt>
                <c:pt idx="3">
                  <c:v>Sustainable and smart mobility</c:v>
                </c:pt>
                <c:pt idx="4">
                  <c:v>CAP / Farm to Fork</c:v>
                </c:pt>
                <c:pt idx="5">
                  <c:v>Preserving and protecting biodiversity</c:v>
                </c:pt>
                <c:pt idx="6">
                  <c:v>Towards a zero-pollution ambition</c:v>
                </c:pt>
              </c:strCache>
            </c:strRef>
          </c:cat>
          <c:val>
            <c:numRef>
              <c:f>AllTargetsAssessed_sum!$D$88:$D$94</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7439-4953-9BE9-3CE62C087330}"/>
            </c:ext>
          </c:extLst>
        </c:ser>
        <c:ser>
          <c:idx val="3"/>
          <c:order val="3"/>
          <c:tx>
            <c:strRef>
              <c:f>AllTargetsAssessed_sum!$E$86</c:f>
              <c:strCache>
                <c:ptCount val="1"/>
                <c:pt idx="0">
                  <c:v>On track to achieve</c:v>
                </c:pt>
              </c:strCache>
            </c:strRef>
          </c:tx>
          <c:spPr>
            <a:solidFill>
              <a:schemeClr val="accent6"/>
            </a:solidFill>
            <a:ln>
              <a:noFill/>
            </a:ln>
            <a:effectLst>
              <a:outerShdw blurRad="57150" dist="19050" dir="5400000" algn="ctr" rotWithShape="0">
                <a:srgbClr val="000000">
                  <a:alpha val="63000"/>
                </a:srgbClr>
              </a:outerShdw>
            </a:effectLst>
          </c:spPr>
          <c:invertIfNegative val="0"/>
          <c:dPt>
            <c:idx val="4"/>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7439-4953-9BE9-3CE62C08733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AllTargetsAssessed_sum!$A$88:$A$94</c:f>
              <c:strCache>
                <c:ptCount val="7"/>
                <c:pt idx="0">
                  <c:v>Climate ambition</c:v>
                </c:pt>
                <c:pt idx="1">
                  <c:v>Clean, affordable and secure energy</c:v>
                </c:pt>
                <c:pt idx="2">
                  <c:v>Industrial strategy for a clean and circular economy</c:v>
                </c:pt>
                <c:pt idx="3">
                  <c:v>Sustainable and smart mobility</c:v>
                </c:pt>
                <c:pt idx="4">
                  <c:v>CAP / Farm to Fork</c:v>
                </c:pt>
                <c:pt idx="5">
                  <c:v>Preserving and protecting biodiversity</c:v>
                </c:pt>
                <c:pt idx="6">
                  <c:v>Towards a zero-pollution ambition</c:v>
                </c:pt>
              </c:strCache>
            </c:strRef>
          </c:cat>
          <c:val>
            <c:numRef>
              <c:f>AllTargetsAssessed_sum!$E$88:$E$94</c:f>
              <c:numCache>
                <c:formatCode>0%</c:formatCode>
                <c:ptCount val="7"/>
                <c:pt idx="0">
                  <c:v>1</c:v>
                </c:pt>
                <c:pt idx="1">
                  <c:v>1</c:v>
                </c:pt>
                <c:pt idx="2">
                  <c:v>0</c:v>
                </c:pt>
                <c:pt idx="3">
                  <c:v>0</c:v>
                </c:pt>
                <c:pt idx="4">
                  <c:v>0.5</c:v>
                </c:pt>
                <c:pt idx="5">
                  <c:v>0.5</c:v>
                </c:pt>
                <c:pt idx="6">
                  <c:v>0</c:v>
                </c:pt>
              </c:numCache>
            </c:numRef>
          </c:val>
          <c:extLst>
            <c:ext xmlns:c16="http://schemas.microsoft.com/office/drawing/2014/chart" uri="{C3380CC4-5D6E-409C-BE32-E72D297353CC}">
              <c16:uniqueId val="{00000011-7439-4953-9BE9-3CE62C087330}"/>
            </c:ext>
          </c:extLst>
        </c:ser>
        <c:dLbls>
          <c:dLblPos val="inEnd"/>
          <c:showLegendKey val="0"/>
          <c:showVal val="1"/>
          <c:showCatName val="0"/>
          <c:showSerName val="0"/>
          <c:showPercent val="0"/>
          <c:showBubbleSize val="0"/>
        </c:dLbls>
        <c:gapWidth val="57"/>
        <c:overlap val="100"/>
        <c:axId val="630551992"/>
        <c:axId val="630546088"/>
      </c:barChart>
      <c:catAx>
        <c:axId val="630551992"/>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crossAx val="630546088"/>
        <c:crosses val="autoZero"/>
        <c:auto val="1"/>
        <c:lblAlgn val="ctr"/>
        <c:lblOffset val="100"/>
        <c:noMultiLvlLbl val="0"/>
      </c:catAx>
      <c:valAx>
        <c:axId val="630546088"/>
        <c:scaling>
          <c:orientation val="minMax"/>
        </c:scaling>
        <c:delete val="1"/>
        <c:axPos val="t"/>
        <c:numFmt formatCode="0%" sourceLinked="1"/>
        <c:majorTickMark val="none"/>
        <c:minorTickMark val="none"/>
        <c:tickLblPos val="nextTo"/>
        <c:crossAx val="630551992"/>
        <c:crosses val="autoZero"/>
        <c:crossBetween val="between"/>
      </c:valAx>
      <c:spPr>
        <a:noFill/>
        <a:ln>
          <a:noFill/>
        </a:ln>
        <a:effectLst/>
      </c:spPr>
    </c:plotArea>
    <c:legend>
      <c:legendPos val="b"/>
      <c:layout>
        <c:manualLayout>
          <c:xMode val="edge"/>
          <c:yMode val="edge"/>
          <c:x val="0.3409587928607844"/>
          <c:y val="0.89666338582677163"/>
          <c:w val="0.64232773439712754"/>
          <c:h val="7.5558836395450579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legend>
    <c:plotVisOnly val="1"/>
    <c:dispBlanksAs val="gap"/>
    <c:showDLblsOverMax val="0"/>
  </c:chart>
  <c:spPr>
    <a:solidFill>
      <a:schemeClr val="bg1"/>
    </a:solidFill>
    <a:ln w="9525" cap="flat" cmpd="sng" algn="ctr">
      <a:noFill/>
      <a:round/>
    </a:ln>
    <a:effectLst/>
  </c:spPr>
  <c:txPr>
    <a:bodyPr/>
    <a:lstStyle/>
    <a:p>
      <a:pPr>
        <a:defRPr>
          <a:latin typeface="EC Square Sans Cond Pro" panose="020B0506040000020004" pitchFamily="34" charset="0"/>
        </a:defRPr>
      </a:pPr>
      <a:endParaRPr lang="en-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r>
              <a:rPr lang="en-US"/>
              <a:t>Total assessment: Targets from</a:t>
            </a:r>
            <a:r>
              <a:rPr lang="en-US" baseline="0"/>
              <a:t> </a:t>
            </a:r>
            <a:r>
              <a:rPr lang="en-US"/>
              <a:t>legal acts</a:t>
            </a:r>
          </a:p>
        </c:rich>
      </c:tx>
      <c:layout>
        <c:manualLayout>
          <c:xMode val="edge"/>
          <c:yMode val="edge"/>
          <c:x val="0.2767222222222222"/>
          <c:y val="3.83693045563549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title>
    <c:autoTitleDeleted val="0"/>
    <c:plotArea>
      <c:layout>
        <c:manualLayout>
          <c:layoutTarget val="inner"/>
          <c:xMode val="edge"/>
          <c:yMode val="edge"/>
          <c:x val="0.29171609798775155"/>
          <c:y val="0.18665911540639787"/>
          <c:w val="0.67772834645669289"/>
          <c:h val="0.76229680106691999"/>
        </c:manualLayout>
      </c:layout>
      <c:barChart>
        <c:barDir val="bar"/>
        <c:grouping val="clustered"/>
        <c:varyColors val="0"/>
        <c:ser>
          <c:idx val="0"/>
          <c:order val="0"/>
          <c:tx>
            <c:strRef>
              <c:f>AllTargetsAssessed_sum!$A$63</c:f>
              <c:strCache>
                <c:ptCount val="1"/>
                <c:pt idx="0">
                  <c:v>Legal act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04-4FA8-957C-28B1509DA025}"/>
              </c:ext>
            </c:extLst>
          </c:dPt>
          <c:dPt>
            <c:idx val="1"/>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04-4FA8-957C-28B1509DA025}"/>
              </c:ext>
            </c:extLst>
          </c:dPt>
          <c:dPt>
            <c:idx val="2"/>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04-4FA8-957C-28B1509DA025}"/>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E04-4FA8-957C-28B1509DA025}"/>
              </c:ext>
            </c:extLst>
          </c:dPt>
          <c:dLbls>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0"/>
              </c:ext>
            </c:extLst>
          </c:dLbls>
          <c:cat>
            <c:strRef>
              <c:f>AllTargetsAssessed_sum!$B$61:$E$61</c:f>
              <c:strCache>
                <c:ptCount val="4"/>
                <c:pt idx="0">
                  <c:v>no data</c:v>
                </c:pt>
                <c:pt idx="1">
                  <c:v>Not progressing</c:v>
                </c:pt>
                <c:pt idx="2">
                  <c:v>Acceleration needed</c:v>
                </c:pt>
                <c:pt idx="3">
                  <c:v>On track</c:v>
                </c:pt>
              </c:strCache>
            </c:strRef>
          </c:cat>
          <c:val>
            <c:numRef>
              <c:f>AllTargetsAssessed_sum!$B$63:$E$63</c:f>
              <c:numCache>
                <c:formatCode>General</c:formatCode>
                <c:ptCount val="4"/>
                <c:pt idx="0">
                  <c:v>0</c:v>
                </c:pt>
                <c:pt idx="1">
                  <c:v>3</c:v>
                </c:pt>
                <c:pt idx="2">
                  <c:v>1</c:v>
                </c:pt>
                <c:pt idx="3">
                  <c:v>13</c:v>
                </c:pt>
              </c:numCache>
            </c:numRef>
          </c:val>
          <c:extLst>
            <c:ext xmlns:c16="http://schemas.microsoft.com/office/drawing/2014/chart" uri="{C3380CC4-5D6E-409C-BE32-E72D297353CC}">
              <c16:uniqueId val="{00000008-FE04-4FA8-957C-28B1509DA025}"/>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AllTargetsAssessed_sum!$B$61:$E$61</c:f>
              <c:strCache>
                <c:ptCount val="4"/>
                <c:pt idx="0">
                  <c:v>no data</c:v>
                </c:pt>
                <c:pt idx="1">
                  <c:v>Not progressing</c:v>
                </c:pt>
                <c:pt idx="2">
                  <c:v>Acceleration needed</c:v>
                </c:pt>
                <c:pt idx="3">
                  <c:v>On track</c:v>
                </c:pt>
              </c:strCache>
            </c:strRef>
          </c:cat>
          <c:val>
            <c:numRef>
              <c:f>AllTargetsAssessed_sum!#REF!</c:f>
              <c:numCache>
                <c:formatCode>General</c:formatCode>
                <c:ptCount val="1"/>
                <c:pt idx="0">
                  <c:v>1</c:v>
                </c:pt>
              </c:numCache>
            </c:numRef>
          </c:val>
          <c:extLst>
            <c:ext xmlns:c16="http://schemas.microsoft.com/office/drawing/2014/chart" uri="{C3380CC4-5D6E-409C-BE32-E72D297353CC}">
              <c16:uniqueId val="{00000008-491B-4129-8539-47101ADA920C}"/>
            </c:ext>
          </c:extLst>
        </c:ser>
        <c:dLbls>
          <c:dLblPos val="inEnd"/>
          <c:showLegendKey val="0"/>
          <c:showVal val="1"/>
          <c:showCatName val="0"/>
          <c:showSerName val="0"/>
          <c:showPercent val="0"/>
          <c:showBubbleSize val="0"/>
        </c:dLbls>
        <c:gapWidth val="86"/>
        <c:overlap val="40"/>
        <c:axId val="630551992"/>
        <c:axId val="630546088"/>
      </c:barChart>
      <c:catAx>
        <c:axId val="630551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crossAx val="630546088"/>
        <c:crosses val="autoZero"/>
        <c:auto val="1"/>
        <c:lblAlgn val="ctr"/>
        <c:lblOffset val="100"/>
        <c:noMultiLvlLbl val="0"/>
      </c:catAx>
      <c:valAx>
        <c:axId val="630546088"/>
        <c:scaling>
          <c:orientation val="minMax"/>
        </c:scaling>
        <c:delete val="1"/>
        <c:axPos val="b"/>
        <c:numFmt formatCode="General" sourceLinked="1"/>
        <c:majorTickMark val="none"/>
        <c:minorTickMark val="none"/>
        <c:tickLblPos val="nextTo"/>
        <c:crossAx val="6305519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EC Square Sans Cond Pro" panose="020B0506040000020004" pitchFamily="34" charset="0"/>
        </a:defRPr>
      </a:pPr>
      <a:endParaRPr lang="en-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r>
              <a:rPr lang="en-US"/>
              <a:t>Total assessment: targets from proposals</a:t>
            </a:r>
          </a:p>
        </c:rich>
      </c:tx>
      <c:layout>
        <c:manualLayout>
          <c:xMode val="edge"/>
          <c:yMode val="edge"/>
          <c:x val="0.2767222222222222"/>
          <c:y val="3.83693045563549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title>
    <c:autoTitleDeleted val="0"/>
    <c:plotArea>
      <c:layout>
        <c:manualLayout>
          <c:layoutTarget val="inner"/>
          <c:xMode val="edge"/>
          <c:yMode val="edge"/>
          <c:x val="0.29171609798775155"/>
          <c:y val="0.18665911540639787"/>
          <c:w val="0.67772834645669289"/>
          <c:h val="0.76229680106691999"/>
        </c:manualLayout>
      </c:layout>
      <c:barChart>
        <c:barDir val="bar"/>
        <c:grouping val="clustered"/>
        <c:varyColors val="0"/>
        <c:ser>
          <c:idx val="0"/>
          <c:order val="0"/>
          <c:tx>
            <c:strRef>
              <c:f>AllTargetsAssessed_sum!$A$64</c:f>
              <c:strCache>
                <c:ptCount val="1"/>
                <c:pt idx="0">
                  <c:v>Proposal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3C-4D47-B8C9-35677DFCF030}"/>
              </c:ext>
            </c:extLst>
          </c:dPt>
          <c:dPt>
            <c:idx val="1"/>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3C-4D47-B8C9-35677DFCF030}"/>
              </c:ext>
            </c:extLst>
          </c:dPt>
          <c:dPt>
            <c:idx val="2"/>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A3C-4D47-B8C9-35677DFCF030}"/>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A3C-4D47-B8C9-35677DFCF030}"/>
              </c:ext>
            </c:extLst>
          </c:dPt>
          <c:dLbls>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0"/>
              </c:ext>
            </c:extLst>
          </c:dLbls>
          <c:cat>
            <c:strRef>
              <c:f>AllTargetsAssessed_sum!$B$61:$E$61</c:f>
              <c:strCache>
                <c:ptCount val="4"/>
                <c:pt idx="0">
                  <c:v>no data</c:v>
                </c:pt>
                <c:pt idx="1">
                  <c:v>Not progressing</c:v>
                </c:pt>
                <c:pt idx="2">
                  <c:v>Acceleration needed</c:v>
                </c:pt>
                <c:pt idx="3">
                  <c:v>On track</c:v>
                </c:pt>
              </c:strCache>
            </c:strRef>
          </c:cat>
          <c:val>
            <c:numRef>
              <c:f>AllTargetsAssessed_sum!$B$64:$E$64</c:f>
              <c:numCache>
                <c:formatCode>General</c:formatCode>
                <c:ptCount val="4"/>
                <c:pt idx="0">
                  <c:v>1</c:v>
                </c:pt>
                <c:pt idx="1">
                  <c:v>2</c:v>
                </c:pt>
                <c:pt idx="2">
                  <c:v>0</c:v>
                </c:pt>
                <c:pt idx="3">
                  <c:v>0</c:v>
                </c:pt>
              </c:numCache>
            </c:numRef>
          </c:val>
          <c:extLst>
            <c:ext xmlns:c16="http://schemas.microsoft.com/office/drawing/2014/chart" uri="{C3380CC4-5D6E-409C-BE32-E72D297353CC}">
              <c16:uniqueId val="{00000008-4A3C-4D47-B8C9-35677DFCF030}"/>
            </c:ext>
          </c:extLst>
        </c:ser>
        <c:dLbls>
          <c:dLblPos val="inEnd"/>
          <c:showLegendKey val="0"/>
          <c:showVal val="1"/>
          <c:showCatName val="0"/>
          <c:showSerName val="0"/>
          <c:showPercent val="0"/>
          <c:showBubbleSize val="0"/>
        </c:dLbls>
        <c:gapWidth val="86"/>
        <c:overlap val="40"/>
        <c:axId val="630551992"/>
        <c:axId val="630546088"/>
      </c:barChart>
      <c:catAx>
        <c:axId val="630551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crossAx val="630546088"/>
        <c:crosses val="autoZero"/>
        <c:auto val="1"/>
        <c:lblAlgn val="ctr"/>
        <c:lblOffset val="100"/>
        <c:noMultiLvlLbl val="0"/>
      </c:catAx>
      <c:valAx>
        <c:axId val="630546088"/>
        <c:scaling>
          <c:orientation val="minMax"/>
        </c:scaling>
        <c:delete val="1"/>
        <c:axPos val="b"/>
        <c:numFmt formatCode="General" sourceLinked="1"/>
        <c:majorTickMark val="none"/>
        <c:minorTickMark val="none"/>
        <c:tickLblPos val="nextTo"/>
        <c:crossAx val="6305519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EC Square Sans Cond Pro" panose="020B0506040000020004" pitchFamily="34" charset="0"/>
        </a:defRPr>
      </a:pPr>
      <a:endParaRPr lang="en-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r>
              <a:rPr lang="en-US"/>
              <a:t>Total assessment: targets from Comm - quantified</a:t>
            </a:r>
          </a:p>
        </c:rich>
      </c:tx>
      <c:layout>
        <c:manualLayout>
          <c:xMode val="edge"/>
          <c:yMode val="edge"/>
          <c:x val="0.2767222222222222"/>
          <c:y val="3.83693045563549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title>
    <c:autoTitleDeleted val="0"/>
    <c:plotArea>
      <c:layout>
        <c:manualLayout>
          <c:layoutTarget val="inner"/>
          <c:xMode val="edge"/>
          <c:yMode val="edge"/>
          <c:x val="0.29171609798775155"/>
          <c:y val="0.18665911540639787"/>
          <c:w val="0.67772834645669289"/>
          <c:h val="0.76229680106691999"/>
        </c:manualLayout>
      </c:layout>
      <c:barChart>
        <c:barDir val="bar"/>
        <c:grouping val="clustered"/>
        <c:varyColors val="0"/>
        <c:ser>
          <c:idx val="0"/>
          <c:order val="0"/>
          <c:tx>
            <c:strRef>
              <c:f>AllTargetsAssessed_sum!$A$65</c:f>
              <c:strCache>
                <c:ptCount val="1"/>
                <c:pt idx="0">
                  <c:v>Communication - quantified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6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84-43A1-9695-61E22E8EFAFF}"/>
              </c:ext>
            </c:extLst>
          </c:dPt>
          <c:dPt>
            <c:idx val="1"/>
            <c:invertIfNegative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84-43A1-9695-61E22E8EFAFF}"/>
              </c:ext>
            </c:extLst>
          </c:dPt>
          <c:dPt>
            <c:idx val="2"/>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84-43A1-9695-61E22E8EFAFF}"/>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484-43A1-9695-61E22E8EFAFF}"/>
              </c:ext>
            </c:extLst>
          </c:dPt>
          <c:dLbls>
            <c:spPr>
              <a:solidFill>
                <a:schemeClr val="lt1"/>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0"/>
              </c:ext>
            </c:extLst>
          </c:dLbls>
          <c:cat>
            <c:strRef>
              <c:f>AllTargetsAssessed_sum!$B$61:$E$61</c:f>
              <c:strCache>
                <c:ptCount val="4"/>
                <c:pt idx="0">
                  <c:v>no data</c:v>
                </c:pt>
                <c:pt idx="1">
                  <c:v>Not progressing</c:v>
                </c:pt>
                <c:pt idx="2">
                  <c:v>Acceleration needed</c:v>
                </c:pt>
                <c:pt idx="3">
                  <c:v>On track</c:v>
                </c:pt>
              </c:strCache>
            </c:strRef>
          </c:cat>
          <c:val>
            <c:numRef>
              <c:f>AllTargetsAssessed_sum!$B$65:$E$65</c:f>
              <c:numCache>
                <c:formatCode>General</c:formatCode>
                <c:ptCount val="4"/>
                <c:pt idx="0">
                  <c:v>3</c:v>
                </c:pt>
                <c:pt idx="1">
                  <c:v>10</c:v>
                </c:pt>
                <c:pt idx="2">
                  <c:v>3</c:v>
                </c:pt>
                <c:pt idx="3">
                  <c:v>27</c:v>
                </c:pt>
              </c:numCache>
            </c:numRef>
          </c:val>
          <c:extLst>
            <c:ext xmlns:c16="http://schemas.microsoft.com/office/drawing/2014/chart" uri="{C3380CC4-5D6E-409C-BE32-E72D297353CC}">
              <c16:uniqueId val="{00000008-1484-43A1-9695-61E22E8EFAFF}"/>
            </c:ext>
          </c:extLst>
        </c:ser>
        <c:dLbls>
          <c:dLblPos val="inEnd"/>
          <c:showLegendKey val="0"/>
          <c:showVal val="1"/>
          <c:showCatName val="0"/>
          <c:showSerName val="0"/>
          <c:showPercent val="0"/>
          <c:showBubbleSize val="0"/>
        </c:dLbls>
        <c:gapWidth val="86"/>
        <c:overlap val="40"/>
        <c:axId val="630551992"/>
        <c:axId val="630546088"/>
      </c:barChart>
      <c:catAx>
        <c:axId val="630551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crossAx val="630546088"/>
        <c:crosses val="autoZero"/>
        <c:auto val="1"/>
        <c:lblAlgn val="ctr"/>
        <c:lblOffset val="100"/>
        <c:noMultiLvlLbl val="0"/>
      </c:catAx>
      <c:valAx>
        <c:axId val="630546088"/>
        <c:scaling>
          <c:orientation val="minMax"/>
        </c:scaling>
        <c:delete val="1"/>
        <c:axPos val="b"/>
        <c:numFmt formatCode="General" sourceLinked="1"/>
        <c:majorTickMark val="none"/>
        <c:minorTickMark val="none"/>
        <c:tickLblPos val="nextTo"/>
        <c:crossAx val="6305519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EC Square Sans Cond Pro" panose="020B0506040000020004" pitchFamily="34" charset="0"/>
        </a:defRPr>
      </a:pPr>
      <a:endParaRPr lang="en-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r>
              <a:rPr lang="en-US"/>
              <a:t>Climate ambition</a:t>
            </a:r>
            <a:endParaRPr lang="en-US" i="1"/>
          </a:p>
        </c:rich>
      </c:tx>
      <c:layout>
        <c:manualLayout>
          <c:xMode val="edge"/>
          <c:yMode val="edge"/>
          <c:x val="0.2767222222222222"/>
          <c:y val="3.83693045563549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title>
    <c:autoTitleDeleted val="0"/>
    <c:plotArea>
      <c:layout>
        <c:manualLayout>
          <c:layoutTarget val="inner"/>
          <c:xMode val="edge"/>
          <c:yMode val="edge"/>
          <c:x val="0.29171609798775155"/>
          <c:y val="0.18665911540639787"/>
          <c:w val="0.67772834645669289"/>
          <c:h val="0.68212797767367683"/>
        </c:manualLayout>
      </c:layout>
      <c:barChart>
        <c:barDir val="bar"/>
        <c:grouping val="stacked"/>
        <c:varyColors val="0"/>
        <c:ser>
          <c:idx val="0"/>
          <c:order val="0"/>
          <c:tx>
            <c:strRef>
              <c:f>AllTargetsAssessed_sum!$A$103</c:f>
              <c:strCache>
                <c:ptCount val="1"/>
                <c:pt idx="0">
                  <c:v>Legal acts</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F56A7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5D4-4B76-9443-AAFA1440447C}"/>
              </c:ext>
            </c:extLst>
          </c:dPt>
          <c:dPt>
            <c:idx val="2"/>
            <c:invertIfNegative val="0"/>
            <c:bubble3D val="0"/>
            <c:spPr>
              <a:solidFill>
                <a:srgbClr val="F9A13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5D4-4B76-9443-AAFA1440447C}"/>
              </c:ext>
            </c:extLst>
          </c:dPt>
          <c:dPt>
            <c:idx val="3"/>
            <c:invertIfNegative val="0"/>
            <c:bubble3D val="0"/>
            <c:spPr>
              <a:solidFill>
                <a:srgbClr val="99CA3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5D4-4B76-9443-AAFA144044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F4F"/>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AllTargetsAssessed_sum!$B$101:$E$101</c:f>
              <c:strCache>
                <c:ptCount val="4"/>
                <c:pt idx="0">
                  <c:v>no data</c:v>
                </c:pt>
                <c:pt idx="1">
                  <c:v>Not progressing</c:v>
                </c:pt>
                <c:pt idx="2">
                  <c:v>Acceleration needed</c:v>
                </c:pt>
                <c:pt idx="3">
                  <c:v>On track</c:v>
                </c:pt>
              </c:strCache>
            </c:strRef>
          </c:cat>
          <c:val>
            <c:numRef>
              <c:f>AllTargetsAssessed_sum!$B$103:$E$103</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08-35D4-4B76-9443-AAFA1440447C}"/>
            </c:ext>
          </c:extLst>
        </c:ser>
        <c:ser>
          <c:idx val="1"/>
          <c:order val="1"/>
          <c:tx>
            <c:strRef>
              <c:f>AllTargetsAssessed_sum!$A$104</c:f>
              <c:strCache>
                <c:ptCount val="1"/>
                <c:pt idx="0">
                  <c:v>Proposals</c:v>
                </c:pt>
              </c:strCache>
            </c:strRef>
          </c:tx>
          <c:spPr>
            <a:solidFill>
              <a:schemeClr val="bg1">
                <a:lumMod val="7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DAF-484B-9EBC-29E7CE2BCF77}"/>
              </c:ext>
            </c:extLst>
          </c:dPt>
          <c:dPt>
            <c:idx val="1"/>
            <c:invertIfNegative val="0"/>
            <c:bubble3D val="0"/>
            <c:spPr>
              <a:solidFill>
                <a:schemeClr val="bg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DAF-484B-9EBC-29E7CE2BCF77}"/>
              </c:ext>
            </c:extLst>
          </c:dPt>
          <c:dPt>
            <c:idx val="2"/>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DAF-484B-9EBC-29E7CE2BCF77}"/>
              </c:ext>
            </c:extLst>
          </c:dPt>
          <c:dPt>
            <c:idx val="3"/>
            <c:invertIfNegative val="0"/>
            <c:bubble3D val="0"/>
            <c:spPr>
              <a:solidFill>
                <a:srgbClr val="C2DF8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DAF-484B-9EBC-29E7CE2BCF77}"/>
              </c:ext>
            </c:extLst>
          </c:dPt>
          <c:dLbls>
            <c:dLbl>
              <c:idx val="0"/>
              <c:delete val="1"/>
              <c:extLst>
                <c:ext xmlns:c15="http://schemas.microsoft.com/office/drawing/2012/chart" uri="{CE6537A1-D6FC-4f65-9D91-7224C49458BB}"/>
                <c:ext xmlns:c16="http://schemas.microsoft.com/office/drawing/2014/chart" uri="{C3380CC4-5D6E-409C-BE32-E72D297353CC}">
                  <c16:uniqueId val="{00000007-3DAF-484B-9EBC-29E7CE2BCF77}"/>
                </c:ext>
              </c:extLst>
            </c:dLbl>
            <c:dLbl>
              <c:idx val="1"/>
              <c:delete val="1"/>
              <c:extLst>
                <c:ext xmlns:c15="http://schemas.microsoft.com/office/drawing/2012/chart" uri="{CE6537A1-D6FC-4f65-9D91-7224C49458BB}"/>
                <c:ext xmlns:c16="http://schemas.microsoft.com/office/drawing/2014/chart" uri="{C3380CC4-5D6E-409C-BE32-E72D297353CC}">
                  <c16:uniqueId val="{00000009-3DAF-484B-9EBC-29E7CE2BCF7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AllTargetsAssessed_sum!$B$101:$E$101</c:f>
              <c:strCache>
                <c:ptCount val="4"/>
                <c:pt idx="0">
                  <c:v>no data</c:v>
                </c:pt>
                <c:pt idx="1">
                  <c:v>Not progressing</c:v>
                </c:pt>
                <c:pt idx="2">
                  <c:v>Acceleration needed</c:v>
                </c:pt>
                <c:pt idx="3">
                  <c:v>On track</c:v>
                </c:pt>
              </c:strCache>
            </c:strRef>
          </c:cat>
          <c:val>
            <c:numRef>
              <c:f>AllTargetsAssessed_sum!$B$104:$E$104</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1F-D2E5-4891-9772-889CD322DF6C}"/>
            </c:ext>
          </c:extLst>
        </c:ser>
        <c:ser>
          <c:idx val="2"/>
          <c:order val="2"/>
          <c:tx>
            <c:strRef>
              <c:f>AllTargetsAssessed_sum!$A$105</c:f>
              <c:strCache>
                <c:ptCount val="1"/>
                <c:pt idx="0">
                  <c:v>Communications</c:v>
                </c:pt>
              </c:strCache>
            </c:strRef>
          </c:tx>
          <c:spPr>
            <a:pattFill prst="pct25">
              <a:fgClr>
                <a:srgbClr val="C2DF8A"/>
              </a:fgClr>
              <a:bgClr>
                <a:schemeClr val="bg1"/>
              </a:bgClr>
            </a:pattFill>
            <a:ln>
              <a:noFill/>
            </a:ln>
            <a:effectLst>
              <a:outerShdw blurRad="57150" dist="19050" dir="5400000" algn="ctr" rotWithShape="0">
                <a:srgbClr val="000000">
                  <a:alpha val="63000"/>
                </a:srgbClr>
              </a:outerShdw>
            </a:effectLst>
          </c:spPr>
          <c:invertIfNegative val="0"/>
          <c:dPt>
            <c:idx val="0"/>
            <c:invertIfNegative val="0"/>
            <c:bubble3D val="0"/>
            <c:spPr>
              <a:pattFill prst="pct25">
                <a:fgClr>
                  <a:schemeClr val="bg1">
                    <a:lumMod val="65000"/>
                  </a:schemeClr>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DAF-484B-9EBC-29E7CE2BCF77}"/>
              </c:ext>
            </c:extLst>
          </c:dPt>
          <c:dPt>
            <c:idx val="1"/>
            <c:invertIfNegative val="0"/>
            <c:bubble3D val="0"/>
            <c:spPr>
              <a:pattFill prst="pct25">
                <a:fgClr>
                  <a:srgbClr val="C2DF8A"/>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DAF-484B-9EBC-29E7CE2BCF77}"/>
              </c:ext>
            </c:extLst>
          </c:dPt>
          <c:dPt>
            <c:idx val="2"/>
            <c:invertIfNegative val="0"/>
            <c:bubble3D val="0"/>
            <c:spPr>
              <a:pattFill prst="pct25">
                <a:fgClr>
                  <a:srgbClr val="F9A13E"/>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DAF-484B-9EBC-29E7CE2BCF77}"/>
              </c:ext>
            </c:extLst>
          </c:dPt>
          <c:dPt>
            <c:idx val="3"/>
            <c:invertIfNegative val="0"/>
            <c:bubble3D val="0"/>
            <c:spPr>
              <a:pattFill prst="pct25">
                <a:fgClr>
                  <a:srgbClr val="C2DF8A"/>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DAF-484B-9EBC-29E7CE2BCF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AllTargetsAssessed_sum!$B$101:$E$101</c:f>
              <c:strCache>
                <c:ptCount val="4"/>
                <c:pt idx="0">
                  <c:v>no data</c:v>
                </c:pt>
                <c:pt idx="1">
                  <c:v>Not progressing</c:v>
                </c:pt>
                <c:pt idx="2">
                  <c:v>Acceleration needed</c:v>
                </c:pt>
                <c:pt idx="3">
                  <c:v>On track</c:v>
                </c:pt>
              </c:strCache>
            </c:strRef>
          </c:cat>
          <c:val>
            <c:numRef>
              <c:f>AllTargetsAssessed_sum!$B$105:$E$105</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20-D2E5-4891-9772-889CD322DF6C}"/>
            </c:ext>
          </c:extLst>
        </c:ser>
        <c:dLbls>
          <c:dLblPos val="inEnd"/>
          <c:showLegendKey val="0"/>
          <c:showVal val="1"/>
          <c:showCatName val="0"/>
          <c:showSerName val="0"/>
          <c:showPercent val="0"/>
          <c:showBubbleSize val="0"/>
        </c:dLbls>
        <c:gapWidth val="22"/>
        <c:overlap val="100"/>
        <c:axId val="630551992"/>
        <c:axId val="630546088"/>
      </c:barChart>
      <c:catAx>
        <c:axId val="630551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crossAx val="630546088"/>
        <c:crosses val="autoZero"/>
        <c:auto val="1"/>
        <c:lblAlgn val="ctr"/>
        <c:lblOffset val="100"/>
        <c:noMultiLvlLbl val="0"/>
      </c:catAx>
      <c:valAx>
        <c:axId val="630546088"/>
        <c:scaling>
          <c:orientation val="minMax"/>
        </c:scaling>
        <c:delete val="1"/>
        <c:axPos val="b"/>
        <c:numFmt formatCode="General" sourceLinked="1"/>
        <c:majorTickMark val="none"/>
        <c:minorTickMark val="none"/>
        <c:tickLblPos val="nextTo"/>
        <c:crossAx val="630551992"/>
        <c:crosses val="autoZero"/>
        <c:crossBetween val="between"/>
      </c:valAx>
      <c:spPr>
        <a:noFill/>
        <a:ln>
          <a:noFill/>
        </a:ln>
        <a:effectLst/>
      </c:spPr>
    </c:plotArea>
    <c:legend>
      <c:legendPos val="b"/>
      <c:layout>
        <c:manualLayout>
          <c:xMode val="edge"/>
          <c:yMode val="edge"/>
          <c:x val="0.48442578011081938"/>
          <c:y val="0.90581979467756402"/>
          <c:w val="0.42056642919635046"/>
          <c:h val="6.88637496262334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legend>
    <c:plotVisOnly val="1"/>
    <c:dispBlanksAs val="gap"/>
    <c:showDLblsOverMax val="0"/>
  </c:chart>
  <c:spPr>
    <a:solidFill>
      <a:schemeClr val="bg1"/>
    </a:solidFill>
    <a:ln w="9525" cap="flat" cmpd="sng" algn="ctr">
      <a:noFill/>
      <a:round/>
    </a:ln>
    <a:effectLst/>
  </c:spPr>
  <c:txPr>
    <a:bodyPr/>
    <a:lstStyle/>
    <a:p>
      <a:pPr>
        <a:defRPr>
          <a:latin typeface="EC Square Sans Cond Pro" panose="020B0506040000020004" pitchFamily="34" charset="0"/>
        </a:defRPr>
      </a:pPr>
      <a:endParaRPr lang="en-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bg1">
                <a:lumMod val="6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0"/>
              </c:ext>
            </c:extLst>
          </c:dLbls>
          <c:val>
            <c:numRef>
              <c:f>AllTargetsAssessed_sum!#REF!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AllTargetsAssessed_sum!#REF!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AllTargetsAssessed_sum!#REF!</c15:sqref>
                        </c15:formulaRef>
                      </c:ext>
                    </c:extLst>
                    <c:strCache>
                      <c:ptCount val="1"/>
                      <c:pt idx="0">
                        <c:v>#REF!</c:v>
                      </c:pt>
                    </c:strCache>
                  </c:strRef>
                </c15:cat>
              </c15:filteredCategoryTitle>
            </c:ext>
            <c:ext xmlns:c16="http://schemas.microsoft.com/office/drawing/2014/chart" uri="{C3380CC4-5D6E-409C-BE32-E72D297353CC}">
              <c16:uniqueId val="{00000000-7E56-4885-89EA-13006A952BA5}"/>
            </c:ext>
          </c:extLst>
        </c:ser>
        <c:ser>
          <c:idx val="1"/>
          <c:order val="1"/>
          <c:spPr>
            <a:solidFill>
              <a:srgbClr val="F56A7D"/>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AllTargetsAssessed_sum!#REF!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AllTargetsAssessed_sum!#REF!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AllTargetsAssessed_sum!#REF!</c15:sqref>
                        </c15:formulaRef>
                      </c:ext>
                    </c:extLst>
                    <c:strCache>
                      <c:ptCount val="1"/>
                      <c:pt idx="0">
                        <c:v>#REF!</c:v>
                      </c:pt>
                    </c:strCache>
                  </c:strRef>
                </c15:cat>
              </c15:filteredCategoryTitle>
            </c:ext>
            <c:ext xmlns:c16="http://schemas.microsoft.com/office/drawing/2014/chart" uri="{C3380CC4-5D6E-409C-BE32-E72D297353CC}">
              <c16:uniqueId val="{00000001-7E56-4885-89EA-13006A952BA5}"/>
            </c:ext>
          </c:extLst>
        </c:ser>
        <c:ser>
          <c:idx val="2"/>
          <c:order val="2"/>
          <c:spPr>
            <a:solidFill>
              <a:srgbClr val="F9A13E"/>
            </a:solidFill>
            <a:ln>
              <a:noFill/>
            </a:ln>
            <a:effectLst>
              <a:outerShdw blurRad="57150" dist="19050" dir="5400000" algn="ctr" rotWithShape="0">
                <a:srgbClr val="000000">
                  <a:alpha val="63000"/>
                </a:srgbClr>
              </a:outerShdw>
            </a:effectLst>
          </c:spPr>
          <c:invertIfNegative val="0"/>
          <c:dLbls>
            <c:delete val="1"/>
          </c:dLbls>
          <c:val>
            <c:numRef>
              <c:f>AllTargetsAssessed_sum!#REF!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AllTargetsAssessed_sum!#REF!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AllTargetsAssessed_sum!#REF!</c15:sqref>
                        </c15:formulaRef>
                      </c:ext>
                    </c:extLst>
                    <c:strCache>
                      <c:ptCount val="1"/>
                      <c:pt idx="0">
                        <c:v>#REF!</c:v>
                      </c:pt>
                    </c:strCache>
                  </c:strRef>
                </c15:cat>
              </c15:filteredCategoryTitle>
            </c:ext>
            <c:ext xmlns:c16="http://schemas.microsoft.com/office/drawing/2014/chart" uri="{C3380CC4-5D6E-409C-BE32-E72D297353CC}">
              <c16:uniqueId val="{00000003-7E56-4885-89EA-13006A952BA5}"/>
            </c:ext>
          </c:extLst>
        </c:ser>
        <c:ser>
          <c:idx val="3"/>
          <c:order val="3"/>
          <c:spPr>
            <a:solidFill>
              <a:srgbClr val="99CA3C"/>
            </a:solidFill>
            <a:ln>
              <a:noFill/>
            </a:ln>
            <a:effectLst>
              <a:outerShdw blurRad="57150" dist="19050" dir="5400000" algn="ctr" rotWithShape="0">
                <a:srgbClr val="000000">
                  <a:alpha val="63000"/>
                </a:srgbClr>
              </a:outerShd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7E56-4885-89EA-13006A952BA5}"/>
                </c:ext>
              </c:extLst>
            </c:dLbl>
            <c:dLbl>
              <c:idx val="3"/>
              <c:delete val="1"/>
              <c:extLst>
                <c:ext xmlns:c15="http://schemas.microsoft.com/office/drawing/2012/chart" uri="{CE6537A1-D6FC-4f65-9D91-7224C49458BB}"/>
                <c:ext xmlns:c16="http://schemas.microsoft.com/office/drawing/2014/chart" uri="{C3380CC4-5D6E-409C-BE32-E72D297353CC}">
                  <c16:uniqueId val="{00000005-7E56-4885-89EA-13006A952BA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AllTargetsAssessed_sum!#REF!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AllTargetsAssessed_sum!#REF!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AllTargetsAssessed_sum!#REF!</c15:sqref>
                        </c15:formulaRef>
                      </c:ext>
                    </c:extLst>
                    <c:strCache>
                      <c:ptCount val="1"/>
                      <c:pt idx="0">
                        <c:v>#REF!</c:v>
                      </c:pt>
                    </c:strCache>
                  </c:strRef>
                </c15:cat>
              </c15:filteredCategoryTitle>
            </c:ext>
            <c:ext xmlns:c16="http://schemas.microsoft.com/office/drawing/2014/chart" uri="{C3380CC4-5D6E-409C-BE32-E72D297353CC}">
              <c16:uniqueId val="{00000006-7E56-4885-89EA-13006A952BA5}"/>
            </c:ext>
          </c:extLst>
        </c:ser>
        <c:dLbls>
          <c:dLblPos val="inEnd"/>
          <c:showLegendKey val="0"/>
          <c:showVal val="1"/>
          <c:showCatName val="0"/>
          <c:showSerName val="0"/>
          <c:showPercent val="0"/>
          <c:showBubbleSize val="0"/>
        </c:dLbls>
        <c:gapWidth val="57"/>
        <c:overlap val="100"/>
        <c:axId val="630551992"/>
        <c:axId val="630546088"/>
      </c:barChart>
      <c:catAx>
        <c:axId val="630551992"/>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crossAx val="630546088"/>
        <c:crosses val="autoZero"/>
        <c:auto val="1"/>
        <c:lblAlgn val="ctr"/>
        <c:lblOffset val="100"/>
        <c:noMultiLvlLbl val="0"/>
      </c:catAx>
      <c:valAx>
        <c:axId val="630546088"/>
        <c:scaling>
          <c:orientation val="minMax"/>
        </c:scaling>
        <c:delete val="1"/>
        <c:axPos val="t"/>
        <c:numFmt formatCode="General" sourceLinked="1"/>
        <c:majorTickMark val="none"/>
        <c:minorTickMark val="none"/>
        <c:tickLblPos val="nextTo"/>
        <c:crossAx val="630551992"/>
        <c:crosses val="autoZero"/>
        <c:crossBetween val="between"/>
      </c:valAx>
      <c:spPr>
        <a:noFill/>
        <a:ln>
          <a:noFill/>
        </a:ln>
        <a:effectLst/>
      </c:spPr>
    </c:plotArea>
    <c:legend>
      <c:legendPos val="b"/>
      <c:layout>
        <c:manualLayout>
          <c:xMode val="edge"/>
          <c:yMode val="edge"/>
          <c:x val="0.1760935011328712"/>
          <c:y val="0.90399476482023233"/>
          <c:w val="0.73311528366646472"/>
          <c:h val="7.544736402972142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legend>
    <c:plotVisOnly val="1"/>
    <c:dispBlanksAs val="gap"/>
    <c:showDLblsOverMax val="0"/>
  </c:chart>
  <c:spPr>
    <a:solidFill>
      <a:schemeClr val="bg1"/>
    </a:solidFill>
    <a:ln w="9525" cap="flat" cmpd="sng" algn="ctr">
      <a:noFill/>
      <a:round/>
    </a:ln>
    <a:effectLst/>
  </c:spPr>
  <c:txPr>
    <a:bodyPr/>
    <a:lstStyle/>
    <a:p>
      <a:pPr>
        <a:defRPr>
          <a:latin typeface="EC Square Sans Cond Pro" panose="020B0506040000020004" pitchFamily="34" charset="0"/>
        </a:defRPr>
      </a:pPr>
      <a:endParaRPr lang="en-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r>
              <a:rPr lang="en-US" i="0"/>
              <a:t>CAP</a:t>
            </a:r>
            <a:r>
              <a:rPr lang="en-US" i="0" baseline="0"/>
              <a:t> / Farm to Fork</a:t>
            </a:r>
            <a:endParaRPr lang="en-US" i="1"/>
          </a:p>
        </c:rich>
      </c:tx>
      <c:layout>
        <c:manualLayout>
          <c:xMode val="edge"/>
          <c:yMode val="edge"/>
          <c:x val="0.2767222222222222"/>
          <c:y val="3.83693045563549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title>
    <c:autoTitleDeleted val="0"/>
    <c:plotArea>
      <c:layout>
        <c:manualLayout>
          <c:layoutTarget val="inner"/>
          <c:xMode val="edge"/>
          <c:yMode val="edge"/>
          <c:x val="0.29171609798775155"/>
          <c:y val="0.18665911540639787"/>
          <c:w val="0.67772834645669289"/>
          <c:h val="0.68212797767367683"/>
        </c:manualLayout>
      </c:layout>
      <c:barChart>
        <c:barDir val="bar"/>
        <c:grouping val="stacked"/>
        <c:varyColors val="0"/>
        <c:ser>
          <c:idx val="0"/>
          <c:order val="0"/>
          <c:tx>
            <c:strRef>
              <c:f>AllTargetsAssessed_sum!$A$103</c:f>
              <c:strCache>
                <c:ptCount val="1"/>
                <c:pt idx="0">
                  <c:v>Legal acts</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F56A7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AD9-4DFC-AAEF-F3A18EC5B878}"/>
              </c:ext>
            </c:extLst>
          </c:dPt>
          <c:dPt>
            <c:idx val="2"/>
            <c:invertIfNegative val="0"/>
            <c:bubble3D val="0"/>
            <c:spPr>
              <a:solidFill>
                <a:srgbClr val="F9A13E"/>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AD9-4DFC-AAEF-F3A18EC5B878}"/>
              </c:ext>
            </c:extLst>
          </c:dPt>
          <c:dPt>
            <c:idx val="3"/>
            <c:invertIfNegative val="0"/>
            <c:bubble3D val="0"/>
            <c:spPr>
              <a:solidFill>
                <a:srgbClr val="99CA3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AD9-4DFC-AAEF-F3A18EC5B878}"/>
              </c:ext>
            </c:extLst>
          </c:dPt>
          <c:dLbls>
            <c:delete val="1"/>
          </c:dLbls>
          <c:cat>
            <c:strRef>
              <c:f>AllTargetsAssessed_sum!$B$101:$E$101</c:f>
              <c:strCache>
                <c:ptCount val="4"/>
                <c:pt idx="0">
                  <c:v>no data</c:v>
                </c:pt>
                <c:pt idx="1">
                  <c:v>Not progressing</c:v>
                </c:pt>
                <c:pt idx="2">
                  <c:v>Acceleration needed</c:v>
                </c:pt>
                <c:pt idx="3">
                  <c:v>On track</c:v>
                </c:pt>
              </c:strCache>
            </c:strRef>
          </c:cat>
          <c:val>
            <c:numRef>
              <c:f>AllTargetsAssessed_sum!$B$103:$E$103</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06-DAD9-4DFC-AAEF-F3A18EC5B878}"/>
            </c:ext>
          </c:extLst>
        </c:ser>
        <c:ser>
          <c:idx val="1"/>
          <c:order val="1"/>
          <c:tx>
            <c:strRef>
              <c:f>AllTargetsAssessed_sum!$A$104</c:f>
              <c:strCache>
                <c:ptCount val="1"/>
                <c:pt idx="0">
                  <c:v>Proposals</c:v>
                </c:pt>
              </c:strCache>
            </c:strRef>
          </c:tx>
          <c:spPr>
            <a:solidFill>
              <a:schemeClr val="bg1">
                <a:lumMod val="7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bg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AD9-4DFC-AAEF-F3A18EC5B878}"/>
              </c:ext>
            </c:extLst>
          </c:dPt>
          <c:dPt>
            <c:idx val="1"/>
            <c:invertIfNegative val="0"/>
            <c:bubble3D val="0"/>
            <c:spPr>
              <a:solidFill>
                <a:schemeClr val="bg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DAD9-4DFC-AAEF-F3A18EC5B878}"/>
              </c:ext>
            </c:extLst>
          </c:dPt>
          <c:dPt>
            <c:idx val="2"/>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AD9-4DFC-AAEF-F3A18EC5B878}"/>
              </c:ext>
            </c:extLst>
          </c:dPt>
          <c:dPt>
            <c:idx val="3"/>
            <c:invertIfNegative val="0"/>
            <c:bubble3D val="0"/>
            <c:spPr>
              <a:solidFill>
                <a:srgbClr val="C2DF8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DAD9-4DFC-AAEF-F3A18EC5B878}"/>
              </c:ext>
            </c:extLst>
          </c:dPt>
          <c:dLbls>
            <c:dLbl>
              <c:idx val="0"/>
              <c:delete val="1"/>
              <c:extLst>
                <c:ext xmlns:c15="http://schemas.microsoft.com/office/drawing/2012/chart" uri="{CE6537A1-D6FC-4f65-9D91-7224C49458BB}"/>
                <c:ext xmlns:c16="http://schemas.microsoft.com/office/drawing/2014/chart" uri="{C3380CC4-5D6E-409C-BE32-E72D297353CC}">
                  <c16:uniqueId val="{00000008-DAD9-4DFC-AAEF-F3A18EC5B878}"/>
                </c:ext>
              </c:extLst>
            </c:dLbl>
            <c:dLbl>
              <c:idx val="1"/>
              <c:delete val="1"/>
              <c:extLst>
                <c:ext xmlns:c15="http://schemas.microsoft.com/office/drawing/2012/chart" uri="{CE6537A1-D6FC-4f65-9D91-7224C49458BB}"/>
                <c:ext xmlns:c16="http://schemas.microsoft.com/office/drawing/2014/chart" uri="{C3380CC4-5D6E-409C-BE32-E72D297353CC}">
                  <c16:uniqueId val="{0000000A-DAD9-4DFC-AAEF-F3A18EC5B8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AllTargetsAssessed_sum!$B$101:$E$101</c:f>
              <c:strCache>
                <c:ptCount val="4"/>
                <c:pt idx="0">
                  <c:v>no data</c:v>
                </c:pt>
                <c:pt idx="1">
                  <c:v>Not progressing</c:v>
                </c:pt>
                <c:pt idx="2">
                  <c:v>Acceleration needed</c:v>
                </c:pt>
                <c:pt idx="3">
                  <c:v>On track</c:v>
                </c:pt>
              </c:strCache>
            </c:strRef>
          </c:cat>
          <c:val>
            <c:numRef>
              <c:f>AllTargetsAssessed_sum!$B$104:$E$104</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F-DAD9-4DFC-AAEF-F3A18EC5B878}"/>
            </c:ext>
          </c:extLst>
        </c:ser>
        <c:ser>
          <c:idx val="2"/>
          <c:order val="2"/>
          <c:tx>
            <c:strRef>
              <c:f>AllTargetsAssessed_sum!$A$105</c:f>
              <c:strCache>
                <c:ptCount val="1"/>
                <c:pt idx="0">
                  <c:v>Communications</c:v>
                </c:pt>
              </c:strCache>
            </c:strRef>
          </c:tx>
          <c:spPr>
            <a:pattFill prst="pct25">
              <a:fgClr>
                <a:srgbClr val="C2DF8A"/>
              </a:fgClr>
              <a:bgClr>
                <a:schemeClr val="bg1"/>
              </a:bgClr>
            </a:pattFill>
            <a:ln>
              <a:noFill/>
            </a:ln>
            <a:effectLst>
              <a:outerShdw blurRad="57150" dist="19050" dir="5400000" algn="ctr" rotWithShape="0">
                <a:srgbClr val="000000">
                  <a:alpha val="63000"/>
                </a:srgbClr>
              </a:outerShdw>
            </a:effectLst>
          </c:spPr>
          <c:invertIfNegative val="0"/>
          <c:dPt>
            <c:idx val="0"/>
            <c:invertIfNegative val="0"/>
            <c:bubble3D val="0"/>
            <c:spPr>
              <a:pattFill prst="pct25">
                <a:fgClr>
                  <a:schemeClr val="bg1">
                    <a:lumMod val="65000"/>
                  </a:schemeClr>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AD9-4DFC-AAEF-F3A18EC5B878}"/>
              </c:ext>
            </c:extLst>
          </c:dPt>
          <c:dPt>
            <c:idx val="1"/>
            <c:invertIfNegative val="0"/>
            <c:bubble3D val="0"/>
            <c:spPr>
              <a:pattFill prst="pct25">
                <a:fgClr>
                  <a:srgbClr val="C2DF8A"/>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AD9-4DFC-AAEF-F3A18EC5B878}"/>
              </c:ext>
            </c:extLst>
          </c:dPt>
          <c:dPt>
            <c:idx val="2"/>
            <c:invertIfNegative val="0"/>
            <c:bubble3D val="0"/>
            <c:spPr>
              <a:pattFill prst="pct25">
                <a:fgClr>
                  <a:srgbClr val="F9A13E"/>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AD9-4DFC-AAEF-F3A18EC5B878}"/>
              </c:ext>
            </c:extLst>
          </c:dPt>
          <c:dPt>
            <c:idx val="3"/>
            <c:invertIfNegative val="0"/>
            <c:bubble3D val="0"/>
            <c:spPr>
              <a:pattFill prst="pct25">
                <a:fgClr>
                  <a:srgbClr val="C2DF8A"/>
                </a:fgClr>
                <a:bgClr>
                  <a:schemeClr val="bg1"/>
                </a:bgClr>
              </a:patt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AD9-4DFC-AAEF-F3A18EC5B878}"/>
              </c:ext>
            </c:extLst>
          </c:dPt>
          <c:dLbls>
            <c:dLbl>
              <c:idx val="1"/>
              <c:delete val="1"/>
              <c:extLst>
                <c:ext xmlns:c15="http://schemas.microsoft.com/office/drawing/2012/chart" uri="{CE6537A1-D6FC-4f65-9D91-7224C49458BB}"/>
                <c:ext xmlns:c16="http://schemas.microsoft.com/office/drawing/2014/chart" uri="{C3380CC4-5D6E-409C-BE32-E72D297353CC}">
                  <c16:uniqueId val="{00000013-DAD9-4DFC-AAEF-F3A18EC5B8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EC Square Sans Cond Pro" panose="020B0506040000020004" pitchFamily="34" charset="0"/>
                    <a:ea typeface="+mn-ea"/>
                    <a:cs typeface="+mn-cs"/>
                  </a:defRPr>
                </a:pPr>
                <a:endParaRPr lang="en-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AllTargetsAssessed_sum!$B$101:$E$101</c:f>
              <c:strCache>
                <c:ptCount val="4"/>
                <c:pt idx="0">
                  <c:v>no data</c:v>
                </c:pt>
                <c:pt idx="1">
                  <c:v>Not progressing</c:v>
                </c:pt>
                <c:pt idx="2">
                  <c:v>Acceleration needed</c:v>
                </c:pt>
                <c:pt idx="3">
                  <c:v>On track</c:v>
                </c:pt>
              </c:strCache>
            </c:strRef>
          </c:cat>
          <c:val>
            <c:numRef>
              <c:f>AllTargetsAssessed_sum!$B$105:$E$105</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18-DAD9-4DFC-AAEF-F3A18EC5B878}"/>
            </c:ext>
          </c:extLst>
        </c:ser>
        <c:dLbls>
          <c:dLblPos val="inEnd"/>
          <c:showLegendKey val="0"/>
          <c:showVal val="1"/>
          <c:showCatName val="0"/>
          <c:showSerName val="0"/>
          <c:showPercent val="0"/>
          <c:showBubbleSize val="0"/>
        </c:dLbls>
        <c:gapWidth val="86"/>
        <c:overlap val="100"/>
        <c:axId val="630551992"/>
        <c:axId val="630546088"/>
      </c:barChart>
      <c:catAx>
        <c:axId val="6305519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crossAx val="630546088"/>
        <c:crosses val="autoZero"/>
        <c:auto val="1"/>
        <c:lblAlgn val="ctr"/>
        <c:lblOffset val="100"/>
        <c:noMultiLvlLbl val="0"/>
      </c:catAx>
      <c:valAx>
        <c:axId val="630546088"/>
        <c:scaling>
          <c:orientation val="minMax"/>
        </c:scaling>
        <c:delete val="1"/>
        <c:axPos val="b"/>
        <c:numFmt formatCode="General" sourceLinked="1"/>
        <c:majorTickMark val="none"/>
        <c:minorTickMark val="none"/>
        <c:tickLblPos val="nextTo"/>
        <c:crossAx val="630551992"/>
        <c:crosses val="autoZero"/>
        <c:crossBetween val="between"/>
      </c:valAx>
      <c:spPr>
        <a:noFill/>
        <a:ln>
          <a:noFill/>
        </a:ln>
        <a:effectLst/>
      </c:spPr>
    </c:plotArea>
    <c:legend>
      <c:legendPos val="b"/>
      <c:layout>
        <c:manualLayout>
          <c:xMode val="edge"/>
          <c:yMode val="edge"/>
          <c:x val="0.48442578011081938"/>
          <c:y val="0.90581979467756402"/>
          <c:w val="0.42056642919635046"/>
          <c:h val="6.88637496262334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EC Square Sans Cond Pro" panose="020B0506040000020004" pitchFamily="34" charset="0"/>
              <a:ea typeface="+mn-ea"/>
              <a:cs typeface="+mn-cs"/>
            </a:defRPr>
          </a:pPr>
          <a:endParaRPr lang="en-FR"/>
        </a:p>
      </c:txPr>
    </c:legend>
    <c:plotVisOnly val="1"/>
    <c:dispBlanksAs val="gap"/>
    <c:showDLblsOverMax val="0"/>
  </c:chart>
  <c:spPr>
    <a:solidFill>
      <a:schemeClr val="bg1"/>
    </a:solidFill>
    <a:ln w="9525" cap="flat" cmpd="sng" algn="ctr">
      <a:noFill/>
      <a:round/>
    </a:ln>
    <a:effectLst/>
  </c:spPr>
  <c:txPr>
    <a:bodyPr/>
    <a:lstStyle/>
    <a:p>
      <a:pPr>
        <a:defRPr>
          <a:latin typeface="EC Square Sans Cond Pro" panose="020B0506040000020004" pitchFamily="34" charset="0"/>
        </a:defRPr>
      </a:pPr>
      <a:endParaRPr lang="en-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FB-45B6-AEE0-D7482897E7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FB-45B6-AEE0-D7482897E74F}"/>
              </c:ext>
            </c:extLst>
          </c:dPt>
          <c:val>
            <c:numRef>
              <c:f>AllTargetsAssessed_sum!$Z$3:$Z$4</c:f>
              <c:numCache>
                <c:formatCode>General</c:formatCode>
                <c:ptCount val="2"/>
                <c:pt idx="0">
                  <c:v>70</c:v>
                </c:pt>
                <c:pt idx="1">
                  <c:v>30</c:v>
                </c:pt>
              </c:numCache>
            </c:numRef>
          </c:val>
          <c:extLst>
            <c:ext xmlns:c16="http://schemas.microsoft.com/office/drawing/2014/chart" uri="{C3380CC4-5D6E-409C-BE32-E72D297353CC}">
              <c16:uniqueId val="{00000001-5563-4EE1-9006-77A834BE24F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190500</xdr:colOff>
      <xdr:row>33</xdr:row>
      <xdr:rowOff>152400</xdr:rowOff>
    </xdr:from>
    <xdr:to>
      <xdr:col>20</xdr:col>
      <xdr:colOff>485775</xdr:colOff>
      <xdr:row>51</xdr:row>
      <xdr:rowOff>104775</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16</xdr:row>
      <xdr:rowOff>19050</xdr:rowOff>
    </xdr:from>
    <xdr:to>
      <xdr:col>18</xdr:col>
      <xdr:colOff>219075</xdr:colOff>
      <xdr:row>31</xdr:row>
      <xdr:rowOff>171450</xdr:rowOff>
    </xdr:to>
    <xdr:graphicFrame macro="">
      <xdr:nvGraphicFramePr>
        <xdr:cNvPr id="3" name="Chart 2">
          <a:extLst>
            <a:ext uri="{FF2B5EF4-FFF2-40B4-BE49-F238E27FC236}">
              <a16:creationId xmlns:a16="http://schemas.microsoft.com/office/drawing/2014/main" id="{00000000-0008-0000-1000-000003000000}"/>
            </a:ext>
            <a:ext uri="{147F2762-F138-4A5C-976F-8EAC2B608ADB}">
              <a16:predDERef xmlns:a16="http://schemas.microsoft.com/office/drawing/2014/main" pre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133350</xdr:colOff>
      <xdr:row>33</xdr:row>
      <xdr:rowOff>152400</xdr:rowOff>
    </xdr:from>
    <xdr:to>
      <xdr:col>33</xdr:col>
      <xdr:colOff>161925</xdr:colOff>
      <xdr:row>51</xdr:row>
      <xdr:rowOff>76200</xdr:rowOff>
    </xdr:to>
    <xdr:graphicFrame macro="">
      <xdr:nvGraphicFramePr>
        <xdr:cNvPr id="4" name="Chart 3">
          <a:extLst>
            <a:ext uri="{FF2B5EF4-FFF2-40B4-BE49-F238E27FC236}">
              <a16:creationId xmlns:a16="http://schemas.microsoft.com/office/drawing/2014/main" id="{00000000-0008-0000-1000-000004000000}"/>
            </a:ext>
            <a:ext uri="{147F2762-F138-4A5C-976F-8EAC2B608ADB}">
              <a16:predDERef xmlns:a16="http://schemas.microsoft.com/office/drawing/2014/main" pre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16</xdr:row>
      <xdr:rowOff>0</xdr:rowOff>
    </xdr:from>
    <xdr:to>
      <xdr:col>28</xdr:col>
      <xdr:colOff>514350</xdr:colOff>
      <xdr:row>30</xdr:row>
      <xdr:rowOff>76200</xdr:rowOff>
    </xdr:to>
    <xdr:graphicFrame macro="">
      <xdr:nvGraphicFramePr>
        <xdr:cNvPr id="20" name="Chart 19">
          <a:extLst>
            <a:ext uri="{FF2B5EF4-FFF2-40B4-BE49-F238E27FC236}">
              <a16:creationId xmlns:a16="http://schemas.microsoft.com/office/drawing/2014/main" id="{00000000-0008-0000-1000-000014000000}"/>
            </a:ext>
            <a:ext uri="{147F2762-F138-4A5C-976F-8EAC2B608ADB}">
              <a16:predDERef xmlns:a16="http://schemas.microsoft.com/office/drawing/2014/main" pre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514350</xdr:colOff>
      <xdr:row>15</xdr:row>
      <xdr:rowOff>161925</xdr:rowOff>
    </xdr:from>
    <xdr:to>
      <xdr:col>39</xdr:col>
      <xdr:colOff>419100</xdr:colOff>
      <xdr:row>30</xdr:row>
      <xdr:rowOff>47625</xdr:rowOff>
    </xdr:to>
    <xdr:graphicFrame macro="">
      <xdr:nvGraphicFramePr>
        <xdr:cNvPr id="21" name="Chart 20">
          <a:extLst>
            <a:ext uri="{FF2B5EF4-FFF2-40B4-BE49-F238E27FC236}">
              <a16:creationId xmlns:a16="http://schemas.microsoft.com/office/drawing/2014/main" id="{00000000-0008-0000-1000-000015000000}"/>
            </a:ext>
            <a:ext uri="{147F2762-F138-4A5C-976F-8EAC2B608ADB}">
              <a16:predDERef xmlns:a16="http://schemas.microsoft.com/office/drawing/2014/main" pre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0</xdr:colOff>
      <xdr:row>16</xdr:row>
      <xdr:rowOff>0</xdr:rowOff>
    </xdr:from>
    <xdr:to>
      <xdr:col>49</xdr:col>
      <xdr:colOff>514350</xdr:colOff>
      <xdr:row>30</xdr:row>
      <xdr:rowOff>76200</xdr:rowOff>
    </xdr:to>
    <xdr:graphicFrame macro="">
      <xdr:nvGraphicFramePr>
        <xdr:cNvPr id="22" name="Chart 21">
          <a:extLst>
            <a:ext uri="{FF2B5EF4-FFF2-40B4-BE49-F238E27FC236}">
              <a16:creationId xmlns:a16="http://schemas.microsoft.com/office/drawing/2014/main" id="{00000000-0008-0000-1000-000016000000}"/>
            </a:ext>
            <a:ext uri="{147F2762-F138-4A5C-976F-8EAC2B608ADB}">
              <a16:predDERef xmlns:a16="http://schemas.microsoft.com/office/drawing/2014/main" pred="{00000000-0008-0000-03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57</xdr:row>
      <xdr:rowOff>0</xdr:rowOff>
    </xdr:from>
    <xdr:to>
      <xdr:col>18</xdr:col>
      <xdr:colOff>28575</xdr:colOff>
      <xdr:row>72</xdr:row>
      <xdr:rowOff>152400</xdr:rowOff>
    </xdr:to>
    <xdr:graphicFrame macro="">
      <xdr:nvGraphicFramePr>
        <xdr:cNvPr id="24" name="Chart 22">
          <a:extLst>
            <a:ext uri="{FF2B5EF4-FFF2-40B4-BE49-F238E27FC236}">
              <a16:creationId xmlns:a16="http://schemas.microsoft.com/office/drawing/2014/main" id="{00000000-0008-0000-1000-000018000000}"/>
            </a:ext>
            <a:ext uri="{147F2762-F138-4A5C-976F-8EAC2B608ADB}">
              <a16:predDERef xmlns:a16="http://schemas.microsoft.com/office/drawing/2014/main" pred="{00000000-0008-0000-03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600075</xdr:colOff>
      <xdr:row>56</xdr:row>
      <xdr:rowOff>9525</xdr:rowOff>
    </xdr:from>
    <xdr:to>
      <xdr:col>29</xdr:col>
      <xdr:colOff>581025</xdr:colOff>
      <xdr:row>73</xdr:row>
      <xdr:rowOff>19050</xdr:rowOff>
    </xdr:to>
    <xdr:graphicFrame macro="">
      <xdr:nvGraphicFramePr>
        <xdr:cNvPr id="10" name="Chart 9">
          <a:extLst>
            <a:ext uri="{FF2B5EF4-FFF2-40B4-BE49-F238E27FC236}">
              <a16:creationId xmlns:a16="http://schemas.microsoft.com/office/drawing/2014/main" id="{00000000-0008-0000-1000-00000A000000}"/>
            </a:ext>
            <a:ext uri="{147F2762-F138-4A5C-976F-8EAC2B608ADB}">
              <a16:predDERef xmlns:a16="http://schemas.microsoft.com/office/drawing/2014/main" pre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0</xdr:colOff>
      <xdr:row>74</xdr:row>
      <xdr:rowOff>0</xdr:rowOff>
    </xdr:from>
    <xdr:to>
      <xdr:col>18</xdr:col>
      <xdr:colOff>28575</xdr:colOff>
      <xdr:row>89</xdr:row>
      <xdr:rowOff>152400</xdr:rowOff>
    </xdr:to>
    <xdr:graphicFrame macro="">
      <xdr:nvGraphicFramePr>
        <xdr:cNvPr id="11" name="Chart 10">
          <a:extLst>
            <a:ext uri="{FF2B5EF4-FFF2-40B4-BE49-F238E27FC236}">
              <a16:creationId xmlns:a16="http://schemas.microsoft.com/office/drawing/2014/main" id="{00000000-0008-0000-1000-00000B000000}"/>
            </a:ext>
            <a:ext uri="{147F2762-F138-4A5C-976F-8EAC2B608ADB}">
              <a16:predDERef xmlns:a16="http://schemas.microsoft.com/office/drawing/2014/main" pre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85725</xdr:colOff>
      <xdr:row>1</xdr:row>
      <xdr:rowOff>114300</xdr:rowOff>
    </xdr:from>
    <xdr:to>
      <xdr:col>28</xdr:col>
      <xdr:colOff>295275</xdr:colOff>
      <xdr:row>7</xdr:row>
      <xdr:rowOff>171450</xdr:rowOff>
    </xdr:to>
    <xdr:graphicFrame macro="">
      <xdr:nvGraphicFramePr>
        <xdr:cNvPr id="5" name="Chart 4">
          <a:extLst>
            <a:ext uri="{FF2B5EF4-FFF2-40B4-BE49-F238E27FC236}">
              <a16:creationId xmlns:a16="http://schemas.microsoft.com/office/drawing/2014/main" id="{00000000-0008-0000-1000-000005000000}"/>
            </a:ext>
            <a:ext uri="{147F2762-F138-4A5C-976F-8EAC2B608ADB}">
              <a16:predDERef xmlns:a16="http://schemas.microsoft.com/office/drawing/2014/main" pre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namedSheetView name="1  1   1 1 1 1 1 0 0   1 1 1 1 1" id="{C07DBD9E-4A5E-4B4C-B698-E8C7850756D0}">
    <nsvFilter filterId="{00000000-0009-0000-0100-000002000000}" ref="A2:N309" tableId="2"/>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5757.595880555557" createdVersion="6" refreshedVersion="7" minRefreshableVersion="3" recordCount="307" xr:uid="{00000000-000A-0000-FFFF-FFFF06000000}">
  <cacheSource type="worksheet">
    <worksheetSource name="Table683"/>
  </cacheSource>
  <cacheFields count="14">
    <cacheField name="Main thematic areas*_x000a_*referring to EGD Objectives set out in COM(2019) 640 final ANNEX" numFmtId="0">
      <sharedItems containsBlank="1" count="8">
        <s v="1. Climate ambition"/>
        <s v="2. Clean, affordable and secure energy"/>
        <s v="3. Industrial strategy for a clean and circular economy"/>
        <s v="4. Sustainable and smart mobility"/>
        <s v="5. Greening the Common Agricultural Policy / ‘Farm to Fork’ Strategy"/>
        <s v="6. Preserving and protecting biodiversity"/>
        <s v="7. Towards a zero-pollution ambition for a toxic free environment"/>
        <m/>
      </sharedItems>
    </cacheField>
    <cacheField name="Actions*_x000a_*referring to EGD Objectives set out in COM(2019) 640 ANNEX" numFmtId="0">
      <sharedItems containsBlank="1" longText="1"/>
    </cacheField>
    <cacheField name="Key Policy documents " numFmtId="0">
      <sharedItems containsBlank="1" longText="1"/>
    </cacheField>
    <cacheField name="Type of Document" numFmtId="0">
      <sharedItems containsBlank="1"/>
    </cacheField>
    <cacheField name="Year of publication" numFmtId="0">
      <sharedItems containsString="0" containsBlank="1" containsNumber="1" containsInteger="1" minValue="2008" maxValue="2023"/>
    </cacheField>
    <cacheField name="Binding doc" numFmtId="0">
      <sharedItems containsString="0" containsBlank="1" containsNumber="1" containsInteger="1" minValue="0" maxValue="1"/>
    </cacheField>
    <cacheField name="Type target" numFmtId="0">
      <sharedItems containsBlank="1" containsMixedTypes="1" containsNumber="1" containsInteger="1" minValue="0" maxValue="3" count="6">
        <e v="#REF!"/>
        <m/>
        <n v="3"/>
        <n v="2"/>
        <n v="1"/>
        <n v="0" u="1"/>
      </sharedItems>
    </cacheField>
    <cacheField name="Targets from legal acts" numFmtId="0">
      <sharedItems containsString="0" containsBlank="1" containsNumber="1" containsInteger="1" minValue="0" maxValue="1"/>
    </cacheField>
    <cacheField name="Targets from Proposal" numFmtId="0">
      <sharedItems containsString="0" containsBlank="1" containsNumber="1" containsInteger="1" minValue="0" maxValue="1"/>
    </cacheField>
    <cacheField name="n" numFmtId="0">
      <sharedItems containsString="0" containsBlank="1" containsNumber="1" containsInteger="1" minValue="0" maxValue="1" count="3">
        <n v="1"/>
        <m/>
        <n v="0" u="1"/>
      </sharedItems>
    </cacheField>
    <cacheField name="Target code" numFmtId="0">
      <sharedItems containsBlank="1"/>
    </cacheField>
    <cacheField name="Targets" numFmtId="0">
      <sharedItems containsBlank="1" longText="1"/>
    </cacheField>
    <cacheField name="Assessment" numFmtId="0">
      <sharedItems containsBlank="1" longText="1"/>
    </cacheField>
    <cacheField name="Colour" numFmtId="0">
      <sharedItems containsBlank="1" containsMixedTypes="1" containsNumber="1" containsInteger="1" minValue="0" maxValue="3" count="9">
        <m/>
        <s v="orange"/>
        <s v="green"/>
        <s v="grey"/>
        <s v="red"/>
        <n v="0" u="1"/>
        <n v="3" u="1"/>
        <n v="2" u="1"/>
        <n v="1"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x v="0"/>
    <s v="Proposal on a European ‘Climate Law’ enshrining the 2050 climate neutrality objective"/>
    <s v="Establishing the framework for achieving climate neutrality and amending regulations (EC) No 401/2009 and (EU) 2018/1999 (&quot;European Climate Law&quot;)"/>
    <s v="Regulation of the European Parliament and of the Council"/>
    <n v="2021"/>
    <n v="1"/>
    <x v="0"/>
    <n v="1"/>
    <m/>
    <x v="0"/>
    <s v="TA1.1"/>
    <s v="Climate Neutrality (2040 target under discussion)"/>
    <m/>
    <x v="0"/>
  </r>
  <r>
    <x v="0"/>
    <s v="Proposal on a European ‘Climate Law’ enshrining the 2050 climate neutrality objective"/>
    <s v="Establishing the framework for achieving climate neutrality and amending regulations (EC) No 401/2009 and (EU) 2018/1999 (&quot;European Climate Law&quot;)"/>
    <s v="Regulation of the European Parliament and of the Council"/>
    <n v="2021"/>
    <m/>
    <x v="1"/>
    <m/>
    <m/>
    <x v="1"/>
    <s v="TA1.2"/>
    <s v="2040 target under discussion"/>
    <m/>
    <x v="0"/>
  </r>
  <r>
    <x v="0"/>
    <s v="Proposal on a European ‘Climate Law’ enshrining the 2050 climate neutrality objective"/>
    <s v="Establishing the framework for achieving climate neutrality and amending regulations (EC) No 401/2009 and (EU) 2018/1999 (&quot;European Climate Law&quot;)"/>
    <s v="Regulation of the European Parliament and of the Council"/>
    <n v="2021"/>
    <n v="1"/>
    <x v="0"/>
    <n v="1"/>
    <m/>
    <x v="0"/>
    <s v="TA1.3"/>
    <s v="Reduce by at least 55% net GHG emissions compared to 1990 levels, by 2030"/>
    <s v="The at least 55% economy-wide net reduction objective is enshrined in the Climate Law as an overall ambition at the EU level. Specific legislation covering different sectors translates this into sectoral ambition levels which cumulatively achieve the -55% target. This corresponds to greenhouse gas reductions of 62% in the existing ETS compared to 2005, a 40% reduction in ESR, (this is now complemented by 42% reduction target compared to 2005 in the newly established ETS2). With the aim of ensuring strong emissions reduction in other sectors, the overall contribution of the LULUCF sector to EU’s economy-wide target of − 55% by 2030 is limited to a maximum of − 225 MtCO2e/year. Achieving the LULUCF sector target of -310 MtCO2e in 2030 will elevate the total EU GHG emission reduction to approximately 57% compared to 1990. The total net EU greenhouse gases emissions, including LULUCF, were reduced by 32.5% between 1990 and 2022 [21]. GHG emission reductions need to double in the current decade compared to the previous decades (see charts in the annexes)._x000a_According to the Member States’ own projections reported in 2023 under Article 18 of the Governance of the Energy Union Regulation, total EU emissions are expected to fall in 2030 by about 50% below the 1990 level when factoring in additional measures. This falls short of the at least 55% objective, but the Member States projections do not accurately capture the evolution driven by EU-wide instruments such as the ETS._x000a_Reaching the -55 % objective further depends on delivery of ESR, which is not fully on track, as well as the related functioning of ETS2. In addition, the -55% objective assumes that the LULUCF sink is at least -225 MtCO2e. The agreed LULUCF commitment of -310 MtCO2e could even achieve -57%. However, the current development of the LULUCF sink is opposite to the targets, including natural disturbances that are expected to further increase with the ongoing climate change [27], [28]. If this negative development continues, the risk of not reaching the sink of –225 MtCO2 cannot be ruled out._x000a_On the other hand, the implementation of the complete Fit for 55 legislative package is expected to reduce EU net greenhouse gas emissions by 57% by 2030, putting EU on track to exceed 2030 targets [29]._x000a_On the way to climate neutrality by 2050, the Commission adopted a Communica- tion [23] in February 2024 that launches the process of setting the 2040 climate target for the EU, in compliance with Art. 4.3 of the Climate Law. While 2040 targets are not yet set, it is clear that much of the transition to 2050 has to be realised_x000a_by 2040. Based on the recommended emission reductions of 90-95 % by 2040 compared to 1990, of the European Scientific Advisory Board on Climate Change advised, the Commission has recommended a net 90% GHG reduction target for 2040._x000a_Both 2040 and 2050 targets require a much deeper transformation of the energy system, through large scale deployment of climate-neutral technologies that require high investment efforts with some technologies not yet deployed at market scale. While some of the current instruments will keep delivering reductions well beyond 2030 (notably the EU ETS but also CO2 standards for vehicles, ReFuelEU Aviation, FuelEU Maritime and the Fluorinated gas (F-gas) Regulation), there will be a need_x000a_to review, update and complete the legislative framework for the post-2030 period. This will include topics such as carbon capture, industrial carbon removals, and overall and sector specific emission reduction trajectories. In addition, larger emis- sion reductions in difficult-to-abate sectors like agriculture will be needed, along with a larger role for carbon removals, including utilising land as a carbon sink."/>
    <x v="1"/>
  </r>
  <r>
    <x v="0"/>
    <s v="New EU Strategy on Adaptation to Climate Change"/>
    <s v="Forging a climate-resilient Europe - the new EU Strategy on Adaptation to Climate Change"/>
    <s v="Communication from the Commission to the European Parliament, the Council, the European Economic and Social Committee and the Committee of the Regions"/>
    <n v="2021"/>
    <n v="0"/>
    <x v="0"/>
    <n v="0"/>
    <n v="0"/>
    <x v="0"/>
    <s v="TA1.4"/>
    <s v="Achieve a climate-resilient society status, fully adapted to the unavoidable impacts of climate change"/>
    <m/>
    <x v="0"/>
  </r>
  <r>
    <x v="0"/>
    <s v="Proposal for a carbon border adjustment mechanism for selected sectors"/>
    <s v="Establishing a carbon border adjustment mechanism"/>
    <s v="Regulation of the European Parliament and of the Council"/>
    <n v="2023"/>
    <m/>
    <x v="1"/>
    <m/>
    <m/>
    <x v="1"/>
    <s v="TA1.5"/>
    <s v="CBAM"/>
    <m/>
    <x v="0"/>
  </r>
  <r>
    <x v="0"/>
    <s v="Proposal for a revision of the Energy Taxation Directive"/>
    <s v="Restructuring the Union framework for the taxation of energy products and electricity (recast)"/>
    <s v="Proposal for a Council Directive"/>
    <n v="2021"/>
    <m/>
    <x v="1"/>
    <m/>
    <m/>
    <x v="1"/>
    <s v="TA1.6"/>
    <s v="Recast"/>
    <m/>
    <x v="0"/>
  </r>
  <r>
    <x v="0"/>
    <s v="Proposals for revisions of relevant legislative measures to deliver on the increased climate ambition, following the review of Emissions Trading System Directive; Effort Sharing Regulation; Land use, land use change and forestry Regulation; Energy Efficiency Directive; Renewable Energy Directive; CO2 emissions performance standards for cars and vans"/>
    <s v="On an EU Strategy to reduce methane emissions"/>
    <s v="Communication from the Commission to the European Parliament, the Council, the European Economic and Social Committee and the Committee of the Regions"/>
    <n v="2020"/>
    <n v="0"/>
    <x v="0"/>
    <n v="0"/>
    <n v="0"/>
    <x v="0"/>
    <s v="TA1.7"/>
    <s v="Reduce methane emissions by 35 to 37% compared to 2005 levels, by 2030_x000a_An EU Strategy to reduce methane emissions"/>
    <s v="Methane emissions were 497.15 MtCO2e in 2005 and decreased to 394.37 MtCO2e in 2022, making a reduction of about 20.67%. However, acceleration is needed to reach at least a 35% reduction by 2030._x000a_The largest source of methane emissions in the EU is the agriculture sector, accounting for more than half of the total emissions, followed by the energy and waste sectors. Within agriculture, almost all methane emissions are from livestock: 80% of the total stems from enteric fermentation and 18% from manure man- agement. Furthermore, the energy sector showed the highest decline in emissions, primarily due to the mitigation of fugitive emissions from fuels, including emis- sions from the extraction of solid fuels and those associated with oil and natural gas production and distribution._x000a_Most methane emissions from the waste sector come from solid waste disposal._x000a_GHG Emissions_x000a_   "/>
    <x v="1"/>
  </r>
  <r>
    <x v="0"/>
    <s v="Proposals for revisions of relevant legislative measures to deliver on the increased climate ambition, following the review of Emissions Trading System Directive; Effort Sharing Regulation; Land use, land use change and forestry Regulation; Energy Efficiency Directive; Renewable Energy Directive; CO2 emissions performance standards for cars and vans"/>
    <s v="Amending Directive 2003/87/EC establishing a system for greenhouse gas emission allowance trading within the Union, Decision (EU) 2015/1814 concerning the establishment and operation of a market stability reserve for the Union greenhouse gas emission trading system"/>
    <s v="Directive of the European Parliament and of the Council"/>
    <n v="2023"/>
    <n v="1"/>
    <x v="0"/>
    <n v="1"/>
    <m/>
    <x v="0"/>
    <s v="TA1.9"/>
    <s v="EU ETS. The contribution of the sectors covered by the existing EU Emission trading System (EU ETS) with respect to the EU Climate ambition should be of -62% compared to 2005 (increasing the linear emissions reduction factor from 2.2% per year up to 4.4%), by 2030_x000a_Directive (EU) 2023/959"/>
    <s v="The decreasing trajectory of the number of CO2 emission allowances is expected to lead to -62% less CO2 emission in 2030 compared to 2005 levels. EU ETS emissions fell by 47% between 2005 and 2022. The most important driver for the decrease in EU ETS emissions has been the power sector, due to a substantial in- crease in renewable electricity production (primarily wind and solar) at the expense of both coal and gas. The system covers the electricity sector, large industry, and since 2012, aviation (initially intra-European Economic Area, with an upcoming extension of scope). Since 1 January 2024, it has been expanded to include the maritime sector [30]. The 2023 greenhouse gas emission projections reported by the Member States to the EEA [15], [22] result in a reduction of ETS emissions of 55% to 59% (with existing measures – with additional measures projection) in_x000a_the ETS sectors in 2030. While these projections are short of the 62% target, it is important to note that, the ETS being an EU-wide market-based (cap and trade) instrument, this objective is not directly addressed by Member States specific policies and cannot be consistently and comprehensively covered by the individual Member States GHG emission projections._x000a_Given that the ETS instrument is established and operational, and that the nec- essary technologies are both available and affordable, it is anticipated that the target can be achieved."/>
    <x v="2"/>
  </r>
  <r>
    <x v="0"/>
    <s v="Proposals for revisions of relevant legislative measures to deliver on the increased climate ambition, following the review of Emissions Trading System Directive; Effort Sharing Regulation; Land use, land use change and forestry Regulation; Energy Efficiency Directive; Renewable Energy Directive; CO2 emissions performance standards for cars and vans"/>
    <s v="Amending Directive 2003/87/EC establishing a system for greenhouse gas emission allowance trading within the Union, Decision (EU) 2015/1814 concerning the establishment and operation of a market stability reserve for the Union greenhouse gas emission trading system"/>
    <s v="Directive of the European Parliament and of the Council"/>
    <n v="2023"/>
    <n v="1"/>
    <x v="2"/>
    <n v="1"/>
    <m/>
    <x v="0"/>
    <s v="TA1.10"/>
    <s v="ETS2. Contribution of the buildings and road transport sectors of 43% emission reductions by 2030 compared to 2005 and of the additional sectors, a combined cost-efficient contribution of 42% emission reductions by 2030 compared to 2005_x000a_Directive (EU) 2023/959"/>
    <s v="The ETS2 is a new EU-wide cap-and-trade economic instrument that covers the CO2 emissions from the combustion of fuels in road transport, buildings, and other sectors (mainly smaller industries), excluding agriculture. Monitoring starts in 2025, with cap and trade applying from 2027. As such, it overlaps significantly with the ESR in terms of sectors covered, but important differences are that a) it is implemented at the EU level, rather than through Member State-specific policies, and b) it does not cover non-CO2 emissions, many of which are from the hard-to- tackle agricultural sector._x000a_Between 2005 and 2022, the emissions covered by the ETS 2 fell by 16% according to own estimates of the JRC. However, since the ETS2 instrument is newly implemented and official reporting by Member States is not yet available, the progress cannot currently be evaluated."/>
    <x v="3"/>
  </r>
  <r>
    <x v="0"/>
    <s v="Proposals for revisions of relevant legislative measures to deliver on the increased climate ambition, following the review of Emissions Trading System Directive; Effort Sharing Regulation; Land use, land use change and forestry Regulation; Energy Efficiency Directive; Renewable Energy Directive; CO2 emissions performance standards for cars and vans"/>
    <s v="Amending Regulation (EU) 2018/842 on binding annual greenhouse gas emission reductions by Member States from 2021 to 2030 contributing to climate action to meet commitments under the Paris Agreement, and Regulation (EU) 2018/1999"/>
    <s v="Regulation of the European Parliament and of the Council"/>
    <n v="2023"/>
    <n v="1"/>
    <x v="0"/>
    <n v="1"/>
    <m/>
    <x v="0"/>
    <s v="TA1.11"/>
    <s v="ESR. Increased national targets in line with an EU- wide reduction of 40% in the ESR sectors compared to 2005. Member States contribute to the overall EU reduction in 2030 with targets ranging from -10% to -50% below 2005 level (sectors: transport, buildings, agriculture and waste)_x000a_Regulation (EU) 2023/857"/>
    <s v="The current (2022) reduction is 17% relative to 2005, far from the 40% reduction target set for 2030. Between 2013 and 2020, Member States met or overa- chieved their ESR obligations- with the largest reductions in the buildings and small industry sectors. Emissions are expected to continue decreasing in the com- ing decade due to –among others- source control legislation, such as improved building standards, building renovations, CO2 standards for road vehicles and EU policies on phasing down hydrofluorocarbons (HFC) and other fluorinated gases. Progress in the transport and building sectors faces different challenges. While transport emissions are regulated by EU-wide CO2 emission standards for vehicles (which have a relatively fast turnover rate), renovating the building stock is a more challenging effort, primarily driven by Member States' policies. Therefore, Member States' projections for building emissions significantly lag behind the expected cost-effective rate of reduction [31]._x000a_Overall, EU emissions in the sectors covered by the ESR, according to 2023 Member States projections, are expected to fall by 27-32% (with existing and ad- ditional measures, respectively) by 2030 compared to 2005, i.e. 8 -13 percentage points below the 40% target for 2030, with only 6 Member States projected to (over-) achieve their targets [22]._x000a_Absolute emissions in the agriculture sector have stagnated since 2010, while agricultural aggregate output has increased, decreasing emission intensity of EU agricultural products by 13%._x000a_Concerning emission reductions, current Member States' projections under the Governance Regulation foresee 2030 emissions with existing measures to be 373 MtCO2e (or -3% compared to 2021) and 359 MtCO2e (or -7 %) with additional measures. The 2030 ‘MIX (55 Euro/t CO2e)’ scenario, used to assess the Fit for 55 targets corresponds to a -7 % decline in the agricultural sector by 2030 compared to 2021, aligning with the Member States ‘with additional measures’ scenario. The current (2023-2027) CAP aims to contribute to climate mitigation, with Member State strategies outlined in their Strategic Plans. Estimates of the CAP 2023-2027 impact on emissions require detailed information on the implementation and effectiveness of farming practices from the CAP instruments, which are currently being evaluated."/>
    <x v="1"/>
  </r>
  <r>
    <x v="0"/>
    <s v="Proposals for revisions of relevant legislative measures to deliver on the increased climate ambition, following the review of Emissions Trading System Directive; Effort Sharing Regulation; Land use, land use change and forestry Regulation; Energy Efficiency Directive; Renewable Energy Directive; CO2 emissions performance standards for cars and vans"/>
    <s v="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s v="Regulation of the European Parliament and of the Council"/>
    <n v="2023"/>
    <n v="1"/>
    <x v="0"/>
    <n v="1"/>
    <m/>
    <x v="0"/>
    <s v="TA1.12"/>
    <s v="Achieve an EU net greenhouse gas removal of 310 million tonnes CO2 equivalent per year for the land use, land use change and forestry (LULUCF) sector, by 2030, and Member State-specific targets for 2030 summing up to -42 MtCO2e increase in LULUCF sink between 2016-2018 and 2030."/>
    <s v="The revised LULUCF regulation sets a target of removing 310 MtCO2e by 2030. The long-term EU forest sink is developing away from this target and jeopard- ising the fulfilment of the overall LULUCF sector target for 2030. Furthermore, natural disturbances are expected to increase with ongoing climate change, with potentially a further reduction of the carbon sink, making the situation even more difficult._x000a_In 2020, the gap between the reported LULUCF emissions in 2016-2018 and the target of -310 MtCO2e for 2030 was -42 MtCO2e for the EU. 2024 shows that this gap has now widened: instead of -42 MtCO2e, the EU needs to improve its LULUCF sink by -80 MtCO2e between 2022 and 2030 to meet the targets. The LULUCF targets will be difficult to achieve unless substantial changes in forest manage- ment are implemented very soon."/>
    <x v="4"/>
  </r>
  <r>
    <x v="0"/>
    <s v="Proposals for revisions of relevant legislative measures to deliver on the increased climate ambition, following the review of Emissions Trading System Directive; Effort Sharing Regulation; Land use, land use change and forestry Regulation; Energy Efficiency Directive; Renewable Energy Directive; CO2 emissions performance standards for cars and vans"/>
    <s v="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s v="Regulation of the European Parliament and of the Council"/>
    <n v="2023"/>
    <n v="1"/>
    <x v="0"/>
    <n v="1"/>
    <m/>
    <x v="0"/>
    <s v="TA1.13"/>
    <s v="No debit rule. For the period from 2021 to 2025, each Member State shall ensure that greenhouse gas emissions from the sector do not exceed greenhouse gas removals, calculated as the sum of total emissions and total removals on its territory in all the land accounting categories. The accounting benchmark for the EU is ca. -229 MtCO2e/year for 2021-2025 LULUCF Regulation"/>
    <s v="Assessing the distance to the target is difficult. Comparing purely the GHG re- porting from countries for 2021 and 2022, to the accounting benchmark of -229 MtCO2e determined by the delegated act, it looks like the EU is slightly exceeding the accounting benchmark. However, the recalculations of the inventories have increased the net sink historical time series reported by the Member States, and those recalculations will be considered in the accounting. Given the sharp decline of the forest sink driven by increasing harvest levels and natural disturbances, it is likely that the EU will face an overall accounting debit (i.e. not reaching the target) than a credit in the LULUCF sector as a whole._x000a_The reporting for years 2026-2029 will be done in GHG inventories during 2028- 2031."/>
    <x v="1"/>
  </r>
  <r>
    <x v="0"/>
    <s v="Proposals for revisions of relevant legislative measures to deliver on the increased climate ambition, following the review of Emissions Trading System Directive; Effort Sharing Regulation; Land use, land use change and forestry Regulation; Energy Efficiency Directive; Renewable Energy Directive; CO2 emissions performance standards for cars and vans"/>
    <s v="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s v="Regulation of the European Parliament and of the Council"/>
    <n v="2023"/>
    <n v="1"/>
    <x v="0"/>
    <n v="1"/>
    <m/>
    <x v="0"/>
    <s v="TA1.14"/>
    <s v="Each Member State shall ensure that the annual sum of its greenhouse gas emissions and removals on its territory and in all of the land reporting categories, in each year in the period from 2026 to 2030, does not exceed the limit established by a linear trajectory, ending in 2030 on the target set out for that Member State(no debit rule)"/>
    <m/>
    <x v="0"/>
  </r>
  <r>
    <x v="0"/>
    <m/>
    <s v="A Renovation Wave for Europe - greening our buildings, creating jobs, improving lives"/>
    <s v="Communication from the Commission to the European Parliament, the Council, the European Economic and Social Committee and the Committee of the Regions"/>
    <n v="2020"/>
    <n v="0"/>
    <x v="0"/>
    <n v="0"/>
    <n v="0"/>
    <x v="0"/>
    <s v="TA1.15"/>
    <s v="Reduce buildings’ greenhouse gas emissions by 60%, by 2030 (compared to 2015), and reach climate neutrality by 2050_x000a_A Renovation Wave for Europe"/>
    <s v="In 2015 buildings direct GHG emissions were 541 MtCO2e, therefore the target value for 2030 is 216 MtCO2e._x000a_European Climate Neutrality Observatory data shows past progress of 5 MtCO2e between 2016 and 2021. To meet the target, the required annual change between 2021 and 2030 needs to be 7.5 times faster than the past rate of progress. Overall, buildings are responsible for about 40%_x000a_of the EU’s total energy consumption, and for 36% of its greenhouse gas emissions from energy (including indirect emissions). Buildings related emissions belonging to fossil fuelled district heating, electric heating and electricity use of heat pumps are covered by EU ETS, while the rest is covered by the ESR."/>
    <x v="1"/>
  </r>
  <r>
    <x v="0"/>
    <m/>
    <s v="on methane emissions reduction in the energy sector"/>
    <s v="Proposal for a Regulation of the European Parliament and of the Council"/>
    <n v="2022"/>
    <n v="0"/>
    <x v="0"/>
    <n v="0"/>
    <n v="1"/>
    <x v="0"/>
    <s v="TA1.16"/>
    <s v="To achieve 55% reduction of GHG emission by 2030, methane emissions related to energy production and consumption should be reduced by 58% compared to the level in 2020"/>
    <m/>
    <x v="0"/>
  </r>
  <r>
    <x v="1"/>
    <m/>
    <s v="Concerning urban wastewater treatment (recast)"/>
    <s v="Proposal for a Directive of the European Parliament and of the Council"/>
    <n v="2022"/>
    <n v="0"/>
    <x v="0"/>
    <n v="0"/>
    <n v="1"/>
    <x v="0"/>
    <s v="TA1.8"/>
    <s v="Reach energy neutrality in the wastewater treatment sector by 2045._x000a_Directive concerning urban wastewater"/>
    <s v="There is a considerable potential for reducing fossil fuel-based energy use and GHG emissions in wastewater treatment and market incentives are increasingly attractive for investments in this direction. Member states should be required to ensure that the total annual energy used by all urban wastewater treatment plants on their territory treating a load of 10 000 population equivalent1 and above does not exceed the production of energy from renewable sources._x000a_1 A number expressing the ratio of the sum of the pollution load in wastewater to the individual pollution load in household sewage produced by one person at the same time"/>
    <x v="2"/>
  </r>
  <r>
    <x v="1"/>
    <m/>
    <s v="REPowerEU Plan"/>
    <s v="Communication from the Commission to the European Parliament, the Council, the European Economic and Social Committee and the Committee of the Regions"/>
    <n v="2022"/>
    <n v="0"/>
    <x v="0"/>
    <n v="0"/>
    <n v="0"/>
    <x v="0"/>
    <s v="TA2.1"/>
    <s v="REPowerEU sets a target of 10 million tonnes of domestic renewable hydrogen production and 10 million tonnes of renewable hydrogen imports by 2030._x000a_REPowerEU"/>
    <s v="European production capacity is not yet officially monitored, but there are estimates of production of around 23ktH2/year, which is very far away from the target of 10 MtH2/year. Imports are currently non-existent."/>
    <x v="1"/>
  </r>
  <r>
    <x v="1"/>
    <s v="Proposals for revisions of relevant legislative measures to deliver on the increased climate ambition, following the review of Emissions Trading System Directive; Effort Sharing Regulation; Land use, land use change and forestry Regulation; Energy Efficiency Directive; Renewable Energy Directive; CO2 emissions performance standards for cars and vans"/>
    <s v="EU Solar Energy Strategy"/>
    <s v="Communication from the Commission to the European Parliament, the Council, the European Economic and Social Committee and the Committee of the Regions"/>
    <n v="2022"/>
    <n v="0"/>
    <x v="0"/>
    <n v="0"/>
    <n v="0"/>
    <x v="0"/>
    <s v="TA2.2"/>
    <s v="Set up at least one renewables-based energy community in every municipality with a population higher than 10.000 by 2025_x000a_EU Solar Energy Strategy"/>
    <s v="For the 2010-2021 period, energy communities in the EU were still a niche in most national energy markets, with an estimated 9250 energy communities currently in operation across the EU and highly unbalanced distribution among Member States. More than half of these are located in Germany and almost 1000 are in the Netherlands. To date, however, a systematic and cross-country database on citizen-led initiatives and projects is lacking [74]."/>
    <x v="1"/>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3"/>
    <s v="Member States shall ensure that the contribution_x000a_of renewable fuels of non-biological origin used for final energy and non-energy purposes shall be at least 42% of the hydrogen used for final energy and non-energy purposes in industry by 2030, and 60% by 2035._x000a_RED III (Directive (EU) 2023/2413)"/>
    <s v="The use of renewable hydrogen in Europe was negligible up to 2023, including also in industrial processes."/>
    <x v="4"/>
  </r>
  <r>
    <x v="1"/>
    <s v="‘Renovation wave’ initiative for the building sector"/>
    <s v="REPowerEU Plan"/>
    <s v="Communication from the Commission to the European Parliament, the Council, the European Economic and Social Committee and the Committee of the Regions"/>
    <n v="2022"/>
    <n v="0"/>
    <x v="0"/>
    <n v="0"/>
    <n v="0"/>
    <x v="0"/>
    <s v="TA2.4"/>
    <s v="Double the current deployment rate of individual heat pumps, resulting in a cumulative 10 million units by 2027 and 30 million units by 2030._x000a_REPowerEU"/>
    <s v="The deployment rate was 2.2 million heat pumps in 2021 and 3 million in 2022. There are nearly 20 million heat pumps installed in the EU as of 2022. The current rate is enough to reach the 2030 target."/>
    <x v="2"/>
  </r>
  <r>
    <x v="1"/>
    <m/>
    <s v="EU Solar Energy Strategy"/>
    <s v="Communication from the Commission to the European Parliament, the Council, the European Economic and Social Committee and the Committee of the Regions"/>
    <n v="2022"/>
    <n v="0"/>
    <x v="0"/>
    <n v="0"/>
    <n v="0"/>
    <x v="0"/>
    <s v="TA2.5"/>
    <s v="Bring online over 320 GW of solar photovoltaic by 2025 and almost 600 GW by 2030_x000a_EU Solar Energy Strategy"/>
    <s v="The EU solar generation capacity keeps increasing and reached, according to SolarPower Europe, an estimated 260 GW in 2023, 224 GWac (ac: alternating current) according to JRC estimates [75]. Compared to 177 GWac (ac: alternating current) in 2022. Based on the latest data, the 2025 target could be achieved."/>
    <x v="2"/>
  </r>
  <r>
    <x v="1"/>
    <m/>
    <s v="EU Solar Energy Strategy"/>
    <s v="Communication from the Commission to the European Parliament, the Council, the European Economic and Social Committee and the Committee of the Regions"/>
    <n v="2022"/>
    <n v="0"/>
    <x v="0"/>
    <n v="0"/>
    <n v="0"/>
    <x v="0"/>
    <s v="TA2.6"/>
    <s v="Energy demand to be covered by solar heat and geothermal should at least triple (rate is currently at 1.5%)_x000a_EU Solar Energy Strategy"/>
    <s v="Share should be 4.5% by 2030. In 2021, the relative size of solar thermal in overall heat consumption was 0.687 TWh (0.1%), over the total of 651 TWh. According to EurObserv'ER, there was a 10% growth in 2022, while the required annual rate growth is 12% to reach the target."/>
    <x v="1"/>
  </r>
  <r>
    <x v="1"/>
    <m/>
    <s v="EU Solar Energy Strategy"/>
    <s v="Communication from the Commission to the European Parliament, the Council, the European Economic and Social Committee and the Committee of the Regions"/>
    <n v="2022"/>
    <n v="0"/>
    <x v="0"/>
    <n v="0"/>
    <n v="0"/>
    <x v="0"/>
    <s v="TA2.7"/>
    <s v="Over this decade, the EU will need to install, on average, approximately 45 GW per year of PV to reach the share of 45% of energy coming from renewables set out in the REPowerEU Plan._x000a_EU Solar Energy Strategy"/>
    <s v="The installations in 2023 are estimated at 56 GWp (about 47 GWac) growing from 41 GWp (about 34 GWac) in 2022. At this current rate, the target is met."/>
    <x v="2"/>
  </r>
  <r>
    <x v="1"/>
    <m/>
    <s v="EU Solar Energy Strategy"/>
    <s v="Communication from the Commission to the European Parliament, the Council, the European Economic and Social Committee and the Committee of the Regions"/>
    <n v="2022"/>
    <n v="0"/>
    <x v="0"/>
    <n v="0"/>
    <n v="0"/>
    <x v="0"/>
    <s v="TA2.8"/>
    <s v="Ensure that energy poor and vulnerable consumers have access to solar energy, e.g. through social housing installations, energy communities, or financing support for individual installations"/>
    <m/>
    <x v="0"/>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9"/>
    <s v="Member States shall collectively ensure that the share of energy from renewable sources in the Union’s gross final consumption of energy in 2030 is at least 42.5%. RED III (Directive (EU) 2023/2413)"/>
    <s v="In 2022, renewable energy represented 23.0 % of energy consumed in the EU, up_x000a_from 21.9% in 2021. This EU-level target has not been translated into binding national contributions. The target is to be achieved jointly by all Member States, building on their coordinated and combined action. According to the EC assessment of the draft NECPs, the current drafts would lead to a share of 38.6-39.3% of renewables in the energy mix by 2030. Reaching the 2030 target of 42.5% (and even more so the aspirational target of 45%) will require a much faster growth in the coming years."/>
    <x v="1"/>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10"/>
    <s v="Member States shall set an indicative target for innovative renewable energy technology of at least 5% of newly installed renewable energy capacity by 2030._x000a_RED III (Directive (EU) 2023/2413)"/>
    <s v="Innovative technologies are defined as those that improve in at least one way comparable state-of-the-art renewable energy technologies or make exploitable a largely untapped renewable energy resource, involving a clear degree of risk,_x000a_in technological, market or financial terms, which is higher than the risk generally associated with comparable non-innovative technologies or activities. According to the Association of European Renewable Energy Research Centers (EUREC)_x000a_[73], the EU’s industry is ready, in the right circumstances, to deploy innovative renewable energy technologies to a level likely to exceed 5%, including innovative technologies such as advanced photovoltaics, floating photovoltaics, concentrated solar power and solar thermal."/>
    <x v="2"/>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11"/>
    <s v="By 31 December 2025, each Member State shall agree to establish a framework for cooperation on joint projects with one or more other Member States for the production of renewable energy, subject to the following: by 31 December 2030, Member States shall endeavour to agree on establishing at least two joint projects; by 31 December 2033, Member States with an annual electricity consumption of more than 100 TWh shall endeavour to agree on establishing a third joint project._x000a_RED III (Directive (EU) 2023/2413)"/>
    <s v="Joint projects allow for a cost-efficient deployment of renewable energy across Europe and contribute to market integration. Despite its potential, cooperation between Member States has been very limited, thus leading to suboptimal results in terms of efficiency in increasing renewable energy. There are a few projects under consideration and being planned, as well as some permitting and under construction. However, these are in localised areas across the EU and not homogeneously distributed between Member States."/>
    <x v="1"/>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12"/>
    <s v="Member States shall endeavour to increase the share of renewable sources in the amount of energy sources used for final energy and non-energy purposes in the industry sector by an indicative increase of at least 1,6 percentage points as an annual average calculated for the periods 2021 to 2025 and 2026 to 2030."/>
    <m/>
    <x v="0"/>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13"/>
    <s v="The amount of renewable fuels and renewable electricity supplied to the transport sector leads to a: (i) share of renewable energy within the final consumption of energy in the transport sector of at least 29 % by 2030; or_x000a_(ii) GHG intensity reduction of at least 14.5 % by 2030, compared to the baseline set out in Article 27(1), in accordance with an indicative trajectory set by the Member State._x000a_RED III (Directive (EU) 2023/2413)"/>
    <s v="The share of energy from renewable sources used in transport in the EU reached 9.6 % in 2022, up from 9.1% in 2021. Acceleration is needed to reach the 2030 target. Following a sharp 13.5% drop in transport related GHG emissions between 2019 and 2020, due to the COVID-19 pandemic, according to European Environ- ment Agency (EEA) data, they surged upwards (by 8.6%) between 2020 and 2021 from 720.2 to 782.1 Mt (million tonnes) and the EEA forecasts a further 2.7% increase for 2022, which would restore emission levels to above the 800-Mtonne threshold (803.2 Mt in 2022)._x000a_CO2 emissions account for almost all transport related GHG emissions (98.9% in 2021) and far outstrip those of nitrous oxide (N2O) (0.9% in CO2 equivalent units) and methane (0.2% in CO2 equivalent units)."/>
    <x v="1"/>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14"/>
    <s v="Each Member State shall increase the share of renewable energy in the heating and cooling sector by at least 0.8 percentage points as an annual average calculated for the period 2021 to 2025 and by at least 1.1 percentage points as an annual average calculated for the period 2026 to 2030, starting from the share of renewable energy in the sector in 2020. RED III (Directive (EU) 2023/2413)"/>
    <s v="Energy for heating and cooling makes up around half of the EU’s total gross final energy consumption. The annual average increases would lead to a target of 32.48% share by 2030. In 2022, the share of energy from renewables in heating and cooling continued to rise, with the EU average standing at 24.8%, up 1.8 percentage points from 2021 (23.0%). However, the 2022 value is still below the expected annual average. In absolute terms, the gross final consumption_x000a_of renewable energy for heating and cooling purposes in the EU has gradually increased over time, mostly due to the contribution of biomass and heat pumps. However, a major push is required to meet the 2030 target._x000a_Sweden led the way when it came to renewables in heating and cooling, with a 69.3% share, followed by Estonia (65.4%). Both countries use mostly biomass and heat pumps. They are followed by Latvia (61.0%), which relies mostly on biomass."/>
    <x v="1"/>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15"/>
    <s v="By 2022, achieve 18% of the total increase in the share of energy from renewable sources between that Member State’s binding 2020 national target, and its contribution to the 2030 target of the share of energy from renewable sources in gross final consumption of energy. Achieve 43% by 2025, 65% by 2027._x000a_RED III (Directive (EU) 2023/2413)"/>
    <s v="Two Member States (Malta and Sweden) have already reached their 2030 target. 18 Member States have achieved the 2022 target of 18%. However, in 2021, 10 Member States experienced a decline in their share respect their 2020 value. This occurred as well for seven Member States in 2022; nevertheless, two of them have still met their 2022 targets despite the decrease. The EU jointly has reached the 2022 sub-target."/>
    <x v="2"/>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16"/>
    <s v="Member States shall endeavour to increase the share of renewable sources in the amount of energy sources used for final energy and non-energy purposes in the industry sector by an indicative increase of at least 1.6 percentage points as an annual average calculated_x000a_for the periods 2021 to 2025 and 2026 to 2030 [Indicative target]_x000a_RED III (Directive (EU) 2023/2413)"/>
    <s v="A 1.6 percentage point annual increase leads to a 26% share of renewables by 2030. The share of renewables in 2022 was 10.7%, an increase from 9.7% in 2020. In absolute values, this is an increase from 23.3 Mtoe in 2021 to 24.1 Mtoe in 2022 Acceleration is needed to reach the 2030 target."/>
    <x v="1"/>
  </r>
  <r>
    <x v="1"/>
    <s v="Strategy for smart sector integration"/>
    <s v="amending Directive (EU) 2018/2001, Regulation (EU) 2018/1999 and Directive 98/70/EC as regards the promotion of energy from renewable sources, and repealing Council Directive (EU) 2015/652"/>
    <s v="Directive of the European Parliament and of the Council"/>
    <n v="2023"/>
    <n v="1"/>
    <x v="0"/>
    <n v="1"/>
    <m/>
    <x v="0"/>
    <s v="TA2.17"/>
    <s v="A target of 15% electricity interconnection for 2030_x000a_RED III (Directive (EU) 2023/2413)"/>
    <s v="In 2021, 16 countries reported being on track to reach that target by 2030, or had already reached the target, but more interconnections are needed in some regions. Specifically, eight Member States have already met or are exceeding the EU target. Others commit in their draft NECPs to develop interconnections with neighbouring countries by investing in new transmission capacities and interconnectors, espe- cially in regions that are historically dependent on a single supplier and now aim to improve diversification. Moreover, some Member States (e.g. EE, FI, IT and PT) plan to diversify their energy mix by carrying out joint hydrogen infrastructure projects [7]. Overall, Member States have made good efforts to increase cross-border capacity and the completion of various Projects of Common Interest should further improve the interconnectivity levels. Some Member States (CZ, IT, PT RO, SI, SE) are reporting delays in the completion of the projects in particular due to permitting issues. Still further efforts are required to meet the 2030 objectives, especially in terms of timely delivery of the planned cross-border projects [72]."/>
    <x v="1"/>
  </r>
  <r>
    <x v="1"/>
    <m/>
    <s v="amending Directive (EU) 2018/2001, Regulation (EU) 2018/1999 and Directive 98/70/EC as regards the promotion of energy from renewable sources, and repealing Council Directive (EU) 2015/652"/>
    <s v="Directive of the European Parliament and of the Council"/>
    <n v="2023"/>
    <n v="1"/>
    <x v="0"/>
    <n v="1"/>
    <m/>
    <x v="0"/>
    <s v="TA2.18"/>
    <s v="Indicative target of at least a 49% share of energy from renewable sources in the building sector in the Union’s final energy consumption in buildings in 2030. RED III (Directive (EU) 2023/2413)"/>
    <s v="No data available for buildings, only for the heating and cooling sector. From this data, the most reported fuels and technologies in 2021 per country are: biomass (21 countries), heat pumps (19), solar thermal systems (17), geothermal systems (12) and other decentralised renewable sources (8)."/>
    <x v="0"/>
  </r>
  <r>
    <x v="1"/>
    <s v="Evaluation and review of the Trans-European Network – Energy Regulation"/>
    <s v="Guidelines for trans-European energy infrastructure, amending Regulations (EC) No 715/2009, (EU) 2019/942 and (EU) 2019/943 and Directives 2009/73/EC and (EU) 2019/944, and repealing Regulation (EU) No 347/2013"/>
    <s v="Regulation of the European Parliament and of the Council"/>
    <n v="2022"/>
    <m/>
    <x v="1"/>
    <m/>
    <m/>
    <x v="1"/>
    <m/>
    <m/>
    <m/>
    <x v="0"/>
  </r>
  <r>
    <x v="1"/>
    <s v="Strategy for smart sector integration"/>
    <s v="amending Regulations (EU) 2019/943 and (EU) 2019/942 as well as Directives (EU) 2018/2001 and (EU) 2019/944 to improve the Union’s electricity market design"/>
    <s v="Proposal for a Regulation of the European Parliament and of the Council"/>
    <n v="2023"/>
    <m/>
    <x v="1"/>
    <m/>
    <m/>
    <x v="1"/>
    <m/>
    <m/>
    <m/>
    <x v="0"/>
  </r>
  <r>
    <x v="1"/>
    <m/>
    <s v="On the Energy Transition of the EU Fisheries and Aquaculture sector"/>
    <s v="Communication from the Commission to the European Parliament, the Council, the European Economic and Social Committee and the Committee of the Regions"/>
    <n v="2023"/>
    <n v="0"/>
    <x v="0"/>
    <n v="0"/>
    <n v="0"/>
    <x v="0"/>
    <s v="TA2.19"/>
    <s v="The fisheries sector must follow the two mutually reinforcing paths of reducing energy intensity, on the one hand, and switching to renewable and low-carbon energy sources, on the other hand"/>
    <m/>
    <x v="0"/>
  </r>
  <r>
    <x v="1"/>
    <s v="‘Renovation wave’ initiative for the building sector"/>
    <s v="On energy efficiency and amending Regulation (EU) 2023/955 (recast)"/>
    <s v="Directive of the European Parliament and of the Council"/>
    <n v="2023"/>
    <n v="1"/>
    <x v="0"/>
    <n v="1"/>
    <m/>
    <x v="0"/>
    <s v="TA2.20"/>
    <s v="Renovate each year at least 3% of the total floor area of buildings owned by all levels of public administration (as also agreed by Council-Parliament on 10.03.23)"/>
    <m/>
    <x v="0"/>
  </r>
  <r>
    <x v="1"/>
    <s v="‘Renovation wave’ initiative for the building sector"/>
    <s v="On energy efficiency and amending Regulation (EU) 2023/955 (recast)"/>
    <s v="Directive of the European Parliament and of the Council"/>
    <n v="2023"/>
    <n v="1"/>
    <x v="0"/>
    <n v="1"/>
    <m/>
    <x v="0"/>
    <s v="TA2.21"/>
    <s v="Member States shall ensure that the total final energy consumption of all public bodies combined is reduced by at least 1.9% each year, when compared to 2021. Directive (EU) 2023/1791"/>
    <s v="14 Member States reported data on public buildings in their national energy_x000a_and climate progress reports (NECPRs). Missing data prevent drawing general conclusions or calculating aggregated data at the EU level. In terms of final energy, the short-term evolution indicates a general increase with some exceptions, such as the residential sector in Greece and Ireland. The first reporting deadline for the EED is at the end of 2024."/>
    <x v="3"/>
  </r>
  <r>
    <x v="1"/>
    <s v="‘Renovation wave’ initiative for the building sector"/>
    <s v="On energy efficiency and amending Regulation (EU) 2023/955 (recast)"/>
    <s v="Directive of the European Parliament and of the Council"/>
    <n v="2023"/>
    <n v="1"/>
    <x v="0"/>
    <n v="1"/>
    <m/>
    <x v="0"/>
    <s v="TA2.22"/>
    <s v="Member States shall collectively ensure a reduction_x000a_of energy consumption of at least 11.7% in 2030 compared to the projections of the 2020 EU Reference Scenario so that the Union’s final energy consumption amounts to no more than 763 Mtoe._x000a_Directive (EU) 2023/1791"/>
    <s v="Final energy consumption reached 940 Mtoe in 2022, a 2.8% decrease compared with 2021. According to the EC assessment of the NECPs, the current Member States drafts pledges would lead to 5.8% energy efficiency improvements in 2030, compared to the target of 11.7%. Therefore, acceleration is needed to reach the 2030 target."/>
    <x v="1"/>
  </r>
  <r>
    <x v="1"/>
    <m/>
    <s v="On energy efficiency and amending Regulation (EU) 2023/955 (recast)"/>
    <s v="Directive of the European Parliament and of the Council"/>
    <n v="2023"/>
    <n v="1"/>
    <x v="0"/>
    <n v="1"/>
    <m/>
    <x v="0"/>
    <s v="TA2.23"/>
    <s v="Member States shall make efforts to collectively contribute to the indicative Union primary energy consumption target amounting to no more than 992.5 Mtoe in 2030._x000a_Directive (EU) 2023/1791"/>
    <s v="In 2022, primary energy consumption in the EU reached 1257 Mtoe, a 4.1% decrease compared with 2021, moving closer to the 2030 target._x000a_Following the decline registered in 2020 due to the impact of the pandemic across sectors, EU primary energy consumption increased again in 2021. The year 2022 shows better results than in 2019, before the pandemic, when primary energy consumption was at 1354 Mtoe and 36.5% away from the target._x000a_The 1257 Mtoe registered for primary energy consumption in 2022 was the second lowest level since 1990 (the first year for which data are available), and the lowest was in 2020 (1236 Mtoe)._x000a_According to the EC assessment of the NECPs, the current drafts would lead to a gap of 75 Mtoe from the 2030 target."/>
    <x v="1"/>
  </r>
  <r>
    <x v="1"/>
    <s v="‘Renovation wave’ initiative for the building sector"/>
    <s v="On energy efficiency and amending Regulation (EU) 2023/955 (recast)"/>
    <s v="Directive of the European Parliament and of the Council"/>
    <n v="2023"/>
    <n v="1"/>
    <x v="0"/>
    <n v="1"/>
    <m/>
    <x v="0"/>
    <s v="TA2.24"/>
    <s v="Each Member State shall ensure that at least 3% of the total floor area of heated and/or cooled buildings (of buildings which have a total useful floor area of over 250 m2 and are not nearly-zero energy buildings) that are owned by public bodies is renovated each year to be transformed into at least nearly zero- energy buildings or zero-emission buildings in accordance with Article 9 of Directive 2010/31/EU. Directive (EU) 2023/1791"/>
    <s v="According to SWD(2023)646, several Member States did not reach their annual targets. Member States will have to step up their efforts to be able to meet the savings requirement in 2030."/>
    <x v="1"/>
  </r>
  <r>
    <x v="1"/>
    <s v="‘Renovation wave’ initiative for the building sector"/>
    <s v="A Renovation Wave for Europe - greening our buildings, creating jobs, improving lives"/>
    <s v="Communication from the Commission to the European Parliament, the Council, the European Economic and Social Committee and the Committee of the Regions"/>
    <n v="2020"/>
    <n v="0"/>
    <x v="0"/>
    <n v="0"/>
    <n v="0"/>
    <x v="0"/>
    <s v="TA2.25"/>
    <s v="Reduce buildings’ final energy consumption by 14%._x000a_A Renovation Wave for Europe"/>
    <s v="The reference value for 2015 is 374.5 Mtoe. The final energy consumption (FEC) increased in 2021 to 391.2, value obtained from adding FEC from service and residential buildings (129.4 and 261.8 Mtoe). In 2022, the FEC decreased to 364.1 Mtoe, with 121.6 Mtoe coming from service buildings and 242.4 from residential buildings. Consumptions decreased by 2.8% in the 2015-2022 period."/>
    <x v="1"/>
  </r>
  <r>
    <x v="1"/>
    <s v="‘Renovation wave’ initiative for the building sector"/>
    <s v="A Renovation Wave for Europe - greening our buildings, creating jobs, improving lives"/>
    <s v="Communication from the Commission to the European Parliament, the Council, the European Economic and Social Committee and the Committee of the Regions"/>
    <n v="2020"/>
    <n v="0"/>
    <x v="0"/>
    <n v="0"/>
    <n v="0"/>
    <x v="0"/>
    <s v="TA2.26"/>
    <s v="At least double the annual energy renovation rate of residential and non-residential buildings by 2030 and to foster deep energy renovations._x000a_A Renovation Wave for Europe"/>
    <s v="The weighted annual energy renovation rate in the EU is about 1%, rate should double to 2% to achieve the target. For residential buildings, the annual weighted energy renovation rate was estimated close to 1% within the EU (0.4-1.2% depending on the Member State), for the 2012-2016 period. As of 2021, the annual rate of deep renovation is only 0.2% for residential buildings and 0.3% for non-residential buildings._x000a_Data on renovation rates in the NECPR are highly incomplete, with only seven Member States reporting in this field in 2023"/>
    <x v="1"/>
  </r>
  <r>
    <x v="1"/>
    <s v="‘Renovation wave’ initiative for the building sector"/>
    <s v="On the Energy Performance of Buildings (recast)"/>
    <s v="Proposal for a Directive of the European Parliament and of the Council"/>
    <n v="2021"/>
    <n v="0"/>
    <x v="0"/>
    <n v="0"/>
    <n v="1"/>
    <x v="0"/>
    <s v="TA2.27"/>
    <s v="Indicative national targets aiming to achieve the deep renovation of at least 35 million building units by 2030 to support reaching an annual energy renovation rate of 3 % or more for the period till 2050 (see latest test adopted by EP on 14.03.2023)"/>
    <m/>
    <x v="0"/>
  </r>
  <r>
    <x v="1"/>
    <s v="‘Renovation wave’ initiative for the building sector"/>
    <s v="On the Energy Performance of Buildings (recast)"/>
    <s v="Proposal for a Directive of the European Parliament and of the Council"/>
    <n v="2021"/>
    <n v="0"/>
    <x v="0"/>
    <n v="0"/>
    <n v="1"/>
    <x v="0"/>
    <s v="TA2.28"/>
    <s v="Reduce buildings’ energy consumption for heating and cooling by 18% compared to 2015 levels by 2030_x000a_A Renovation Wave for Europe"/>
    <s v="The reference value for 2015 is 234 Mtoe. In 2021, FEC for space heating and cooling buildings was 247.2 Mtoe, obtained from adding FEC for space heating residential + FEC for air conditioning residential (only electricity) + FEC for space heating services + FEC for air conditioning = 170.72 + 1.01 + 64.9 + 10.6 = 247.2 Mtoe (data from [75]). Consumptions increased by 5.6% (2015-2021), instead of reducing._x000a_Data for 2022 has not been published yet, however an estimate can be provided based on the 2015-2021 average share of services FEC for space heating and air conditioning to total services FEC (56%)._x000a_2022 FEC for space heating and cooling buildings = FEC for space heating residential + FEC for air conditioning residential (only electricity) + FEC for space heating and air conditioning services = 159.4 + 1.1 + 68.0 = 228 Mtoe. Consumptions expected to decrease by 1.3% (2015-2022)."/>
    <x v="1"/>
  </r>
  <r>
    <x v="1"/>
    <s v="‘Renovation wave’ initiative for the building sector"/>
    <s v="On the Energy Performance of Buildings (recast)"/>
    <s v="Proposal for a Directive of the European Parliament and of the Council"/>
    <n v="2021"/>
    <n v="0"/>
    <x v="0"/>
    <n v="0"/>
    <n v="1"/>
    <x v="0"/>
    <s v="TA2.29"/>
    <s v="Member states will have to renovate 16% of worst- performing non-residential buildings by 2030 and, by 2033, the worst-performing 26% through minimum energy performance requirements._x000a_EPBD (Directive (EU) 2024/1275)"/>
    <s v="Member States use different approaches to define their worst performing stock, such as energy class, age, energy consumption, as resulted by the analysis of the last long term building renovation strategies. In their NECPRs, a total of 6 countries defined worst performance according the primary or final energy consumption in kWh/m2, while no information was found in 12 other countries."/>
    <x v="3"/>
  </r>
  <r>
    <x v="1"/>
    <s v="‘Renovation wave’ initiative for the building sector"/>
    <s v="On the Energy Performance of Buildings (recast)"/>
    <s v="Proposal for a Directive of the European Parliament and of the Council"/>
    <n v="2021"/>
    <n v="0"/>
    <x v="0"/>
    <n v="0"/>
    <n v="1"/>
    <x v="0"/>
    <s v="TA2.30"/>
    <s v="The revised directive will make zero-emission buildings the new standard for new buildings. Under the agreement all new residential and non-residential buildings must have zero on-site emissions from fossil fuels, as of 1 January 2028 for publicly-owned buildings and as of 1 January 2030 for all other new buildings, with a possibility for specific exemptions. _x000a_See ‘Commission welcomes political agreement on new rules to boost energy performance of buildings across the EU’ "/>
    <m/>
    <x v="0"/>
  </r>
  <r>
    <x v="1"/>
    <s v="‘Renovation wave’ initiative for the building sector"/>
    <s v="On the Energy Performance of Buildings (recast)"/>
    <s v="Proposal for a Directive of the European Parliament and of the Council"/>
    <n v="2021"/>
    <n v="0"/>
    <x v="0"/>
    <n v="0"/>
    <n v="1"/>
    <x v="0"/>
    <s v="TA2.31"/>
    <s v="All existing buildings should be transformed into zero-emission buildings"/>
    <m/>
    <x v="0"/>
  </r>
  <r>
    <x v="1"/>
    <s v="‘Renovation wave’ initiative for the building sector"/>
    <s v="On the Energy Performance of Buildings (recast)"/>
    <s v="Proposal for a Directive of the European Parliament and of the Council"/>
    <n v="2021"/>
    <n v="0"/>
    <x v="0"/>
    <n v="0"/>
    <n v="1"/>
    <x v="0"/>
    <s v="TA2.32"/>
    <s v="100% of on-site energy consumption to be covered by renewable energy as for new buildings"/>
    <m/>
    <x v="0"/>
  </r>
  <r>
    <x v="1"/>
    <s v="‘Renovation wave’ initiative for the building sector"/>
    <s v="On the Energy Performance of Buildings (recast)"/>
    <s v="Proposal for a Directive of the European Parliament and of the Council"/>
    <n v="2021"/>
    <n v="0"/>
    <x v="0"/>
    <n v="0"/>
    <n v="1"/>
    <x v="0"/>
    <s v="same as TA1.16"/>
    <s v="The national measures will have to ensure that at least 55% of the decrease of the average primary energy use is achieved through the renovation of the worst-performing buildings._x000a_EPBD (Directive (EU) 2024/1275)"/>
    <s v="Member States use different approaches to define their worst performing stock, such as energy class, age, energy consumption, as resulted by the analysis of the last long term building renovation strategies. In the NECPR, a total of 6 countries defined worst performance according the primary or final energy consumption in kWh/m2, while no information was found in 12 other countries. The fields on worst performing buildings have generally a lower completeness in the NECPRs"/>
    <x v="0"/>
  </r>
  <r>
    <x v="1"/>
    <s v="‘Renovation wave’ initiative for the building sector"/>
    <s v="On the Energy Performance of Buildings (recast)"/>
    <s v="Proposal for a Directive of the European Parliament and of the Council"/>
    <n v="2021"/>
    <n v="0"/>
    <x v="0"/>
    <n v="0"/>
    <n v="1"/>
    <x v="0"/>
    <s v="same as TA2.29"/>
    <s v="Member States shall ensure that the average primary energy use of the entire residential building stock decreases by at least 16% compared to 2020 by 2030; and by at least 20-22% compared to 2020 by 2035_x000a_EPBD (Directive (EU) 2024/1275)"/>
    <s v="EU residential consumption in 2022 was 242 Mtoe (reduced by -2.1% on average in EU Member States compared to 2020). Strong acceleration is needed to meet the 2030 target"/>
    <x v="1"/>
  </r>
  <r>
    <x v="1"/>
    <s v="‘Renovation wave’ initiative for the building sector"/>
    <s v="On the Energy Performance of Buildings (recast)"/>
    <s v="Proposal for a Directive of the European Parliament and of the Council"/>
    <n v="2021"/>
    <n v="0"/>
    <x v="3"/>
    <n v="0"/>
    <n v="1"/>
    <x v="0"/>
    <s v="TA2.35"/>
    <s v="Member States will also have to set out specific measures on the phase-out of fossil fuels in heating and cooling with a view to a complete phase-out of boilers powered by fossil fuels by 2040 _x000a_See ‘Commission welcomes political agreement on new rules to boost energy performance of buildings across the EU’ "/>
    <m/>
    <x v="0"/>
  </r>
  <r>
    <x v="1"/>
    <s v="Assessment of the final National Energy and Climate Plans"/>
    <s v="An EU-wide assessment of National Energy and Climate Plans. Driving forward the green transition and promoting economic recovery through integrated energy and climate planning"/>
    <s v="Communication from the Commission to the European Parliament, the Council, the European Economic and Social Committee and the Committee of the Regions"/>
    <n v="2020"/>
    <m/>
    <x v="1"/>
    <m/>
    <m/>
    <x v="1"/>
    <s v="TA2.36"/>
    <s v="See ‘Commission welcomes political agreement on new rules to boost energy performance of buildings across the EU’ "/>
    <m/>
    <x v="0"/>
  </r>
  <r>
    <x v="1"/>
    <s v="Assessment of the final National Energy and Climate Plans"/>
    <s v="Laying down rules for the application of Regulation (EU) 2018/1999 of the European Parliament and of the Council as regards the structure, format, technical details and process for the integrated national energy and climate progress reports"/>
    <s v="Commission Implementing Regulation"/>
    <n v="2022"/>
    <m/>
    <x v="1"/>
    <m/>
    <m/>
    <x v="1"/>
    <s v="TA2.41"/>
    <s v="Member States are required to achieve cumulative end-use energy savings from 2021 to 2030, equivalent to new annual savings of at least 0.8%_x000a_of final energy consumption in 2021-2023, at least 1.3% in 2024-2025, 1.5% in 2026-2027 and 1.9% in 2028-2030._x000a_Directive (EU) 2023/1791"/>
    <s v="The directive requires EU countries to set indicative national energy efficiency targets based on final energy consumption contributions to meet the Union’s target. This requirement is cumulative, meaning that Member States must sustain the annual savings achieved in one year over the following years, until the end of the obligation period in 2030._x000a_Member States can spread the savings over the obligation period, as long as they achieve the required cumulative amount of savings at the end of the period. The progressive increase is equivalent to a flat rate of 1.49% over 2024-2030, which is almost a doubling of the current ambition level."/>
    <x v="1"/>
  </r>
  <r>
    <x v="1"/>
    <s v="Evaluation and review of the Trans-European Network – Energy Regulation"/>
    <s v="Guidelines for trans-European energy infrastructure, amending Regulations (EC) No 715/2009, (EU) 2019/942 and (EU) 2019/943 and Directives 2009/73/EC and (EU) 2019/944, and repealing Regulation (EU) No 347/2013"/>
    <s v="Regulation of the European Parliament and of the Council"/>
    <n v="2022"/>
    <m/>
    <x v="1"/>
    <m/>
    <m/>
    <x v="1"/>
    <m/>
    <m/>
    <m/>
    <x v="0"/>
  </r>
  <r>
    <x v="1"/>
    <s v="Strategy for smart sector integration"/>
    <s v="Powering a Climate neutrality economy: An EU Strategy for Energy System Integration"/>
    <s v="Communication from the Commission to the European Parliament, the Council, the European Economic and Social Committee and the Committee of the Regions"/>
    <n v="2020"/>
    <n v="0"/>
    <x v="0"/>
    <n v="0"/>
    <n v="0"/>
    <x v="0"/>
    <s v="TA2.37"/>
    <s v="By 2030, the share of renewable energy in the electricity mix should double to 55-60%, and projections show a share of around 84% by 2050. The remaining gap should be covered by other low-carbon options._x000a_An EU Strategy for Energy System Integration"/>
    <s v="In 2022, 39% of electricity was generated by renewables (38% in 2021), and in May 2022 wind and solar surpassed fossil fuels for the first time in EU electricity generation. The EU is on track to meet the lower end of the target for 2030 if the current acceleration rate is maintained"/>
    <x v="2"/>
  </r>
  <r>
    <x v="1"/>
    <s v="Strategy on offshore wind"/>
    <s v="European Wind Power Action Plan"/>
    <s v="Communication from the Commission to the European Parliament, the Council, the European Economic and Social Committee and the Committee of the Regions"/>
    <n v="2023"/>
    <m/>
    <x v="1"/>
    <m/>
    <m/>
    <x v="1"/>
    <m/>
    <m/>
    <m/>
    <x v="0"/>
  </r>
  <r>
    <x v="1"/>
    <s v="Strategy on offshore wind"/>
    <s v="Delivering on the EU offshore renewable energy ambitions"/>
    <s v="Communication from the Commission to the European Parliament, the Council, the European Economic and Social Committee and the Committee of the Regions"/>
    <n v="2023"/>
    <m/>
    <x v="1"/>
    <m/>
    <m/>
    <x v="1"/>
    <m/>
    <m/>
    <m/>
    <x v="0"/>
  </r>
  <r>
    <x v="1"/>
    <s v="Strategy on offshore wind"/>
    <s v="An EU Strategy to harness the potential of offshore renewable energy for a climate neutral future"/>
    <s v="Communication from the Commission to the European Parliament, the Council, the European Economic and Social Committee and the Committee of the Regions"/>
    <n v="2020"/>
    <n v="0"/>
    <x v="0"/>
    <n v="0"/>
    <n v="0"/>
    <x v="0"/>
    <s v="TA2.38"/>
    <s v="Cumulative EU offshore goals of installed capacity: 60 GW by 2030 and 300 GW by 2050_x000a_An EU offshore Renewable Energy Strategy"/>
    <s v="In 2023, the cumulative installed capacity for wind offshore was on the order of 19 GW (it was 16.2 GW in 2022). Annual installation rate grew from 1.2 GW/year to around 3GW/year. A substantial increase is required in annual installations to reach 60 GW by 2030 (about twice the increase rate). Additionally, Member States have agreed to a new more ambitious non-binding target of reaching 111 GW by 2030 and 317 GW by 2050."/>
    <x v="1"/>
  </r>
  <r>
    <x v="1"/>
    <s v="Strategy on offshore wind"/>
    <s v="An EU Strategy to harness the potential of offshore renewable energy for a climate neutral future"/>
    <s v="Communication from the Commission to the European Parliament, the Council, the European Economic and Social Committee and the Committee of the Regions"/>
    <n v="2020"/>
    <n v="0"/>
    <x v="0"/>
    <n v="0"/>
    <n v="0"/>
    <x v="0"/>
    <s v="TA2.39"/>
    <s v="The strategy sets targets for an installed capacity of at least 1 GW of ocean energy by 2030 and 40 GW by 2050_x000a_An EU offshore Renewable Energy Strategy"/>
    <s v="In 2023, the EU Member States installed in the order of 700 kW of_x000a_ocean energy (compared to 150 kW in 2022) and the cumulative ocean energy capacity in European sea basins is 43.8 MW. While there has been a positive increase in installations in the last year, the rate of annual installed capacity should still grow substantially to reach the 2030 target. Strong acceleration is needed."/>
    <x v="1"/>
  </r>
  <r>
    <x v="1"/>
    <s v="Proposal to support zero carbon steel-making processes by 2030"/>
    <s v="REPowerEU Plan"/>
    <s v="Communication from the Commission to the European Parliament, the Council, the European Economic and Social Committee and the Committee of the Regions"/>
    <n v="2022"/>
    <n v="0"/>
    <x v="0"/>
    <n v="0"/>
    <n v="0"/>
    <x v="0"/>
    <s v="TA2.40"/>
    <s v="Around 30% of EU primary steel production is ex- pected to be decarbonised on the basis of renewable hydrogen._x000a_REPowerEU"/>
    <s v="The use of renewable hydrogen in Europe is negligible at the moment. This also includes industrial processes. Several initiatives at the European level such as Projects of Common Interest (PCIs), Important Projects of Common European Interest (IPCEIs), and the Hydrogen Bank, are expected to kick- start production of renewable hydrogen at scale. Several of the financed initiatives are targeting the production of green steel and currently Europe has the highest number of projects aimed at using renewable hydrogen for the production of steel."/>
    <x v="1"/>
  </r>
  <r>
    <x v="2"/>
    <s v="Circular Economy Action Plan, including a sustainable products initiative and particular focus on resource intense sectors such as textiles, construction, electronics and plastics"/>
    <s v="A new Circular Economy Action Plan. For a cleaner and more competitive Europe"/>
    <s v="Communication from the Commission to the European Parliament, the Council, the European Economic and Social Committee and the Committee of the Regions"/>
    <n v="2020"/>
    <n v="0"/>
    <x v="0"/>
    <n v="0"/>
    <n v="0"/>
    <x v="0"/>
    <s v="TA3.1"/>
    <s v="Halve the amount of residual (non-recycled) municipal waste by 2030_x000a_A new Circular Economy Action Plan"/>
    <s v="For this target, 2020 was assumed as the reference year, since the new CEAP was published in March 2020. This target is also recalled in the 'Zero Pollution Action Plan'. The target aims at halving the amount of residual municipal waste by 2030. Assuming as a reference year the 2020, the residual municipal waste should be reduced from 119 to 59.5 Mtonnes._x000a_Looking at historical trends, the amount of residual municipal waste decreased by only 5% in the time frame 2012-2021 and slightly increased in the last seven years (2015-2021, +2.6%). Despite increasing recycling levels, the amount of waste generated is increasing at a higher pace [130]."/>
    <x v="4"/>
  </r>
  <r>
    <x v="2"/>
    <s v="Circular Economy Action Plan, including a sustainable products initiative and particular focus on resource intense sectors such as textiles, construction, electronics and plastics"/>
    <s v="A new Circular Economy Action Plan. For a cleaner and more competitive Europe"/>
    <s v="Communication from the Commission to the European Parliament, the Council, the European Economic and Social Committee and the Committee of the Regions"/>
    <n v="2020"/>
    <n v="0"/>
    <x v="0"/>
    <n v="0"/>
    <n v="0"/>
    <x v="0"/>
    <s v="TA3.2"/>
    <s v="Reduce landfill to a maximum of 10% of municipal waste"/>
    <m/>
    <x v="0"/>
  </r>
  <r>
    <x v="2"/>
    <s v="Circular Economy Action Plan, including a sustainable products initiative and particular focus on resource intense sectors such as textiles, construction, electronics and plastics"/>
    <s v="A new Circular Economy Action Plan. For a cleaner and more competitive Europe"/>
    <s v="Communication from the Commission to the European Parliament, the Council, the European Economic and Social Committee and the Committee of the Regions"/>
    <n v="2020"/>
    <n v="0"/>
    <x v="0"/>
    <n v="0"/>
    <n v="0"/>
    <x v="0"/>
    <s v="TA3.3"/>
    <s v="Double EU’s circular material use rate in the coming decade_x000a_A new Circular Economy Action Plan"/>
    <s v="This target aims to increase the circular material use rate (CMUR) from 11.7% in 2020 to 23.4% in 2030. At the EU level, this target has been steady since 2010, registering an increase of less than 1 percentage point [131]. As such, there is a stagnation in the pace of improvement of the CMUR indicator. At the Member State level, CMUR shows a high variability with values ranging from 0.6 to 27.5% in 2022."/>
    <x v="4"/>
  </r>
  <r>
    <x v="2"/>
    <s v="Circular Economy Action Plan, including a sustainable products initiative and particular focus on resource intense sectors such as textiles, construction, electronics and plastics"/>
    <s v="EU Strategy for Sustainable and Circular Textiles"/>
    <s v="Communication from the Commission to the European Parliament, the Council, the European Economic and Social Committee and the Committee of the Regions"/>
    <n v="2022"/>
    <n v="0"/>
    <x v="0"/>
    <n v="0"/>
    <n v="0"/>
    <x v="0"/>
    <s v="TA3.4"/>
    <s v="By 2030 textile products placed on the EU market are long-lived and recyclable, to a great extent made of recycled fibres, free of hazardous substances and produced in respect of social rights and the environment"/>
    <m/>
    <x v="0"/>
  </r>
  <r>
    <x v="2"/>
    <s v="Circular Economy Action Plan, including a sustainable products initiative and particular focus on resource intense sectors such as textiles, construction, electronics and plastics"/>
    <s v="EU Strategy for Sustainable and Circular Textiles"/>
    <s v="Communication from the Commission to the European Parliament, the Council, the European Economic and Social Committee and the Committee of the Regions"/>
    <n v="2022"/>
    <n v="0"/>
    <x v="0"/>
    <n v="0"/>
    <n v="0"/>
    <x v="0"/>
    <s v="TA3.5"/>
    <s v="By 2030 producers will have responsibility for their products along the value chain, including when they become waste. The circular textiles ecosystem is thriving, driven by sufficient capacities for innovative fibre-to-fibre recycling, while the incineration and landfilling of textiles is reduced to the minimum. "/>
    <m/>
    <x v="0"/>
  </r>
  <r>
    <x v="2"/>
    <s v="EU Industrial strategy"/>
    <s v="Updating the 2020 New Industrial Strategy: Building a stronger Single Market for Europe’s recovery"/>
    <s v="Communication from the Commission to the European Parliament, the Council, the European Economic and Social Committee and the Committee of the Regions"/>
    <n v="2021"/>
    <m/>
    <x v="1"/>
    <m/>
    <m/>
    <x v="1"/>
    <s v="TA3.6"/>
    <m/>
    <m/>
    <x v="0"/>
  </r>
  <r>
    <x v="2"/>
    <s v="EU Industrial strategy"/>
    <s v="A New Industrial Strategy for Europe"/>
    <s v="Communication from the Commission to the European Parliament, the Council, the European Economic and Social Committee and the Committee of the Regions"/>
    <n v="2020"/>
    <m/>
    <x v="1"/>
    <m/>
    <m/>
    <x v="1"/>
    <s v="TA3.7"/>
    <m/>
    <m/>
    <x v="0"/>
  </r>
  <r>
    <x v="2"/>
    <s v="EU Industrial strategy"/>
    <s v="Establishing a framework for ensuring a secure and sustainable supply of critical raw materials and amending Regulations (EU) 168/2013, (EU) 2018/858, 2018/1724 and (EU) 2019/1020"/>
    <s v="Proposal for a Regulation of the European Parliament and of the Council"/>
    <n v="2023"/>
    <n v="0"/>
    <x v="0"/>
    <n v="0"/>
    <n v="1"/>
    <x v="0"/>
    <s v="TA3.8"/>
    <s v="By 2030, Union extraction capacity should be able_x000a_of extracting the ores, minerals or concentrates needed to produce at least 10% of the Union’s annual consumption of strategic raw materials, to the extent possible in light of the Union’s reserves._x000a_Regulation (EU) 2024/1252"/>
    <s v="The historical time trends (2011-2022) for EU self-sufficiency at extraction phase for the 16 strategic materials can be extracted based on data from [121], [122] and [123]. Results show that:_x000a_- In 2022, cobalt, copper, lithium and nickel were above the benchmark of 10%, while their trends have been stably above the benchmark (i.e. copper and nickel) or increased slightly in the period 2011-2022 (i.e. cobalt and lithium)1._x000a_- For bismuth, boron, gallium, germanium, magnesium, natural graphite, titanium, platinum group metals, heavy rare earth elements and light rare earth elements, the EU’s self-sufficiency has always been below 2%._x000a_- Between 2016 and 2022, the EU’s self-sufficiency for manganese was below the benchmark, with values ranging from 4 to 10% in the time frame 2016-2022._x000a_1 Due to high volatility on the data for tungsten (only two date points available from EC studies), this material is not included in the analysis."/>
    <x v="1"/>
  </r>
  <r>
    <x v="2"/>
    <s v="EU Industrial strategy"/>
    <s v="Establishing a framework for ensuring a secure and sustainable supply of critical raw materials and amending Regulations (EU) 168/2013, (EU) 2018/858, 2018/1724 and (EU) 2019/1020"/>
    <s v="Proposal for a Regulation of the European Parliament and of the Council"/>
    <n v="2023"/>
    <n v="0"/>
    <x v="0"/>
    <n v="0"/>
    <n v="1"/>
    <x v="0"/>
    <s v="TA3.9"/>
    <s v="By 2030, Union processing capacity, including for all intermediate processing steps, should be able of producing at least 40% of the Union’s annual consumption of strategic raw materials. Regulation (EU) 2024/1252"/>
    <s v="The historical time trends (2011-2022) for the EU self-sufficiency at processing phase for the 16 strategic materials can be extracted based on data from [121] and [122] and [123]. Results show that:_x000a_- The EU’s self-sufficiency for copper, cobalt and germanium was above the benchmark in 2022. For copper, this value has been stably above 80% in the period 2011-2022. For cobalt and germanium, the trend was fluctuating and more unstable, but increasing in between 2018 and 2022._x000a_- The EU’s self-sufficiency was below the benchmark in 2022 for bismuth, boron, gallium and platinum group metals, with gallium showing a drastic decrease from 2011 (100%) to 2022 (2%)._x000a_- The EU has no self-sufficiency to process lithium, magnesium, natural graphite, titanium, and both heavy and light rare earth elements, while there is no sufficient data available for tungsten, nickel and manganese."/>
    <x v="1"/>
  </r>
  <r>
    <x v="2"/>
    <s v="EU Industrial strategy"/>
    <s v="Establishing a framework for ensuring a secure and sustainable supply of critical raw materials and amending Regulations (EU) 168/2013, (EU) 2018/858, 2018/1724 and (EU) 2019/1020"/>
    <s v="Proposal for a Regulation of the European Parliament and of the Council"/>
    <n v="2023"/>
    <n v="0"/>
    <x v="0"/>
    <n v="0"/>
    <n v="1"/>
    <x v="0"/>
    <s v="TA3.10"/>
    <s v="Union's access to a secure and sustainable supply of critical raw materials by ensuring that the Union's recycling capacity, including for all intermediate recycling steps, is able to produce at least 15% of the Union's annual consumption of strategic raw materials"/>
    <m/>
    <x v="0"/>
  </r>
  <r>
    <x v="2"/>
    <s v="EU Industrial strategy"/>
    <s v="Establishing a framework for ensuring a secure and sustainable supply of critical raw materials and amending Regulations (EU) 168/2013, (EU) 2018/858, 2018/1724 and (EU) 2019/1020"/>
    <s v="Proposal for a Regulation of the European Parliament and of the Council"/>
    <n v="2023"/>
    <n v="0"/>
    <x v="0"/>
    <n v="0"/>
    <n v="1"/>
    <x v="0"/>
    <s v="TA3.11"/>
    <s v="Diversify the Union’s imports of strategic raw materials with a view to ensuring that, by 2030, the Union’s annual consumption of each strategic raw ma- terial at any relevant stage of processing can rely on imports from several third countries or from overseas countries or territories (OCTs) and that no third country accounts for more than 65% of the Union’s annual consumption of such a strategic raw material. Regulation (EU) 2024/1252"/>
    <s v="Half of the 16 strategic raw materials have values above the 65% target, therefore there is a low diversification of sourcing countries. These include bismuth, gallium, lithium, magnesium, platinum group metals, and both heavy and light rare earth elements."/>
    <x v="1"/>
  </r>
  <r>
    <x v="2"/>
    <s v="EU Industrial strategy"/>
    <s v="On establishing a framework of measures for strengthening Europe’s net-zero technology products manufacturing ecosystem (Net Zero Industry Act)"/>
    <s v="Proposal for a Regulation of the European Parliament and of the Council"/>
    <n v="2023"/>
    <n v="0"/>
    <x v="0"/>
    <n v="0"/>
    <n v="1"/>
    <x v="0"/>
    <s v="TA3.12"/>
    <s v="By 2030, manufacturing capacity in the Union of the strategic net-zero technologies listed in the Annex approaches or reaches a benchmark of at least 40% of the Union’s annual deployment needs.Net Zero Industry Act"/>
    <s v="Target set in 2023, data is currently not available to assess this target."/>
    <x v="3"/>
  </r>
  <r>
    <x v="2"/>
    <s v="EU Industrial strategy"/>
    <s v="A Green Deal Industrial Plan for the Net-Zero Age"/>
    <s v="Communication from the Commission to the European Parliament, the Council, the European Economic and Social Committee and the Committee of the Regions"/>
    <n v="2023"/>
    <m/>
    <x v="1"/>
    <m/>
    <m/>
    <x v="1"/>
    <s v="TA3.13"/>
    <s v="By 2030, Union recycling capacity, including for_x000a_all intermediate recycling steps, should be able_x000a_of producing at least 25% of the Union’s annual consumption of strategic raw materials and should be able of recycling significantly increasing amounts of each strategic raw material from waste._x000a_Regulation (EU) 2024/1252"/>
    <s v="The historical trends of the recycling capacity for strategic materials can be assessed by looking at the evolution of the End-of-Life Recycling Input Rate of strategic materials over time. Out of 16 strategic materials, the recycling capacity: - was above the 25% benchmark in 2022 for two materials (copper and tungsten), - was between 22% and 5% in 2022 for eight materials groups (cobalt, magnesium, manganese, nickel, titanium, platinum group metals, and both heavy and light rare earth elements)_x000a_- was below 5% for six materials (bismuth, boron, gallium, germanium, lithium and natural graphite)"/>
    <x v="1"/>
  </r>
  <r>
    <x v="2"/>
    <s v="Initiatives to stimulate lead markets for climate neutral and circular products in energy intensive industrial sectors"/>
    <m/>
    <m/>
    <m/>
    <m/>
    <x v="1"/>
    <m/>
    <m/>
    <x v="1"/>
    <s v="TA3.14"/>
    <m/>
    <m/>
    <x v="0"/>
  </r>
  <r>
    <x v="2"/>
    <s v="Legislation on batteries in support of the Strategic Action Plan on Batteries and the circular economy"/>
    <s v="Concerning batteries and waste batteries, amending Directive 2008/98/EC and Regulation (EU) 2019/1020 and repealing Directive 2006/66/EC"/>
    <s v="Regulation of the European Parliament and of the Council"/>
    <n v="2023"/>
    <n v="1"/>
    <x v="2"/>
    <n v="1"/>
    <m/>
    <x v="0"/>
    <s v="TA3.15"/>
    <s v="Producers of starting, lighting and ignition batteries, industrial batteries and electric vehicle batteries or, where appointed in accordance with Article 57(1), producer responsibility organisations, shall take_x000a_back, free of charge and without an obligation on the end- user to buy a new battery, nor to have bought the battery from them, and shall ensure that all_x000a_waste starting, lighting and ignition batteries, waste industrial batteries and waste electric vehicle batteries regardless of their nature, chemical composition, condition, brand, or origin of the respective category that they have made available on the market for the first time in the territory of that Member State are collected separately._x000a_Regulation (EU) 2023/1542"/>
    <s v="Currently, there is no official monitoring system in place and therefore it is not possible to assess if the target will be reached."/>
    <x v="3"/>
  </r>
  <r>
    <x v="2"/>
    <s v="Legislation on batteries in support of the Strategic Action Plan on Batteries and the circular economy"/>
    <s v="Concerning batteries and waste batteries, amending Directive 2008/98/EC and Regulation (EU) 2019/1020 and repealing Directive 2006/66/EC"/>
    <s v="Regulation of the European Parliament and of the Council"/>
    <n v="2023"/>
    <n v="1"/>
    <x v="0"/>
    <n v="1"/>
    <m/>
    <x v="0"/>
    <s v="TA3.16"/>
    <s v="Producers of portable batteries or, where appointed in accordance with Article 57(1), producer responsibility organisations, shall attain, and maintain durably,_x000a_at least the following collection targets for waste portable batteries:_x000a_- 45% by 31 December 2023; - 63% by 31 December 2027; - 73% by 31 December 2030. Regulation (EU) 2023/1542"/>
    <s v="The calculation methodology is under development and these targets will be updated accordingly, whilst maintaining the same level of ambition._x000a_Currently, there is no robust data to assess the distance to the targets (e.g. due to new types of batteries entering in the markets, longer lifetime of batteries, new applications)._x000a_Assuming the ambition of the targets, attention might be paid in the implementa- tion phase at Member State level."/>
    <x v="3"/>
  </r>
  <r>
    <x v="2"/>
    <s v="Legislation on batteries in support of the Strategic Action Plan on Batteries and the circular economy"/>
    <s v="Concerning batteries and waste batteries, amending Directive 2008/98/EC and Regulation (EU) 2019/1020 and repealing Directive 2006/66/EC"/>
    <s v="Regulation of the European Parliament and of the Council"/>
    <n v="2023"/>
    <n v="1"/>
    <x v="0"/>
    <n v="1"/>
    <m/>
    <x v="0"/>
    <s v="TA3.17"/>
    <s v="Producers of LMT batteries or, where appointed in accordance with Article 57(1), producer responsibility organisations, shall attain, and maintain durably, at least the following collection targets of waste LMT batteries:_x000a_- 51% by 31 December 2028; - 61% by 31 December 2031. Regulation (EU) 2023/1542"/>
    <s v="The calculation methodology is under development and these targets will be updated accordingly, whilst maintaining the same level of ambition. Considering that light means of transport batteries represent a new market and collection systems need to be adapted, currently it is not possible to assess whether these ambitious targets are reachable or not."/>
    <x v="3"/>
  </r>
  <r>
    <x v="2"/>
    <s v="Legislation on batteries in support of the Strategic Action Plan on Batteries and the circular economy"/>
    <s v="Concerning batteries and waste batteries, amending Directive 2008/98/EC and Regulation (EU) 2019/1020 and repealing Directive 2006/66/EC"/>
    <s v="Regulation of the European Parliament and of the Council"/>
    <n v="2023"/>
    <n v="1"/>
    <x v="0"/>
    <n v="1"/>
    <m/>
    <x v="0"/>
    <s v="TA3.18"/>
    <s v="For industrial batteries with a capacity greater than 2kWh, except those with exclusively external storage, electric vehicle batteries and starting, lighting and ignition batteries that contain cobalt, lead, lithium_x000a_or nickel in active materials, the minimum recycled content percentage for each battery model per year and per manufacturing plant shall be:_x000a_From 18 August 2031, 16% cobalt; 85% lead; 6% lithium; and 6% nickel;_x000a_From 18 August 2036, 26% cobalt; 85% lead; 12% lithium; and 15% nickel._x000a_Regulation (EU) 2023/1542"/>
    <s v="The assessment methodology is under development. Therefore, it is not possible to assess whether all producers will be able to reach these targets._x000a_JRC internal calculations show that these targets are in principle feasible, although significant changes in the industrial production systems are needed."/>
    <x v="3"/>
  </r>
  <r>
    <x v="2"/>
    <s v="Legislation on batteries in support of the Strategic Action Plan on Batteries and the circular economy"/>
    <s v="Concerning batteries and waste batteries, amending Directive 2008/98/EC and Regulation (EU) 2019/1020 and repealing Directive 2006/66/EC"/>
    <s v="Regulation of the European Parliament and of the Council"/>
    <n v="2023"/>
    <n v="1"/>
    <x v="0"/>
    <n v="1"/>
    <m/>
    <x v="0"/>
    <s v="TA3.19"/>
    <s v="Any  natural or legal person that places on the market products incorporating portable batteries shall ensure that those batteries are readily removable and replaceable by the end-user at any time during the lifetime of the product. That obligation shall only apply to entire batteries and not to individual cells or other parts included in such batteries._x000a_Regulation (EU) 2023/1542_x000a_"/>
    <s v="This target is ambitious with a very wide coverage of products, many of which are expected to be redesigned in order to be compliant. However, high uncertainty on distance to target lies with existence of derogations and the challenge to establish them at product-specific level. The Delegated Acts expected to specify deroga- tions are not yet in place. Verification and procedures to accept/reject derogation applications will also need to be defined in the Delegated Acts."/>
    <x v="3"/>
  </r>
  <r>
    <x v="2"/>
    <s v="Legislation on batteries in support of the Strategic Action Plan on Batteries and the circular economy"/>
    <s v="Concerning batteries and waste batteries, amending Directive 2008/98/EC and Regulation (EU) 2019/1020 and repealing Directive 2006/66/EC"/>
    <s v="Regulation of the European Parliament and of the Council"/>
    <n v="2023"/>
    <n v="1"/>
    <x v="0"/>
    <n v="1"/>
    <m/>
    <x v="0"/>
    <s v="TA3.20"/>
    <s v="Recycling shall achieve at least the following targets for recycling efficiency:_x000a_No later than 31 December 2025_x000a_- 75% by average weight of lead-acid batteries;_x000a_- 80% by average weight of nickel-cadmium batteries - 50% by average weight of other waste batteries_x000a_No later than 31 December 2030_x000a_- 80% by average weight of lead-acid batteries; Regulation (EU) 2023/1542"/>
    <s v="Based on current draft guidance for calculation and verification rules for recycling efficiency, the targets for lead-acid, nickel-cadmium and other waste batteries are feasible._x000a_Since, for lead-acid batteries, the battery chemistry and related recycling technologies are fully mature and efficient. For both nickel-cadmium and other waste batteries, it will be important to monitor the performances due to the evolving market for these chemistries."/>
    <x v="3"/>
  </r>
  <r>
    <x v="2"/>
    <s v="Legislation on batteries in support of the Strategic Action Plan on Batteries and the circular economy"/>
    <s v="Concerning batteries and waste batteries, amending Directive 2008/98/EC and Regulation (EU) 2019/1020 and repealing Directive 2006/66/EC"/>
    <s v="Regulation of the European Parliament and of the Council"/>
    <n v="2023"/>
    <n v="1"/>
    <x v="2"/>
    <n v="1"/>
    <m/>
    <x v="0"/>
    <s v="TA3.21"/>
    <s v="Recycling shall achieve at least the following targets for recycling efficiency:_x000a_- No later than 31 December 2025, 65% by average weight of lithium-based batteries;_x000a_- No later than 31 December 2030, 70% by average weight of lithium-based batteries._x000a_Regulation (EU) 2023/1542"/>
    <s v="The 2025 target for lithium-based batteries is in principle feasible, however due to the increasing diversity of lithium-based batteries on the market, it is important to closely monitor the performance towards the target. Furthermore, there are some improvement opportunities when data is available, recycling systems are established and when the target is revised by 2027."/>
    <x v="1"/>
  </r>
  <r>
    <x v="2"/>
    <s v="Legislation on batteries in support of the Strategic Action Plan on Batteries and the circular economy"/>
    <s v="Concerning batteries and waste batteries, amending Directive 2008/98/EC and Regulation (EU) 2019/1020 and repealing Directive 2006/66/EC"/>
    <s v="Regulation of the European Parliament and of the Council"/>
    <n v="2023"/>
    <n v="1"/>
    <x v="0"/>
    <n v="1"/>
    <m/>
    <x v="0"/>
    <s v="TA3.22"/>
    <s v="All recycling shall achieve at least the following targets for recovery of materials:_x000a_- No later than 31 December 2027, 90% for cobalt, copper, lead, nickel;_x000a_- No later than 31 December 2031, 95% for cobalt, copper, lead, nickel;_x000a_Regulation (EU) 2023/1542"/>
    <s v="Based on the current draft guidance for the calculation and verification rules for material recovery, the targets for cobalt, copper, lead and nickel are feasible."/>
    <x v="2"/>
  </r>
  <r>
    <x v="2"/>
    <s v="Legislation on batteries in support of the Strategic Action Plan on Batteries and the circular economy"/>
    <s v="Concerning batteries and waste batteries, amending Directive 2008/98/EC and Regulation (EU) 2019/1020 and repealing Directive 2006/66/EC"/>
    <s v="Regulation of the European Parliament and of the Council"/>
    <n v="2023"/>
    <n v="1"/>
    <x v="0"/>
    <n v="1"/>
    <m/>
    <x v="0"/>
    <s v="TA3.23"/>
    <s v="All recycling shall achieve at least the following targets for recovery of materials, 50% for lithium, no later than 31 December 2027; and 80% for lithium no later than 31 December 2031._x000a_Regulation (EU) 2023/1542"/>
    <s v="Based on the current draft guidance for the calculation and verification rules, the target for lithium is in principle feasible. Significant investments in lithium recycling systems are required."/>
    <x v="1"/>
  </r>
  <r>
    <x v="2"/>
    <s v="Propose legislative waste reforms"/>
    <s v="Amending Directive 2008/98/EC on waste"/>
    <s v="Proposal for a Directive of the European Parliament and of the Council"/>
    <n v="2023"/>
    <n v="0"/>
    <x v="0"/>
    <n v="0"/>
    <n v="1"/>
    <x v="0"/>
    <s v="TA3.24"/>
    <s v="Reduce the generation of food waste in processing and manufacturing by 10% in comparison to the amount generated in 2020_x000a_Proposal amending Directive 2008/98/EC on waste"/>
    <s v="Data for these targets is only available for 2020 and for 2021 in Eurostat, therefore it is still early to define a clear trend. However, based on the analysis performed in the impact assessment of the Proposal for a Directive amending Directive 2008/98/EC on waste [108], it is possible to estimate that the target is feasible, but progress needs to accelerate to reach the target value."/>
    <x v="1"/>
  </r>
  <r>
    <x v="2"/>
    <s v="Propose legislative waste reforms"/>
    <s v="Amending Directive 2008/98/EC on waste"/>
    <s v="Proposal for a Directive of the European Parliament and of the Council"/>
    <n v="2023"/>
    <n v="0"/>
    <x v="0"/>
    <n v="0"/>
    <n v="1"/>
    <x v="0"/>
    <s v="TA3.25"/>
    <s v="Reduce the generation of food waste per capita, jointly in retail and other distribution of food, in restaurants and food services and in households, by 30% in comparison to the amount generated in 2020 Proposal amending Directive 2008/98/EC on waste"/>
    <s v="Data for these targets is only available for 2020 and for 2021 in Eurostat, therefore it is still early to define a clear trend. However, based on the analysis performed in the impact assessment of the Proposal for a Directive amending Directive 2008/98/EC on waste [108], it is possible to estimate that the target is feasible, but progress needs to accelerate to reach the target value."/>
    <x v="1"/>
  </r>
  <r>
    <x v="2"/>
    <s v="Propose legislative waste reforms"/>
    <s v="On preventing plastic pellet losses to reduce microplastic pollution"/>
    <s v="Proposal for a Regulation of the European Parliament and of the Council"/>
    <n v="2023"/>
    <m/>
    <x v="1"/>
    <m/>
    <m/>
    <x v="1"/>
    <s v="TA3.26"/>
    <m/>
    <m/>
    <x v="0"/>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27"/>
    <s v="All packaging shall be recyclable_x000a_Proposal on packaging and packaging waste"/>
    <s v="Criteria and assessment methodology under development"/>
    <x v="3"/>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28"/>
    <s v="The plastic part in packaging shall contain the following minimum percentage of recycled content recovered from post-consumer plastic waste, per unit of packaging: From 1 January 2030_x000a_(i) 30% for contact sensitive packaging made from polyethylene terephthalate (PET) as major component;_x000a_(ii) 10% for contact sensitive made from plastic materials other than PET, except single use plastic bottles;_x000a_(iii) 30% for single use plastic beverage bottles;_x000a_(iv) 35% for other plastic packaging_x000a_From 1 January 2040_x000a_(v) 50% for contact sensitive plastic packaging, except single use plastic beverage bottles;_x000a_(vi) 65% for single use plastic beverage bottles;_x000a_(vii) 65% for other plastic packaging_x000a_Proposal on packaging and packaging waste"/>
    <s v="Currently, there are no official statistics on the recycled content in plastic packaging, due to the lack of EU guidelines on calculating and reporting recycled content. As of 2022, there is no recycled content in food-contact (non-PET) plastic packaging, 20% in PET packaging and 14% for other plastic packaging [126], [127]. These recycled content rates are still far away from the 2030 targets of 10%, 30% and 35% for each plastic packaging category, respectively."/>
    <x v="1"/>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29"/>
    <s v="Member States shall take measures to achieve a sus- tained reduction in the consumption of lightweight plastic carrier bags on their territory. A sustained reduction is achieved if the annual consumption does not exceed_x000a_40 lightweight plastic carrier bags per person, or the equivalent target in weight, by 31 December 2025, and subsequently by 31 December in each year thereafter. Proposal on packaging and packaging waste"/>
    <s v="Data are only available for 18 Member States, 12 Member States have already achieved the 2025 target. The 6 other Member States that are have not met the target yet have indicated a clear drop from 2018 plastic bag consumption values, suggesting that these Member States are on track to reach the 2025 target. Currently, data are not available for the following 9 Member States: Bulgaria, Denmark, Estonia, Greece, Italy, Malta, Netherlands, Romania and Finland [124]."/>
    <x v="2"/>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30"/>
    <s v="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
    <s v="On average, the packaging waste generated increased from 157 kg per person in 2011 to 178 kg per person in 2020. Most Member States have reported_x000a_a steady growth in packaging waste generation per capita in the period of 2011-2020, particularly Romania, Bulgaria, Croatia, Hungary, Poland and Czechia [99]. Currently, none of the Member States is on track to reach the packaging waste reduction targets. However, the newly agreed Plastic and Packaging Waste Regulation intends to bend the currently observed stagnant or upward trend of packaging waste generation through a number of measures, in particular binding reuse and refill requirements."/>
    <x v="1"/>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31"/>
    <s v="Member States shall take the necessary measures to attain the recycling targets of 65% by weight_x000a_of all packaging waste generated by 31 December 2025; and of 70% by weight of all packaging waste generated by 31 December 2030._x000a_Proposal on packaging and packaging waste"/>
    <s v="For all packaging at the EU level2, the 2025 recycling rate target is feasible. However, 10 Member States are at risk of missing the 2025 target, including Bulgaria, Croatia, Cyprus, Greece, Hungary, Lithuania, Malta, Poland, Romania and Slovakia [125]."/>
    <x v="1"/>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32"/>
    <s v="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
    <s v="Plastic is the most critical packaging category for which the targets are clearly above current levels of recycling. 19 Member States are at risk of missing the 2025 target, including Austria, Bulgaria, Croatia, Cyprus, Denmark, Finland, France, Greece, Hungary, Ireland, Italy, Latvia, Luxembourg, Malta, Poland, Portugal, Romania, Slovakia and Spain [125]._x000a_2 EU-level, based on a weighted average between Member State population and recycling rate percentage."/>
    <x v="1"/>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33"/>
    <s v="Member States shall take the necessary measures to attain a recycling target of 25% of wood by weight of wood contained in packaging waste generated by 31 December 2025 and of 30% by 31 December 2030. Proposal on packaging and packaging waste"/>
    <s v="For wooden packaging at the EU level2, the recycling rates are very feasible or have already been achieved. Nonetheless, Croatia and Malta are at risk of missing the 2025 target [125]."/>
    <x v="2"/>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34"/>
    <s v="Member States shall take the necessary measures to attain a recycling target of 70% of ferrous metals by weight of ferrous metals contained in packaging waste generated by 31 December 2025 and of 80% by 31 December 2030_x000a_Proposal on packaging and packaging waste"/>
    <s v="Considering the high recycling rates for metallic packaging at the EU level2, the 2025 and 2030 recycling targets seem achievable. However, 5 Member States are at risk of missing the 2025 target, including Croatia, Denmark, Malta, Portugal and Romania [125]."/>
    <x v="2"/>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35"/>
    <s v="Member States shall take the necessary measures to attain a recycling target of 50% of aluminium by weight of aluminium contained in packaging waste generated by 31 December 2025 and of 60% by 31 December 2030_x000a_Proposal on packaging and packaging waste"/>
    <s v="Similarly for aluminium, the high recycling rates registered for metallic packaging suggest that both recycling targets are achievable, at least at the EU level2. Nonetheless, 9 Member States are at risk of missing the 2025 target, including Croatia, Cyprus, Czechia, Greece, Malta, Portugal, Romania, Slovakia and Spain [125]."/>
    <x v="2"/>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36"/>
    <s v="Member States shall take the necessary measures to attain a recycling target of 70% of glass by weight of glass contained in packaging waste generated by 31 December 2025 and of 75% by 31 December 2030 Proposal on packaging and packaging waste"/>
    <s v="For glass packaging, at least at the EU level2, the recycling rate targets are very feasible or have already been achieved. Several Member States are at risk of missing the 2025 target, including Bulgaria, Croatia, Cyprus, Greece, Hungary, Lithuania, Malta, Poland, Portugal and Romania [125]."/>
    <x v="2"/>
  </r>
  <r>
    <x v="2"/>
    <s v="Propose legislative waste reforms"/>
    <s v="On packaging and packaging waste, amending Regulation (EU) 2019/1020 and Directive (EU) 2019/904, and repealing Directive 94/62/EC"/>
    <s v="Proposal for a Regulation of the European Parliament and of the Council"/>
    <n v="2022"/>
    <n v="0"/>
    <x v="0"/>
    <n v="0"/>
    <n v="1"/>
    <x v="0"/>
    <s v="TA3.37"/>
    <s v="Member States shall take the necessary measures to attain a recycling target of 75% of paper and card- board by weight of paper and cardboard contained in packaging waste generated by 31 December 2025 and of 85% by 31 December 2030_x000a_Proposal on packaging and packaging waste"/>
    <s v="For paper and cardboard packaging, at least at the EU level2, the recycling rate targets are very feasible or have already been achieved. Nonetheless, Croatia, Malta, Slovakia and Spain are at risk of missing the 2025 target [125]._x000a_2 EU-level, based on a weighted average between Member State population and recycling rate percentage."/>
    <x v="2"/>
  </r>
  <r>
    <x v="2"/>
    <m/>
    <m/>
    <s v="Communication from the Commission to the European Parliament, the Council, the European Economic and Social Committee and the Committee of the Regions"/>
    <n v="2022"/>
    <m/>
    <x v="1"/>
    <m/>
    <m/>
    <x v="1"/>
    <s v="TA3.38"/>
    <s v="Each vehicle belonging to a vehicle type that is type-approved as of [the first day of the month following 72 months after the date of entry into force of this Regulation] under Regulation (EU) 2018/858 shall be constructed so that it is:_x000a_(a) reusable/recyclable to a minimum of 85% by mass; (b) reusable/recoverable to a minimum of 95 % by mass. Proposal for a Regulation on circularity requirements for vehicle design and on management of end-of-life vehicles"/>
    <s v="The feasibility of the target depends on the calculation method and related data. As stated in the impact assessment study, while substantial progress has been made since 2000 to reach the 85% recycling/reuse target set out in the ELV Directive, a large share of materials, in particular automotive shredder residue, is sent to landfills or incinerated (i.e. not valorised) [128]."/>
    <x v="3"/>
  </r>
  <r>
    <x v="2"/>
    <s v="Propose legislative waste reforms"/>
    <s v="On the reduction of the impact of certain plastic products on the environment"/>
    <s v="Directive of the European Parliament and of the Council"/>
    <n v="2019"/>
    <n v="1"/>
    <x v="0"/>
    <n v="1"/>
    <m/>
    <x v="0"/>
    <s v="TA3.39"/>
    <s v="From 2025, beverage bottles listed in Part F of the Annex which are manufactured from polyethylene terephthalate as the major component (‘PET bottles’) contain at least 25 % recycled plastic, calculated as an average for all PET bottles placed on the market on the territory of that Member State"/>
    <m/>
    <x v="0"/>
  </r>
  <r>
    <x v="2"/>
    <s v="Propose legislative waste reforms"/>
    <s v="On the reduction of the impact of certain plastic products on the environment"/>
    <s v="Directive of the European Parliament and of the Council"/>
    <n v="2019"/>
    <n v="1"/>
    <x v="0"/>
    <n v="1"/>
    <m/>
    <x v="0"/>
    <s v="TA3.40"/>
    <s v="Member States shall meet the target of 77% by weight for the separate collection for recycling of waste single-use plastic beverage bottles by 2025 and 90% by 2029"/>
    <m/>
    <x v="0"/>
  </r>
  <r>
    <x v="2"/>
    <s v="Propose legislative waste reforms"/>
    <s v="On waste electrical and electronic equipment (WEEE) (recast)"/>
    <s v="Directive of the European Parliament and of the Council"/>
    <n v="2012"/>
    <m/>
    <x v="1"/>
    <m/>
    <m/>
    <x v="1"/>
    <s v="TA3.41"/>
    <s v="From 2019, the minimum collection rate to be achieved annually shall be 65 % of the average weight of EEE placed on the market in the three preceding years in the Member State concerned, or alternatively 85 % of WEEE generated on the territory of that Member State."/>
    <m/>
    <x v="0"/>
  </r>
  <r>
    <x v="2"/>
    <s v="Propose legislative waste reforms"/>
    <s v="On waste electrical and electronic equipment (WEEE) (recast)"/>
    <s v="Directive of the European Parliament and of the Council"/>
    <n v="2012"/>
    <m/>
    <x v="1"/>
    <m/>
    <m/>
    <x v="1"/>
    <s v="TA3.42"/>
    <s v="From 15 August 2018, the recovery targets for the WEEE falling within the following categories of Annex III shall be:_x000a_-_x0009_85% for Category 1 (temperature exchange equipment) or Category 4 (large equipment with any external dimension more than 50 cm)_x000a_-_x0009_80% for Category 2 (e.g., screens and monitors)_x000a_-_x0009_75% for Category 5 (small equipment with no external dimension more than 50 cm) or 6 (Small IT and telecommunication equipment with no external dimension more than 50 cm)._x000a_"/>
    <m/>
    <x v="0"/>
  </r>
  <r>
    <x v="2"/>
    <s v="Propose legislative waste reforms"/>
    <s v="On waste electrical and electronic equipment (WEEE) (recast)"/>
    <s v="Directive of the European Parliament and of the Council"/>
    <n v="2012"/>
    <m/>
    <x v="1"/>
    <m/>
    <m/>
    <x v="1"/>
    <s v="TA3.43"/>
    <s v="From 15 August 2018, the preparation for re-use targets for the WEEE falling within the following categories of Annex III shall be:_x000a_-_x0009_80% for Category 1 or Category 4 _x000a_-_x0009_70% for Category 2 _x000a_-_x0009_55% for Category 5 or Category 6_x000a_"/>
    <m/>
    <x v="0"/>
  </r>
  <r>
    <x v="2"/>
    <s v="Propose legislative waste reforms"/>
    <s v="On waste electrical and electronic equipment (WEEE) (recast)"/>
    <s v="Directive of the European Parliament and of the Council"/>
    <n v="2012"/>
    <m/>
    <x v="1"/>
    <m/>
    <m/>
    <x v="1"/>
    <s v="TA3.44"/>
    <s v="From 15 August 2018, the recycling targets for the WEEE falling within the following categories of Annex III shall be:_x000a_- 0% for Category 1 or Category 4 _x000a_- 70% for Category 2 _x000a_- 55% for Category 5 or Category 6"/>
    <m/>
    <x v="0"/>
  </r>
  <r>
    <x v="2"/>
    <s v="Propose legislative waste reforms"/>
    <s v="Amending Directive 2008/98/EC on waste"/>
    <s v="Directive of the European Parliament and of the Council"/>
    <n v="2018"/>
    <n v="1"/>
    <x v="0"/>
    <n v="1"/>
    <m/>
    <x v="0"/>
    <s v="TA3.45"/>
    <s v="By 2025, the preparing for re-use and recycling of municipal waste shall be increased to a minimum of 55% by weight (60% by 2030, 65% by 2035)"/>
    <m/>
    <x v="0"/>
  </r>
  <r>
    <x v="2"/>
    <s v="Propose legislative waste reforms"/>
    <s v="Amending Directive 2008/98/EC on waste"/>
    <s v="Directive of the European Parliament and of the Council"/>
    <n v="2018"/>
    <m/>
    <x v="1"/>
    <m/>
    <m/>
    <x v="1"/>
    <s v="TA3.46"/>
    <s v="Member States should aim to achieve an indicative Union-wide food waste reduction target of 30 % by 2025 and 50 % by 2030"/>
    <m/>
    <x v="0"/>
  </r>
  <r>
    <x v="2"/>
    <s v="Propose legislative waste reforms"/>
    <s v="Amending Directive 2008/98/EC on waste"/>
    <s v="Directive of the European Parliament and of the Council"/>
    <n v="2018"/>
    <n v="1"/>
    <x v="0"/>
    <n v="1"/>
    <m/>
    <x v="0"/>
    <s v="TA3.47"/>
    <s v="Hazardous household waste will have to be collected separately by 2022, bio-waste by 2023 and textiles by 2025"/>
    <m/>
    <x v="0"/>
  </r>
  <r>
    <x v="2"/>
    <m/>
    <m/>
    <s v="Directive of the European Parliament and of the Council"/>
    <n v="2018"/>
    <m/>
    <x v="1"/>
    <m/>
    <m/>
    <x v="1"/>
    <s v="TA3.48"/>
    <s v="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
    <s v="Although the calculation method has not be defined, the JRC assumes that these ambitious targets are in principle reachable (also based on [129]). JRC highlight that they require significant changes in the industrial production systems both in the production and uptake of high-quality recycled plastics."/>
    <x v="2"/>
  </r>
  <r>
    <x v="2"/>
    <m/>
    <m/>
    <m/>
    <m/>
    <m/>
    <x v="0"/>
    <m/>
    <m/>
    <x v="1"/>
    <s v="TA3.49"/>
    <s v="At least 25% of the target set out in the first subparagraph shall be achieved by including plastics recycled from end-of-life vehicles in the vehicle type concerned._x000a_Proposal for a Regulation on circularity requirements for vehicle design and on management of end-of-life vehicles"/>
    <s v="Although the calculation method has not been defined, JRC assumes that this feature of the targets is in principle reachable. JRC highlights that they require significant innovations in the industrial production systems both in the production and uptake of high-quality recycled plastics, in particular in the area of end-of-life vehicle collection and treatment and wide deployment of post-shredder sorting technologies."/>
    <x v="1"/>
  </r>
  <r>
    <x v="2"/>
    <m/>
    <m/>
    <m/>
    <m/>
    <m/>
    <x v="0"/>
    <m/>
    <m/>
    <x v="1"/>
    <s v="TA3.50"/>
    <s v="Member States shall ensure that the following targets are met by the waste management operators:_x000a_(a) the reuse and recovery, as calculated together, shall be a minimum of 95 %, by average weight per vehicle, excluding batteries, and year;_x000a_(b) the reuse and recycling, as calculated together, shall be a minimum of 85 %, by average weight per vehicle, excluding batteries, and year._x000a_Proposal for a Regulation on circularity requirements for vehicle design and on management of end-of-life vehicles"/>
    <s v="The targets should in principle be reached [129], especially if other incentives on demand for recycled materials (See article 6) promote the wide deployment of post-shredder sorting technologies."/>
    <x v="2"/>
  </r>
  <r>
    <x v="2"/>
    <m/>
    <m/>
    <m/>
    <m/>
    <m/>
    <x v="0"/>
    <m/>
    <m/>
    <x v="1"/>
    <s v="TA3.51"/>
    <s v="Member States shall ensure that waste management operators achieve a yearly target for the recycling of plastics of at least 30 % of the total weight of plastics contained in the vehicles delivered to the waste management operators._x000a_Proposal for a Regulation on circularity requirements for vehicle design and on management of end-of-life vehicles"/>
    <s v="The targets should in principle be reached, especially if other incentives on demand of recycled plastics (See article 6) promote the wide deployment of post-shredder sorting technologies."/>
    <x v="2"/>
  </r>
  <r>
    <x v="2"/>
    <m/>
    <m/>
    <m/>
    <m/>
    <m/>
    <x v="0"/>
    <m/>
    <m/>
    <x v="1"/>
    <s v="TA3.52"/>
    <s v="At least 20% of the carbon used in the chemical_x000a_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
    <s v="The current lack of data does not allow to assess the status of this target."/>
    <x v="3"/>
  </r>
  <r>
    <x v="3"/>
    <m/>
    <s v="amending Directive (EU) 2018/2001, Regulation (EU) 2018/1999 and Directive 98/70/EC as regards the promotion of energy from renewable sources, and repealing Council Directive (EU) 2015/652"/>
    <s v="Directive of the European Parliament and of the Council"/>
    <n v="2022"/>
    <n v="1"/>
    <x v="2"/>
    <n v="1"/>
    <n v="0"/>
    <x v="0"/>
    <s v="TA4.1"/>
    <s v="Achieve an annual production of sustainable biomethane of 35 billion cubic meters by 2030 Directive (EU) 2023/2413"/>
    <s v="In 2021, the total biomethane production in the EU was 3.5 billion cubic meters, produced in about 1300 biomethane plants. Production increased in 2022 to reach 4.2 bcm. In order to reach 35 billion cubic meters, an estimate of 5000 additional plants are required. ."/>
    <x v="1"/>
  </r>
  <r>
    <x v="3"/>
    <m/>
    <s v="Amending Directive 2003/87/EC as regards aviation's contribution to the Union’s economy-wide emission reduction target and appropriately implementing a global market-based measure"/>
    <s v="Directive of the European Parliament and of the Council"/>
    <n v="2023"/>
    <m/>
    <x v="1"/>
    <m/>
    <m/>
    <x v="1"/>
    <s v="TA4.2"/>
    <m/>
    <m/>
    <x v="0"/>
  </r>
  <r>
    <x v="3"/>
    <s v="Comprehensive plan to increase the EU 2030 climate target to at least 50% and towards 55% in a responsible way"/>
    <s v="On the use of renewable and low-carbon fuels in maritime transport and amending Directive 2009/16/EC"/>
    <s v="Regulation of the European Parliament and of the Council"/>
    <n v="2023"/>
    <n v="1"/>
    <x v="0"/>
    <n v="1"/>
    <n v="0"/>
    <x v="0"/>
    <s v="TA4.3"/>
    <s v="The yearly average GHG intensity of the energy used on board by a ship during a reporting period shall_x000a_be reduced, compared to the reference value (91.16 gCO2e/MJ) by: 2% from 1 January 2025; 6% from_x000a_1 January 2030; 14.5% from 1 January 2035; 31% from 1 January 2040; 62% from 1 January 2045; 80% from 1 January 2050._x000a_Regulation (EU) 2023/1805"/>
    <s v="EU shipping emissions increased by 5.6% in 2021 from the previous year, rebounding from the COVID-19 induced slump of 2020. The target for 2025 seems unlikely to be reached._x000a_The EEA projections suggest that, even with measures currently planned in the Member States, emissions from domestic navigation are projected to remain relatively stable in the coming years. International maritime transport emissions are projected to continue increasing."/>
    <x v="4"/>
  </r>
  <r>
    <x v="3"/>
    <s v="Comprehensive plan to increase the EU 2030 climate target to at least 50% and towards 55% in a responsible way"/>
    <s v="On the use of renewable and low-carbon fuels in maritime transport and amending Directive 2009/16/EC"/>
    <s v="Regulation of the European Parliament and of the Council"/>
    <n v="2023"/>
    <n v="1"/>
    <x v="0"/>
    <n v="1"/>
    <n v="0"/>
    <x v="0"/>
    <s v="TA4.4"/>
    <s v="A target for the use of RFNBO of 2% of the energy used on board by a ship from 2034"/>
    <m/>
    <x v="0"/>
  </r>
  <r>
    <x v="3"/>
    <m/>
    <s v="On ensuring a level playing field for sustainable air transport"/>
    <s v="Proposal for a Regulation of the European Parliament and of the Council"/>
    <n v="2021"/>
    <n v="0"/>
    <x v="0"/>
    <n v="0"/>
    <n v="1"/>
    <x v="0"/>
    <s v="TA4.5"/>
    <s v="Aviation fuel suppliers shall also ensure that Sustainable Aviation Fuel (SAF) made available to aircraft operators at each Union airport will be at least 2% from 2025, 6% from 2030, 20% from 2035, 34% from 2040, 42% from 2045 and 70% from 2050. Regulation (EU) 2023/2405"/>
    <s v="Several plants are being built to produce sustainable aviation fuels and sustainable aviation fuels are tested by companies. The contribution of aviation fuels is practically negligible currently. No sustainable biofuel use was reported in Eurostat in aviation in 2021."/>
    <x v="4"/>
  </r>
  <r>
    <x v="3"/>
    <m/>
    <s v="On ensuring a level playing field for sustainable air transport"/>
    <s v="Proposal for a Regulation of the European Parliament and of the Council"/>
    <n v="2021"/>
    <n v="0"/>
    <x v="0"/>
    <n v="0"/>
    <n v="1"/>
    <x v="0"/>
    <s v="TA4.6"/>
    <s v="Of the SAF targets reported above, synthetic aviation fuels should represent a minimum share of 1.2% from 2030, 5% from 2035, 10% from 2034, 15% from 2045, and 35% from 2050._x000a_Regulation (EU) 2023/2405"/>
    <s v="Synthetic fuels are not available on the market, conversion pathways are at early technology development levels, facing major techno-economic challenges."/>
    <x v="4"/>
  </r>
  <r>
    <x v="3"/>
    <m/>
    <s v="amending Directive (EU) 2018/2001, Regulation (EU) 2018/1999 and Directive 98/70/EC as regards the promotion of energy from renewable sources, and repealing Council Directive (EU) 2015/652"/>
    <s v="Directive of the European Parliament and of the Council"/>
    <n v="2023"/>
    <n v="1"/>
    <x v="0"/>
    <n v="1"/>
    <m/>
    <x v="0"/>
    <s v="TA4.7"/>
    <s v="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in 2025 and 5.5% in 2030, of which a share of at least 1 percentage point is from renewable fuels of non-biological origin in 2030. Directive (EU) 2023/2413"/>
    <s v="According to EurObserv’ER [155] the contribution of advanced biofuels already reached 1% in 2022 (indicative data). The target for 2025 has already been reached. Nevertheless, the sub-target for RFNBO of 1 percentage point for 2030 is not on track as of 2022 data, but the uptake of RFNBO is expected to grow in the coming years, providing enough time to reach the 2030 target."/>
    <x v="2"/>
  </r>
  <r>
    <x v="3"/>
    <m/>
    <s v="amending Directive (EU) 2018/2001, Regulation (EU) 2018/1999 and Directive 98/70/EC as regards the promotion of energy from renewable sources, and repealing Council Directive (EU) 2015/652"/>
    <s v="Directive of the European Parliament and of the Council"/>
    <n v="2023"/>
    <n v="1"/>
    <x v="0"/>
    <n v="1"/>
    <m/>
    <x v="0"/>
    <s v="TA4.8"/>
    <s v="Member States with maritime ports shall endeavour to ensure that as of 2030 the share of renewable fuels of non-biological origin (RFNBOs) in the total amount of energy supplied to the maritime transport sector is at least 1.2%._x000a_Directive (EU) 2023/2413"/>
    <s v="Synthetic fuels are not available on the market and conversion pathways are at early technology development levels, facing major techno-economic challenges. E-fuels facilities are still at the demo-scale, with only a few plants currently operated at the EU level [156]._x000a_RFNBOs is a promising solution for hard-to-electrify sectors, such as the maritime one. However, a market for maritime RFNBO is currently yet to develop. Regulation (EU) 2023/1805 also introduces a combination of measures to ensure the support to the uptake of sustainable RFNBOs. The deal also set a 2% renewable fuels usage target as of 2034 if the Commission reports that in 2031 RFNBO will amount to less than 1% in fuel mix."/>
    <x v="4"/>
  </r>
  <r>
    <x v="3"/>
    <m/>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9"/>
    <s v="Cut the emissions of transport sector by 90% by 2050 relative to 1990._x000a_Sustainable and Smart Mobility Strategy"/>
    <s v="Following six years of steady growth in greenhouse gas emissions from the EU’s transport sector, transport emissions dropped substantially in 2020 because_x000a_of reduced activity during the COVID-19 pandemic. In 2022 they were still 6% below 2019 levels. However, Eurostat quarterly GHG emission data shows that this rebound continued in 2023. According to the Report “Towards EU climate neutrality: progress, policy gaps and opportunities” by the European Scientific Advisory Board on Climate Change, the average rate of emission reduction since 2005 (-2 MtCO2e per year) should be more than 10 times higher (-26 MtCO2e_x000a_per year in 2023-2030) to be consistent with the trajectories towards the overall 2030 net GHG emission reduction target by the EU Climate Law. When considering the 90% reduction objective for transport GHG emissions by 2050, the average rate of emission reduction should be higher (-31 MtCO2e in 2031-2050)."/>
    <x v="1"/>
  </r>
  <r>
    <x v="3"/>
    <m/>
    <s v="On the Energy Transition of the EU Fisheries and Aquaculture sector"/>
    <s v="Communication from the Commission to the European Parliament, the Council, the European Economic and Social Committee and the Committee of the Regions"/>
    <n v="2023"/>
    <n v="0"/>
    <x v="0"/>
    <n v="0"/>
    <n v="0"/>
    <x v="0"/>
    <s v="TA4.10"/>
    <s v="EU fisheries are encouraged to continue the positive trend, as observed for the period 2009-2019, towards reducing fuel intensity by reducing the fossil-fuel consumption per kg of landed product for at least an additional 15% for the period 2019-2030._x000a_Energy Transition of the EU Fisheries and Aquaculture sector"/>
    <s v="The Communication notes that &quot;Fisheries and aquaculture operators began reducing their energy intensity between 2009 and 2014, but the progress they made has stagnated in recent years. Therefore, there is a need to accelerate the energy transition&quot;. In turn, this statement grounds on the JRC science for policy report &quot;The 2022 Annual Economic Report on the EU Fishing Fleet” [161] by the Scientific, Technical and Economic Committee for Fisheries, assessing that the sector fuel intensity (i.e. fuel consumption per tonne landed) dropped by more than 15% between 2009 and 2014, but that this trend has stagnated since then."/>
    <x v="1"/>
  </r>
  <r>
    <x v="3"/>
    <s v="Strategy for sustainable and smart mobility"/>
    <s v="Amending Council Directive 92/106/EEC as regards a support framework for intermodal transport of goods and Regulation (EU) 2020/1056 of the European Parliament and the Council as regards calculation of external costs savings and generation of aggregated data"/>
    <s v="Proposal for a Directive of the European Parliament and of the Council"/>
    <n v="2023"/>
    <n v="0"/>
    <x v="0"/>
    <m/>
    <n v="1"/>
    <x v="0"/>
    <s v="TA4.11"/>
    <s v="Reduce the average door-to-door cost of combined transport operations by at least 10% within 7 years Proposal for a Directive to support framework for intermodal transport of goods"/>
    <s v="No available data."/>
    <x v="3"/>
  </r>
  <r>
    <x v="3"/>
    <s v="Strategy for sustainable and smart mobility"/>
    <s v="On the use of renewable and low-carbon fuels in maritime transport and amending Directive 2009/16/EC"/>
    <s v="Regulation of the European Parliament and of the Council"/>
    <n v="2023"/>
    <n v="0"/>
    <x v="0"/>
    <n v="1"/>
    <n v="0"/>
    <x v="0"/>
    <s v="TA4.12"/>
    <s v="GHG intensity reduction target in the maritme sector (link Agreement Council - Parliament on 23.03.2023): -2% from 1 January 2025; -6% from 1 January 2030; -14.5% from 1 January 2035; -31% from 1 January 2040; -62% from 1 January 2045; -80% from 1 January 2050)"/>
    <m/>
    <x v="0"/>
  </r>
  <r>
    <x v="3"/>
    <s v="Strategy for sustainable and smart mobility"/>
    <s v="Amending Regulation (EU) 2019/1242 as regards strengthening the CO₂ emission performance standards for new heavy-duty vehicles and integrating reporting obligations, and repealing Regulation (EU) 2018/956"/>
    <s v="Proposal for a Regulation of the European Parliament and of the Council"/>
    <n v="2023"/>
    <n v="0"/>
    <x v="0"/>
    <n v="0"/>
    <n v="1"/>
    <x v="0"/>
    <s v="TA4.13"/>
    <s v="For [...] “urban buses” manufacturers shall comply with the 90% (in the reporting period 2030-2034) and 100% (as from 2035) minimum shares in their fleet of new heavy-duty vehicles_x000a_Regulation (EU) 2024/1610"/>
    <s v="Following the Regulation, due to the technical readiness of urban buses and_x000a_the need to improve urban air quality, this target supports the need to have a mandatory minimum share of new zero-emission urban buses. According to the European Automobile Manufacturers’ Association (ACEA) and Rabobank, the whole EU bus fleet consists of around 715.000-750.000 vehicles, with city buses representing around 215.000 units (around 30%). Looking at city buses only, there has been a steady decrease in the number of new city buses fuelled by Diesel since 2016, increasingly being replaced by electric vehicles. A market growth average close to 18% could help achieve the 2030 target. This is feasible, given the 2020-2023 market trend (source: Rabobank). It should be finally noted that a collapse of the diesel buses market is unlikely (e.g. due to the need in rural areas), and new electrically chargeable buses accounted for 12.7% in the total EU bus market in 2022, making up only 1.4% of total buses on EU roads (source: ACEA)."/>
    <x v="2"/>
  </r>
  <r>
    <x v="3"/>
    <s v="Strategy for sustainable and smart mobility"/>
    <s v="on the use of renewable and low-carbon fuels in maritime transport and amending Directive 2009/16/EC"/>
    <s v="Proposal for a Regulation of the European Parliament and of the Council"/>
    <n v="2023"/>
    <n v="0"/>
    <x v="0"/>
    <n v="0"/>
    <n v="1"/>
    <x v="0"/>
    <s v="TA4.14"/>
    <s v="Renewable and low-carbon fuels should represent between 6% and 9% of the international maritime transport fuel mix by 2030 and between 86% and 88% by 2050"/>
    <m/>
    <x v="0"/>
  </r>
  <r>
    <x v="3"/>
    <s v="Strategy for sustainable and smart mobility"/>
    <s v="Amending Regulation (EU) 2019/1242 as regards strengthening the CO₂ emission performance standards for new heavy-duty vehicles and integrating reporting obligations, and repealing Regulation (EU) 2018/956"/>
    <s v="Proposal for a Regulation of the European Parliament and of the Council"/>
    <n v="2023"/>
    <n v="0"/>
    <x v="0"/>
    <n v="0"/>
    <n v="1"/>
    <x v="0"/>
    <s v="TA4.15"/>
    <s v="The average CO2 emissions of the Union fleet of new heavy-duty motor vehicles [...], off-road vehicles and off-road special purpose vehicles shall be reduced by the following percentages compared to the average CO2 emissions of the reporting period of the year 2019:_x000a_(a) 15% for vehicle sub-groups 4-UD, 4-RD, 4-LH, 5-RD, 5-LH, 9-RD, 9-LH, 10-RD and 10-LH for the reporting periods of the years 2025 to 2029;_x000a_(b) 45% for all vehicle sub-groups other than vocational vehicles for the reporting periods of the years 2030 to 2034;_x000a_(c) 65% for all vehicle sub-groups for the reporting periods of the years 2035 to 2039;_x000a_(d) 90% for all vehicle sub-groups for the reporting periods of the year 2040 onwards_x000a_Regulation (EU) 2024/1610"/>
    <s v="The average specific CO2 emissions of new heavy-duty vehicles in groups 4, 5, 9 and 10 has decreased by 0.55%, from 52.75g/t.km in 2019 to 52.45g/t.km in 2020. The rate of decrease is therefore slow and acceleration is needed to achieve the targets."/>
    <x v="1"/>
  </r>
  <r>
    <x v="3"/>
    <s v="Strategy for sustainable and smart mobility"/>
    <s v="setting CO2 emission performance standards for new passenger cars and for new light commercial vehicles, and repealing Regulations (EC) No 443/2009 and (EU) No 510/2011"/>
    <s v="Regulation of the European Parliament and of the Council"/>
    <n v="2019"/>
    <n v="1"/>
    <x v="1"/>
    <m/>
    <m/>
    <x v="1"/>
    <s v="TA4.16"/>
    <s v="From 1 January 2020, this Regulation sets an EU fleet-wide target of 95 g CO2/km for the average emissions of new passenger cars and an EU fleet-wide target of 147 g CO2/km for the average emissions of new light commercial vehicles registered in the Union, as measured until 31 December 2020 in accordance with Regulation (EC) No 692/2008 together with Implementing Regulations (EU) 2017/1152 and (EU) 2017/1153, and from 1 January 2021 measured in accordance with Regulation (EU) 2017/1151."/>
    <m/>
    <x v="0"/>
  </r>
  <r>
    <x v="3"/>
    <s v="Strategy for sustainable and smart mobility"/>
    <s v="setting CO2 emission performance standards for new passenger cars and for new light commercial vehicles, and repealing Regulations (EC) No 443/2009 and (EU) No 510/2011"/>
    <s v="Regulation of the European Parliament and of the Council"/>
    <n v="2019"/>
    <n v="1"/>
    <x v="1"/>
    <m/>
    <m/>
    <x v="1"/>
    <s v="TA4.17"/>
    <s v="This Regulation will, until 31 December 2024, be complemented by additional measures corresponding to a reduction of 10 g CO2/km as part of the Union's integrated approach referred to in the Commission's communication of 7 February 2007 entitled ‘Results of the review of the Community Strategy to reduce CO2 emissions from passenger cars and light-commercial vehicles"/>
    <m/>
    <x v="0"/>
  </r>
  <r>
    <x v="3"/>
    <m/>
    <m/>
    <s v="Regulation of the European Parliament and of the Council"/>
    <n v="2019"/>
    <n v="1"/>
    <x v="1"/>
    <m/>
    <m/>
    <x v="1"/>
    <s v="TA4.18"/>
    <s v="The share of biofuels and biogas produced from_x000a_the feedstock listed in Part B of Annex IX in the energy content of fuels and electricity supplied to the transport sector shall, except in Cyprus and Malta, be limited to 1.7%._x000a_Directive (EU) 2023/2413"/>
    <s v="The EU share (including Cyprus and Malta) was 1.28% in 2021, it increased to 1.35% in 2022. This target is currently on track."/>
    <x v="2"/>
  </r>
  <r>
    <x v="3"/>
    <m/>
    <m/>
    <s v="Communication from the Commission to the European Parliament, the Council, the European Economic and Social Committee and the Committee of the Regions"/>
    <n v="2022"/>
    <m/>
    <x v="1"/>
    <m/>
    <m/>
    <x v="1"/>
    <s v="TA4.19"/>
    <s v="The yearly quantity of aviation fuel uplifted by a given aircraft operator at a given Union airport shall be_x000a_at least 90% of the yearly aviation fuel required, to avoid tankering practices which would bring additional emissions from extra weight._x000a_Regulation (EU) 2023/2405"/>
    <s v="No data available"/>
    <x v="3"/>
  </r>
  <r>
    <x v="3"/>
    <s v="Assessment of legislative options to boost the production and supply of sustainable alternative fuels for the different transport modes"/>
    <s v="A hydrogen strategy for a climate-neutral Europe"/>
    <s v="Communication from the Commission to the European Parliament, the Council, the European Economic and Social Committee and the Committee of the Regions"/>
    <n v="2020"/>
    <n v="0"/>
    <x v="0"/>
    <n v="0"/>
    <n v="0"/>
    <x v="0"/>
    <s v="TA4.20"/>
    <s v="In the first phase, from 2020 up to 2024, the strategic objective is to install at least 6 GW of renewable hydrogen electrolysers in the EU. In the second_x000a_phase, from 2025 up to 2030, the strategic objective is to install at least 40 GW of renewable hydrogen electrolysers._x000a_A Hydrogen Strategy for a climate-neutral Europe"/>
    <s v="Initiatives are ongoing and deployment of electrolysers is increasing, but it is unlikely that the target of deploying 6 GW of hydrogen generation capacity will be reached by the end of 2024."/>
    <x v="1"/>
  </r>
  <r>
    <x v="3"/>
    <s v="Assessment of legislative options to boost the production and supply of sustainable alternative fuels for the different transport modes"/>
    <s v="A hydrogen strategy for a climate-neutral Europe"/>
    <s v="Communication from the Commission to the European Parliament, the Council, the European Economic and Social Committee and the Committee of the Regions"/>
    <n v="2020"/>
    <n v="0"/>
    <x v="0"/>
    <n v="0"/>
    <n v="0"/>
    <x v="0"/>
    <s v="TA4.21"/>
    <s v="In a third phase, from 2030 onwards and towards 2050, renewable hydrogen technologies should reach maturity and be deployed at large scale to reach all hard-to-decarbonise sectors where other alternatives might not be feasible or have higher costs. In this phase, renewable electricity production needs to massively increase as about a quarter of renewable electricity might be used for renewable hydrogen production by 2050"/>
    <m/>
    <x v="0"/>
  </r>
  <r>
    <x v="3"/>
    <s v="Funding call to support the deployment of public recharging and refuelling points as part of alternative fuel infrastructure"/>
    <s v="Annual sustainable growth strategy 2021"/>
    <s v="Communication from the Commission to the European Parliament, the Council, the European Economic and Social Committee, the Committee of the Regions and the European Investment Bank"/>
    <n v="2021"/>
    <n v="0"/>
    <x v="0"/>
    <n v="0"/>
    <n v="0"/>
    <x v="0"/>
    <s v="TA4.22"/>
    <s v="Build three million public electric charging points by 2030. Build one million public electric charging points by 2025. "/>
    <m/>
    <x v="0"/>
  </r>
  <r>
    <x v="3"/>
    <s v="Funding call to support the deployment of public recharging and refuelling points as part of alternative fuel infrastructure"/>
    <s v="Annual sustainable growth strategy 2021"/>
    <s v="Communication from the Commission to the European Parliament, the Council, the European Economic and Social Committee, the Committee of the Regions and the European Investment Bank"/>
    <n v="2021"/>
    <n v="0"/>
    <x v="0"/>
    <n v="0"/>
    <n v="0"/>
    <x v="0"/>
    <s v="TA4.23"/>
    <s v="Build 1.000 hydrogen stations by 2030. By 2025, build half of the 1.000 hydrogen stations needed for 2030"/>
    <m/>
    <x v="0"/>
  </r>
  <r>
    <x v="3"/>
    <s v="Funding call to support the deployment of public recharging and refuelling points as part of alternative fuel infrastructure"/>
    <s v="A strategic rollout plan to outline a set of supplementary actions to support the rapid deployment of alternative fuels infrastructure"/>
    <s v="Communication from the Commission to the European Parliament, the Council, the European Economic and Social Committee, the Committee of the Regions and the European Investment Bank"/>
    <n v="2021"/>
    <m/>
    <x v="1"/>
    <m/>
    <m/>
    <x v="1"/>
    <s v="TA4.24"/>
    <m/>
    <m/>
    <x v="0"/>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25"/>
    <s v="Member States shall ensure that, at the end of each year, the following power output targets are met cumu- 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_x000a_Regulation (EU) 2023/1804"/>
    <s v="Based on charging infrastructure data from Eco-Movement 2022 and estimates of electric vehicles on the roads, most Member States are already compliant with this fleet-based target (see European Alter-native Fuels Observatory – Target tracker). Research also highlights that the total power output needed per electric vehicle (including battery electric vehicles and plug-in hybrid vehicles) is highly dependent on the share of electric cars and vans on the road, with AFIR targets on cumulative power outputs per vehicle being sufficient in the long term (when a rise in the market share of battery electric vehicles and plug-in hybrid vehicles is expected) [157]."/>
    <x v="2"/>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26"/>
    <s v="Member States shall ensure that along the TEN-T_x000a_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
    <s v="The target supports the vision of 3 million charging points by 2030 under the Sustainable and Smart Mobility strategy. As of mid-2024, around 730.000 charging points are available in the EU (see TENtec Interactive Map Viewer). According to the EC Dashboard towards zero-emission vehicle, around 60% of charging points in the EU are concentrated in three EU countries (Germany, France, Netherlands), while Eastern EU is lagging behind. To meet the 3 million charging points ambition, around 400.000 new points need to be installed annually, with a significant gap with respect to the 153.000 new public charging points installed in 2023 [158]."/>
    <x v="1"/>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27"/>
    <s v="Member States shall ensure that, by 31 December 2030 (with intermediate 2025 and 2027 targets), along the TEN-T core road network, publicly accessible recharging pools dedicated to heavy-duty electric vehicles are deployed in each direction of travel_x000a_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
    <s v="Despite the lack of specific data regarding recharging pools for heavy-duty electric vehicles, the extent of the TEN-T network served by high voltage recharging points stays so far limited to central Europe, with significant infrastructure improvement needed in Southern and Eastern EU, alongside the core and comprehensive networks (see TENtec Interactive Map Viewer)."/>
    <x v="1"/>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28"/>
    <s v="By 31 December 2030, in each safe and secure parking area at least four publicly accessible recharging stations dedicated to heavy-duty electric vehicles with an individual power output of at least 100 kW are deployed._x000a_Regulation (EU) 2023/1804"/>
    <s v="The extent of the TEN-T network equipped with safe and secure parking complying with the target is localised in central-northern EU (see TENtec Interactive Map Viewer). However, data available is not updated and it is not possible to assess whether the current number of secure parking areas for heavy-duty electric vehicles and the speed of installation is sufficient to reach the 2030 target."/>
    <x v="3"/>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29"/>
    <s v="By 31 December 2030, in each urban node publicly accessible recharging points dedicated to heavy-duty electric vehicles with an aggregated power output_x000a_of at least 1 800 kW are deployed, provided by recharging stations with an individual power output of at least 150 kW._x000a_Regulation (EU) 2023/180"/>
    <s v="No data available"/>
    <x v="3"/>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30"/>
    <s v="Member States shall ensure that, by 31 December 2030, at least one publicly accessible hydrogen refuelling station is deployed in each urban node. Regulation (EU) 2023/1804"/>
    <s v="The extent of the urban nodes equipped with publicly accessible hydrogen refuel- ling stations is mostly localised in the central-northern EU (see TENtec Interactive Map Viewer). The number of Hydrogen refuelling stations is steadily increasing in the EU. The Alternative Fuels Infrastructure Regulation sets the minimum goals for hydrogen refuelling stations deployment until 2030, which should significantly increase from the current 200 operational stations_x000a_(see Clean Hydrogen Monitor 2023, p. 145)"/>
    <x v="1"/>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31"/>
    <s v="Member States shall ensure that, by 31 December 2030, publicly accessible hydrogen refuelling stations with a total capacity of at least 1 tonne per day,_x000a_and equipped with at least a 700 bar dispenser, are deployed at least every 200 km along the TEN-T (Trans-European Transport Network) core network Regulation (EU) 2023/1804"/>
    <s v="The extent of the urban nodes equipped with publicly accessible hydrogen refuel- ling stations is mostly localised in the central-northern EU (see TENtec Interactive Map Viewer). The number of Hydrogen refuelling stations is steadily increasing in the EU. The Alternative Fuels Infrastructure Regulation sets the minimum goals for hydrogen refuelling stations deployment until 2030, which should significantly increase from the current 200 operational stations_x000a_(see Clean Hydrogen Monitor 2023, p. 145)"/>
    <x v="1"/>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32"/>
    <s v="States shall ensure that, at all airports of the TEN-T core network and TEN-T comprehensive network, the provision of electricity supply to stationary aircraft is ensured by 31 December 2029, at all aircraft remote stands used for commercial_x000a_air transport operations to embark or disembark passengers or to load or unload goods Regulation (EU) 2023/1804"/>
    <s v="No data available"/>
    <x v="3"/>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33"/>
    <s v="Member States shall ensure that at least one_x000a_installation providing shore-side electricity supply to inland waterway vessels is deployed at all TEN-T core inland waterway ports by 1 January 2025; at least_x000a_one installation providing shore-side electricity supply_x000a_to inland waterway vessels is deployed at all TEN-T com- prehensive inland waterway ports by 1 January 2030. Regulation (EU) 2023/1804"/>
    <s v="No data available"/>
    <x v="3"/>
  </r>
  <r>
    <x v="3"/>
    <s v="Funding call to support the deployment of public recharging and refuelling points as part of alternative fuel infrastructure"/>
    <s v="On the deployment of alternative fuels infrastructure, and repealing Directive 2014/94/EU of the European Parliament and of the Council"/>
    <s v="Regulation of the European Parliament and of the Council"/>
    <n v="2023"/>
    <n v="1"/>
    <x v="0"/>
    <n v="1"/>
    <m/>
    <x v="0"/>
    <s v="TA4.34"/>
    <s v="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 ger craft above 5.000 gross tonnes that are moored at the quayside at the maritime port concerned Regulation (EU) 2023/1804"/>
    <s v="No data available"/>
    <x v="3"/>
  </r>
  <r>
    <x v="3"/>
    <s v="Initiatives to increase and better manage the capacity of railways and inland waterways"/>
    <s v="NAIADES III: Boosting future-proof European inland waterway transport"/>
    <s v="Communication from the Commission to the European Parliament, the Council, the European Economic and Social Committee and the Committee of the Regions"/>
    <n v="2021"/>
    <m/>
    <x v="1"/>
    <m/>
    <m/>
    <x v="1"/>
    <s v="TA4.35"/>
    <m/>
    <m/>
    <x v="0"/>
  </r>
  <r>
    <x v="3"/>
    <s v="Initiatives to increase and better manage the capacity of railways and inland waterway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36"/>
    <s v="Transport by inland waterways and short sea shipping will increase by 25% compared to 2015, by 2030. They will increase by 50% by 2050."/>
    <m/>
    <x v="0"/>
  </r>
  <r>
    <x v="3"/>
    <s v="Initiatives to increase and better manage the capacity of railways and inland waterway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37"/>
    <s v="Rail freight traffic will increase by 50% compared to 2015 by 2030. It will double by 2050. "/>
    <m/>
    <x v="0"/>
  </r>
  <r>
    <x v="3"/>
    <s v="Initiatives to increase and better manage the capacity of railways and inland waterway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38"/>
    <s v="High-speed rail traffic will double compared to 2015, by 2030. It will triple by 2050."/>
    <m/>
    <x v="0"/>
  </r>
  <r>
    <x v="3"/>
    <s v="Initiatives to increase and better manage the capacity of railways and inland waterway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39"/>
    <s v="The multimodal Trans-European Transport Network (TEN-T) equipped for sustainable and smart transport with high speed connectivity will be operational for the core network, by 2030. It will be operational for the comprehensive network, by 2050."/>
    <m/>
    <x v="0"/>
  </r>
  <r>
    <x v="3"/>
    <s v="Initiatives to increase and better manage the capacity of railways and inland waterway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40"/>
    <s v="Rail and waterborne-based intermodal transport will be able to compete on equal footing with road-only transport in the EU"/>
    <m/>
    <x v="0"/>
  </r>
  <r>
    <x v="3"/>
    <s v="Review of the Alternative Fuels Infrastructure Directive and the Trans European Network – Transport Regulation"/>
    <s v="on Union guidelines for the development of the trans-European transport network and repealing Decision No 661/2010/EU (revision upcoming)"/>
    <s v="Communication from the Commission to the European Parliament, the Council, the European Economic and Social Committee and the Committee of the Regions"/>
    <n v="2013"/>
    <m/>
    <x v="1"/>
    <m/>
    <m/>
    <x v="1"/>
    <s v="TA4.41"/>
    <m/>
    <m/>
    <x v="0"/>
  </r>
  <r>
    <x v="3"/>
    <s v="Proposal for more stringent air pollutant emissions standards for combustion-engine vehicles"/>
    <s v="'Fit for 55': delivering the EU's 2030 Climate Target on the way to climate neutrality"/>
    <s v="Communication from the Commission to the European Parliament, the Council, the European Economic and Social Committee and the Committee of the Regions"/>
    <n v="2021"/>
    <m/>
    <x v="1"/>
    <m/>
    <m/>
    <x v="1"/>
    <s v="TA4.42"/>
    <m/>
    <m/>
    <x v="0"/>
  </r>
  <r>
    <x v="3"/>
    <s v="Proposal for more stringent air pollutant emissions standards for combustion-engine vehicle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43"/>
    <s v="Scheduled collective travel of under 500 km should be carbon neutral within the EU"/>
    <m/>
    <x v="0"/>
  </r>
  <r>
    <x v="3"/>
    <s v="Proposal for more stringent air pollutant emissions standards for combustion-engine vehicle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44"/>
    <s v="Nearly all cars, vans, buses as well as new heavy-duty vehicles will be zero-emission"/>
    <m/>
    <x v="0"/>
  </r>
  <r>
    <x v="3"/>
    <s v="Proposal for more stringent air pollutant emissions standards for combustion-engine vehicle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45"/>
    <s v="There will be at least 30 million zero-emission cars and 80.000 zero-emission lorries in operation"/>
    <m/>
    <x v="0"/>
  </r>
  <r>
    <x v="3"/>
    <s v="Proposal for more stringent air pollutant emissions standards for combustion-engine vehicle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45"/>
    <s v="Zero-emission ocean-going vessels will become market ready"/>
    <m/>
    <x v="0"/>
  </r>
  <r>
    <x v="3"/>
    <s v="Proposal for more stringent air pollutant emissions standards for combustion-engine vehicles"/>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46"/>
    <s v="Zero-emission large zero-emission aircraft will become market ready"/>
    <m/>
    <x v="0"/>
  </r>
  <r>
    <x v="3"/>
    <s v="Proposal for more stringent air pollutant emissions standards for combustion-engine vehicles"/>
    <s v="On type-approval of motor vehicles and engines and of systems, components and separate technical units intended for such vehicles, with respect to their emissions and battery durability (Euro 7) and repealing Regulations (EC) No 715/2007 and (EC) No 595/2"/>
    <s v="Proposal for a Regulation of the European Parliament and of the Council"/>
    <n v="2022"/>
    <m/>
    <x v="1"/>
    <m/>
    <m/>
    <x v="1"/>
    <s v="TA4.47"/>
    <s v="Euro 7 pollutant limits"/>
    <m/>
    <x v="0"/>
  </r>
  <r>
    <x v="3"/>
    <s v="Review of the Alternative Fuels Infrastructure Directive and the Trans European Network – Transport Regulation"/>
    <s v="on Union guidelines for the development of the trans-European transport network and repealing Decision No 661/2010/EU (revision upcoming)"/>
    <s v="Communication from the Commission to the European Parliament, the Council, the European Economic and Social Committee and the Committee of the Regions"/>
    <n v="2013"/>
    <m/>
    <x v="1"/>
    <m/>
    <m/>
    <x v="1"/>
    <s v="TA4.48"/>
    <m/>
    <m/>
    <x v="0"/>
  </r>
  <r>
    <x v="3"/>
    <s v="Revised proposal for a Directive on Combined Transport"/>
    <s v="Amending Council Directive 92/106/EEC as regards a support framework for intermodal transport of goods and Regulation (EU) 2020/1056 of the European Parliament and the Council as regards calculation of external costs savings and generation of aggregated data"/>
    <s v="Proposal for a Directive of the European Parliament and of the Council"/>
    <n v="2023"/>
    <m/>
    <x v="1"/>
    <m/>
    <m/>
    <x v="1"/>
    <s v="TA4.49"/>
    <m/>
    <m/>
    <x v="0"/>
  </r>
  <r>
    <x v="3"/>
    <s v="Strategy for sustainable and smart mobility"/>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50"/>
    <s v="All external costs of transport within the EU will be covered by the transport users"/>
    <m/>
    <x v="0"/>
  </r>
  <r>
    <x v="3"/>
    <s v="Strategy for sustainable and smart mobility"/>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51"/>
    <s v="Seamless multimodal passenger transport will be facilitated by integrated electronic ticketing"/>
    <m/>
    <x v="0"/>
  </r>
  <r>
    <x v="3"/>
    <s v="Strategy for sustainable and smart mobility"/>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37"/>
    <s v="Freight transport will be paperless"/>
    <m/>
    <x v="0"/>
  </r>
  <r>
    <x v="3"/>
    <s v="Strategy for sustainable and smart mobility"/>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53"/>
    <s v="The death toll for all modes of transport in the EU will be close to zero"/>
    <m/>
    <x v="0"/>
  </r>
  <r>
    <x v="3"/>
    <s v="Strategy for sustainable and smart mobility"/>
    <s v="Sustainable and Smart Mobility Strategy – putting European transport on track for the future"/>
    <s v="Communication from the Commission to the European Parliament, the Council, the European Economic and Social Committee and the Committee of the Regions"/>
    <n v="2020"/>
    <n v="0"/>
    <x v="0"/>
    <n v="0"/>
    <n v="0"/>
    <x v="0"/>
    <s v="TA4.54"/>
    <s v="Active transport modes, such as cycling, have seen growth with cities announcing over 2300 km of extra cycling infrastructure. This should be doubled in the next decade towards 5000 km in safe bike lanes"/>
    <m/>
    <x v="0"/>
  </r>
  <r>
    <x v="3"/>
    <s v="Strategy for sustainable and smart mobility"/>
    <s v="The new EU Urban Mobility Framework"/>
    <s v="Communication from the Commission to the European Parliament, the Council, the European Economic and Social Committee and the Committee of the Regions"/>
    <n v="2021"/>
    <n v="0"/>
    <x v="0"/>
    <n v="0"/>
    <n v="0"/>
    <x v="0"/>
    <s v="TA4.55"/>
    <s v="Zero-emission in urban logistics_x000a_The new EU Urban Mobility Framework."/>
    <s v="Although it has been estimated that urban freight is an important traffic component (10% to 15% of vehicle equivalent miles) and is responsible for 20% to 25% of urban transport related CO2 emissions [159], [160], there is no sufficient data to assess the trend."/>
    <x v="3"/>
  </r>
  <r>
    <x v="3"/>
    <s v="Strategy for sustainable and smart mobility"/>
    <s v="On a new approach for a sustainable blue economy in the EU. Transforming the EU's Blue Economy for a Sustainable Future"/>
    <s v="Communication from the Commission to the European Parliament, the Council, the European Economic and Social Committee and the Committee of the Regions"/>
    <n v="2021"/>
    <n v="0"/>
    <x v="0"/>
    <n v="0"/>
    <n v="0"/>
    <x v="0"/>
    <s v="TA4.56"/>
    <s v="Increase the uptake of short-sea shipping instead of using more polluting modes"/>
    <m/>
    <x v="0"/>
  </r>
  <r>
    <x v="3"/>
    <s v="Strategy for sustainable and smart mobility"/>
    <s v="On a new approach for a sustainable blue economy in the EU. Transforming the EU's Blue Economy for a Sustainable Future"/>
    <s v="Communication from the Commission to the European Parliament, the Council, the European Economic and Social Committee and the Committee of the Regions"/>
    <n v="2021"/>
    <n v="0"/>
    <x v="0"/>
    <n v="0"/>
    <n v="0"/>
    <x v="0"/>
    <s v="TA4.57"/>
    <s v="Renovate the EU’s maritime fleet (e.g. passenger ships and supply vessels for offshore installations) to improve their energy efficiency"/>
    <m/>
    <x v="0"/>
  </r>
  <r>
    <x v="3"/>
    <s v="Strategy for sustainable and smart mobility"/>
    <s v="On a new approach for a sustainable blue economy in the EU. Transforming the EU's Blue Economy for a Sustainable Future"/>
    <s v="Communication from the Commission to the European Parliament, the Council, the European Economic and Social Committee and the Committee of the Regions"/>
    <n v="2021"/>
    <n v="0"/>
    <x v="0"/>
    <n v="0"/>
    <n v="0"/>
    <x v="0"/>
    <s v="TA4.58"/>
    <s v="Pursue the objective of zero-emission ports"/>
    <m/>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m/>
    <x v="1"/>
    <m/>
    <m/>
    <x v="1"/>
    <s v="TA5.1"/>
    <m/>
    <m/>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2"/>
    <s v="Reduce overall EU sales of antimicrobials for farmed animals and in aquaculture by 50% by 2030."/>
    <s v="Indicator: Sales of antimicrobials for food producing animals (Source: EMA). According to the 13th European Surveillance of Veterinary Antimicrobial Consumption report, the overall sales of antimicrobials for use in food-producing animals within the EU have fallen between 2018 and 2022 by 28.3%. During this period, the overall EU sales have thus reached more than half of the reduction target, which shows that the target can be achieved by 2030."/>
    <x v="2"/>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3"/>
    <s v="Reduce nutrient losses by at least 50%, while ensuring that there is no deterioration in soil fertility."/>
    <s v="Indicator: Nitrate in groundwater (Source: EEA)._x000a_The EU aggregate for nitrate content in groundwater based on 18 Member States shows a positive trend (–0.7% annual growth rate) between 2015 and 2020. However, this slight reduction is still far away from the 50% aimed by 2030. It should be noted that the long-term trend (2005-2020) for the EU aggregate was rather stagnant (0.003% annual growth rate)."/>
    <x v="1"/>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4"/>
    <s v="Reduce by 50% the use of more hazardous pesticides_x000a_Target in Common with Biodiversity Strategy (see Thematic Area 6) and Zero Pollution Action Plan (see Thematic Area 7)"/>
    <s v="Indicator: Use of more hazardous pesticides (Source: DG SANTE)._x000a_According to data published by DG SANTE, the use of more hazardous pesticides fell by 21 % between the baseline period of 2015–2017 and 2021. The use_x000a_of more hazardous pesticides shows an increase of 5% from 2020 to 2021. Achievement of the 50% reduction target by 2030 remains challenging._x000a_It should be noted that while this indicator intends to monitor the use of the more hazardous pesticides, it does not take into account the exposure and hence the impact they might have on the environment and human health. In the future, this indicator could be complemented with a risk indicator showing changes in the actual risks2._x000a_2 Options include better grouping of substances, group weighting reflecting substances’ toxicities, standardisation of sales data with recommended application rates and utilisation of pesticide use data instead of the sales data as the basis for a new indicator"/>
    <x v="1"/>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5"/>
    <s v="Reduce by 50% the use and risk of chemical pesticides_x000a_Target in Common with Biodiversity Strategy (see Thematic Area 6) and Zero Pollution Action Plan (see Thematic Area 7)"/>
    <s v=" Indicator: Use and risk of chemical pesticides (Source: DG SANTE)._x000a_According to data published by DG SANTE, the use and risk of chemical pesticides decreased by 33 % between the baseline period of 2015–2017 and 2021. The use and risk of chemical pesticides shows a decrease of 6% from 2020 to 2021. These overall downward trends show that the target can be achieved by 20301. [182]_x000a_1 It should be noted that the current EU-wide indicator, which applies risk weightings to four differ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
    <x v="2"/>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6"/>
    <s v="Aquatic living resources: Increase sustainable fishing and aquaculture. Bring fish stocks to sustainable levels. Significant increase in organic aquaculture"/>
    <s v="This is the objective of the CFP to ensure that fishing and aquaculture are environmentally sustainable and managed in a manner consistent with the objectives of achieving economic, social and employment benefits. This indicator shows the modelled average ratio of fishing mortality to its associated reference point (FMSY or its proxy) over time since 2003. It monitors the trend of F/FMSY at the level of European waters (Northeast Atlantic, Mediterranean and Black Sea). The aim is to have a decreasing trend (as the starting point was 1.56) and to reach the lowest possible level below 1. A downward trend was observed throughout the time series, thus showing an improvement in the sustainable exploitation of fish stocks. Although the indicator_x000a_in 2021 stands at 0.88, lower values are expected in case of full sustainable exploitation since some stocks are still overfished (F&gt;FMSY). Indicator: Fishing pressure relative to maximum sustainable yield (trends in F/ FMSY) (Source: JRC)."/>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7"/>
    <s v="Ensure that agriculture, fisheries and aquaculture, and the food value chain contribute to the target of reducing net greenhouse gas emissions to at least 55% below 1990 levels by 2030 and to the_x000a_achievement of the objective for a climate-neutral Union in 2050. "/>
    <s v="The trend (from 1990 to 2018) of this indicator for the EU 27 countries covering the GHG emissions from the_x000a_entire food value chain (from production to consumption within the EU territory) is in the desired direction to contribute to the 55% net reduction and climate neutrality targets set by the EC for all economic sectors in the EU combined. However, the_x000a_lack of current data, and the unpredictability of certain components of the GHG food system emission indicator (as temporal or geographical changes_x000a_in LULUC), make the prediction to 2030 very uncertain. In 2018 (the last recorded year in the time series) the total EU GHG food system emissions_x000a_represented 85.86% of the GHG food system emissions in 1990. Indicator: GHG food system emissions (Source: JRC EDGAR Food)."/>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8"/>
    <s v="Water: Preserving freshwater, boosting water reuse in agriculture."/>
    <s v="Overall, using a 3-year moving average, the EU has seen a 14% improvement in the Water Exploitation Index (WEI+) compared to 2011. This improvement_x000a_was observed in 14 Member States. However, further improvements are necessary. Efforts are needed to reduce the inequality in total water use as a percentage of the_x000a_renewable freshwater resources between Member States, especially in the Mediterranean area. (Renewable freshwater resources in the WEI+ index are computed considering mainly a change in the water storage capacity (groundwater and surface water) of a given territory. For example, Cyprus had_x000a_a WEI+ of 113% in 2019, in contrast to France's 2.8%. Seven Member States recorded a WEI+ score of less than 1, indicating that their water storage capacity exceeded their consumption. Indicator: Water use in agriculture (Water exploitation index, plus - WEI+) (Source: EEA)."/>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9"/>
    <s v="Increase organic farming with the aim to achieve at least 25% of total farmland under organic farming by 2030_x000a_Target in Common with Biodiversity Strategy (see Thematic Area 6)"/>
    <s v=" Indicator: Area under organic farming (% of the total utilised agricultural area) (Source: Eurostat). Moderate progress rate, but not enough to reach_x000a_the target by 2030. The compound annual growth rate (CAGR) is 6.7% per year observed i.e. an increase from 5.6% to 9.1% (2012-2020), while 9.3% per year would be required to meet the target"/>
    <x v="1"/>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0"/>
    <s v="Energy: Increase renewable energy in the agriculture and food sector._x000a_Adopt energy efficiency solutions in the agriculture and food sector, by_x000a_reducing energy consumption."/>
    <s v="Overall, there has been an increase in energy consumption for both agriculture and forestry, as well as the overall food industry,_x000a_by 7.4 % and 13.5% respectively compared to 2011. The annual rate of increase_x000a_is 0.8% for agriculture and forestry and 1.7% for the food industry. Across Europe,_x000a_these two sectors have consumed 54.32 million tonnes of oil equivalent, evenly split between them. France and Germany lead in total energy consumption. For the overall_x000a_food industry, there has been a noticeable decrease of 1% in France, while Germany experienced an increase of 5.8% compared to 2011. In agriculture and forestry, France and the Netherlands lead in energy consumption, with increases of 1.3% and 9.9%, respectively. Consequently, efforts are required to enhance energy efficiency and achieve the objective of reducing energy consumption at the EU level._x000a_Indicator: Final energy consumption in agriculture, forestry and food industry (Source: Eurostat)."/>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1"/>
    <s v="Biodiversity conservation and restoration of natural resources: Protect the environment and restore natural resources. Preserve biodiversity and reduce biodiversity loss."/>
    <s v="The impacts on global species richness due to the supply chain of food products consumed in the EU (produced either in the EU or in other world regions) have increased during the last decade. This results from increasing food consumption, as well as increasing consumption_x000a_of animal-based products. Main drivers of biodiversity loss are associated to land use and climate change impacts. Observed trends in consumption patterns are not expected to change to an extent to revert this trend by 2030. Indicator: Consumption Footprint - Food (biodiversity loss) (Source: JRC)."/>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2"/>
    <s v="Genetic biodiversity of food production systems: Secure and ensure access to a range of quality seeds for plant varieties in order to adapt to the pressures of climate change."/>
    <s v="The FAO progress assessment of SDG indicator 2.5.1.a, for the period 1995-2021, observes a global trend of improvement in Europe, with a slowdown in improvement particularly in the last five years. Indicator: Number of plant genetic resources for food and agriculture secured in either medium- or long-term conservation facilities (Source: FAO)."/>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3"/>
    <s v="Reduce food waste. Prevent food loss and waste. Halve per capita food waste at retail and consumer levels*_x000a_*See also Directive (EU) 2018/851 on waste with a target on food waste reduction of 30% by 2025"/>
    <s v="Indicator: Food Waste (Source: Eurostat). It should be noted that at the moment only two data points are available, 2020 and 2021, therefore, it is still early to define a clear trend. The Member States should report on food waste every year, using primary data at least once every four years. Based on the analysis performed in the impact assessment of the Proposal for a Directive of the European Parliament and of the Council amending Directive 2008/98/EC on waste, this target was not deemed to be feasible to achieve [108]. In the proposal the target has been redefined with a reduction of food consumption by 30% at retail and consumption level, plus a reduction of 10% in manufacturing (see Thematic Area 3)."/>
    <x v="1"/>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4"/>
    <s v="Circular economy: Scale-up and promote sustainable and socially responsible production methods and circular business models in food processing and retail."/>
    <s v="No adequate indicator is available at the moment to assess this objective."/>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5"/>
    <s v="Consumption footprint: Reduce the environmental and climate footprint of the EU food system, operating within planetary boundaries. Reduce the EU’s contribution to global deforestation and forest degradation."/>
    <s v="According to_x000a_JRC study [183], the EU food system is transgressing several planetary boundaries including climate change and those related to novel entities (particulate matter, freshwater ecotoxicity). The Consumption Footprint related to food consumption_x000a_has shown an increasing trend since 2010, with the consumption of animal-based products dominating the impacts (around 70%). This increasing trend was common for most of the Member States (20 out of 27) [184]._x000a_Indicator: Consumption Footprint (Food) (Source: JRC)."/>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6"/>
    <s v="ncome distribution: Ensure fair income and salaries. Improve income of primary producers to ensure their sustainable livelihood."/>
    <s v="This indicator compares agricultural income to average wages in the economy and provides an estimate of the average income opportunities_x000a_that a person would have outside of agriculture. It has increased from 31% to 52% between 2005 and 2021 at the EU level, reflecting a CAGR of 3% in this time frame. However, there are discrepancies among Member States. While in certain Member States, such as Hungary and_x000a_France, farmers' income compared to other wages in the economy has grown more than the EU average, in other Member States like Italy and_x000a_Belgium, have remained below the EU average or have shown a decreasing trend (e.g. Estonia and Austria). In addition, although the average farm income_x000a_per worker in the EU has steadily increased over the past decade (by 56% from 2013 to 2021), income levels do not only vary significantly across EU countries,_x000a_but also across the farming sector and farm size. In particular, farm economic size significantly influences income as higher costs per hectare associated with larger farms are_x000a_compensated by higher production, leading to greater overall profitability. Indicator: Farmers income compared to wages in the rest of the economy (Source: DG AGRI)."/>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7"/>
    <s v="Sectorial growth: Help farmers and fishers to strengthen their position in the supply chain and to capture a fair share of the added value of sustainable production"/>
    <s v="This indicator measures the economic contribution in the agriculture, fishing and aquaculture, as well as the food, beverage, and tobacco sectors. The food, beverage, and tobacco sectors constitute the largest portion of the overall agri-food value chain (over 50%), followed by the agriculture sector. The total value added in the food and agriculture sectors has Increased from 340K in 2008 to 433.5K in 2020 in the EU, with a CAGR of 2%. The compound growth in the manufactured food sector has been higher (2.5%) than the growth in the agriculture sector (1.5%). Indicator: Value added along the food chain (Source: JRC)."/>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8"/>
    <s v=" Market power and business structure: Improve agricultural rules that strengthen the position of farmers (e.g. producers of products with geographical indications), their cooperatives and producer organisations in the food supply chain. "/>
    <s v="This indicator is important to assess the level of investment and development in the agricultural sector. Among Member States, the level of gross fixed capital formation varies. Most Member States surpass the EU average. While countries such as France and Germany have the highest capital formation in agriculture, some Member States lag behind e.g. Czechia, Bulgaria and Estonia. In the EU, gross fixed capital formation in agriculture has increased from EUR 44 Billion in 2005 to EUR 68 Billion in 2022, corresponding to a CAGR of 2.8% and a 55% percentage increase. The growth rates also vary across Member States. As expected, the countries with highest capital formation show limited growth trend e.g. Germany, while the highest growth rates are observed in countries that had lower starting values e.g. Romania, Bulgaria. Indicator: Gross fixed capital formation in agriculture (Source: DG AGRI)."/>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19"/>
    <s v="Price: Preserve the price affordability of food."/>
    <s v="The annual average of food prices, indexed to 2015, has increased from 80% (2005) to 125% (2022), an average yearly inflation of almost 2.5%. Since 2015, food prices have risen by 25%, and the biggest increase has taken place in 2022. Indicator: Consumer food inflation (Source: Eurostat)."/>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20"/>
    <s v="Trade: Foster the competitiveness of the EU supply sector."/>
    <s v="The EU agri-food trade balance has shown stable growth over the last twenty years, despite a marginal decrease in 2022. It has reached a record level in 2023, with a total surplus of EUR 70.1 billion. While the overall agri-food trade balance shows a surplus, there are variations at the category level. The EU has a trade deficit in several product categories, with the most significant deficits observed in oilseeds_x000a_and protein crops, and some fruits and nuts. The surplus is spread across product categories, driven mainly by cereal preparations, dairy products, and wine._x000a_Indicator: Agricultural and food products trade balance (Source: Eurostat)."/>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21"/>
    <s v="Digitalisation and knowledge transfer. Ensure access to fast broadband to all farmers and all rural areas to achieve the objective of 100% access by 2025 (enabler for jobs, businesses, investments, improve- ment in quality of life in rural areas and enabler to mainstream precision farming and use of artificial intelligence"/>
    <s v="Indicator: Rural next generation access (NGA) broadband coverage, as a % of households (Source: DG DIGIT)._x000a_Next generation access broadband availability has significantly improved over the past decade, with the percentage of households having access increasing from 18% of rural households in 2013 to 73% in 2022. However, the objective of achieving 100% coverage by 2025 is at risk at the current pace. Most Member States remain above the EU average of 73%. However, despite showing growth in the last decade, some Member States such as France (2013: 16%, 2022: 59%), Poland (2013: 18%, 2022: 40%), and Croatia (2013: &gt;1%, 2022: 52%), still lag behind."/>
    <x v="1"/>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22"/>
    <s v="Transport, accessibility and infrastructure: Create shorter supply chains will support reducing dependence on long-haul transportation."/>
    <s v="There have been almost no changes in the number of tonnes transported across difference distance categories. Since 2013, approximately 30% of the freight of food products, beverages and tobacco has been transported less than 50 km, and another 30% has been transported between 50 and 150 km. Between 2013 and 2021, the tonnes per kilometre transported for all activities related to the food system (agriculture, fisheries, food manufacturing, trade and services) have increased by 9%, although the tonnes per kilometre transported in the food and beverages manufacturing sector decreased by 5%. Indicator: Annual road freight transport by distance class. (Source: Eurostat)."/>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23"/>
    <s v="Employment and working conditions: Create new job opportunities. Improve working conditions, ensure occupation health and safety."/>
    <s v="This indicator gives total employment in agriculture, the food industry and food services in absolute terms and also as a share of total employment. The employment in the food sector by economic activity has decreased over the last decade, from 8,474 (in 2013) to 6,326 (in 2022) million persons. During this period the mean annual decrease was 2.88% based on CAG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Indicator: Employment by economic activity (Source: Eurostat)."/>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24"/>
    <s v="Social protection and poverty: Ensure fair, inclusive and ethical value chains. Ensure workers’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
    <s v="No adequate indicator is available at the moment to assess this objective."/>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25"/>
    <s v="Animal welfare: Promote better animal welfare to improve animal health and food quality. "/>
    <s v="No adequate indicator is available at the moment to assess this objective."/>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1"/>
    <m/>
    <m/>
    <x v="1"/>
    <s v="TA5.26"/>
    <s v="Strengthen educational messages on the importance of healthy nutrition, sustainable food production and consumption, and reducing food waste. "/>
    <m/>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27"/>
    <s v="Food messaging: Provide food information and labelling to empower consumers to make informed, healthy and sustainable food choices. Strengthen educational messages on the importance of healthy nutrition, sustainable food production and consumption, and reducing food waste"/>
    <s v="No adequate indicator is available at the moment to assess this objective."/>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1"/>
    <m/>
    <m/>
    <x v="1"/>
    <s v="TA5.28"/>
    <s v="Extend the mandatory origin or provenance indications to certain products.  "/>
    <m/>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29"/>
    <s v="Food availability: Improve availability of sustainable food. Ensure that the healthy option is always the easiest one. Ensure food supply."/>
    <s v="The ratio plant to total protein supply indicator is derived from FAO supply data. The closer the value is to 1, the higher the contribution of plant-based sources to protein supply; the average of the previous three years is taken to reduce error variation. This indicator examines the contribution of plant food sources_x000a_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change indicates that a transition towards increased supply of plant-based foods in the EU remains a challenge, possibly linked to a slow progress in the transition towards more plant-based diets in the region. Indicator: Ratio plant to total protein supply (Source: FAO)."/>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30"/>
    <s v="Food affordability: Ensure affordability to sufficient, nutritious and sustainable food"/>
    <s v="The percentage of population who cannot afford a healthy diet is reported by FAO and the World Bank for global monitoring. A healthy diet is considered unaffordable when its cost exceeds 52% of income per capita per day. This percentage accounts for a portion of income that can be credibly reserved for food, based on observations that the population in low-income countries spend, on average, 52% of their income on food. The estimated proportion of the population who cannot afford a healthy diet in Europe has dropped 40% from 2.5% in 2017 to 1.5% in 2021. Across EU countries, values ranged between &lt;1% for several countries and 7% in Romania in 2021. The indicator does not account for non-food spending and likely underestimates food affordability issues in the context of the EU region. Indicator: Percent of the population who cannot afford a healthy diet in the EU (Source: FAO)."/>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31"/>
    <s v="Properties of food: Increase reformulation of food products in line with guidelines for healthy and sustainable diets"/>
    <s v="No adequate indicator is available at the moment to assess this objective."/>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32"/>
    <s v="Food security: Ensuring food security and access to quality, safe, sustainable, nutritious food for all."/>
    <s v="In 2022, the FAO estimated that 7.8% of the population in Europe experienced moderate or severe food insecurity. Among EU countries, values for 2022 ranged between 2% in Italy and 19% in Romania. Analysis of the trends indicate prevalence of food insecurity has slightly improved until 2019 but reversed in the last years. Indicator: Prevalence of moderate or severe food insecurity in the EU population (Source: FAO)."/>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33"/>
    <s v="Nutrition and healthy, sustainable diets: Move to healthier and more sustainable diets."/>
    <s v="EU diets are poorly aligned with dietary recommendations, as none of the EU Member States is on track to meet the dietary- related guidelines. In the EU, no country fulfils simultaneously the recommendations for healthy food consumption [185]: the consumption of fruit, vegetables, legumes, whole grains nuts and seeds as well as milk and fish is lower than the recommended intake levels (when compared to either national food based dietary guidelines [186] or World Health Organization (WHO) and EAT-Lancet recommendations [187], [188]), while the consumption of red meat is above._x000a_However, at the moment there is no adequate indicator available to assess the progress on this objective. The lack of regular, consistent and methodologically harmonised surveys across the EU Member States challenges the coverage and the comparability of such data, being an important gap for the use of these indicators. To overcome the lack of regularity and timeliness of the data, the development of food consumption indicators using data from national dietary surveys to monitor dietary components of healthy diets is being explored."/>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34"/>
    <s v="Health impact of diets: Reversing of the rise in overweight and obesity rates across the EU by 2030"/>
    <s v="The indicator as reported in Eurostat indicates that the proportion of overweight adults in the EU has slightly increased from 51% in 2014 to 53% in 2019. Reversing the prevalence of overweight in the EU remains a public health challenge considering the negative trends observed."/>
    <x v="0"/>
  </r>
  <r>
    <x v="4"/>
    <s v="‘Farm to Fork’ Strategy Measures, including legislative, to significantly reduce the use and risk of chemical pesticides, as well as the use of fertilizers and antibiotics"/>
    <s v="A Farm to Fork Strategy"/>
    <s v="Communication from the Commission to the European Parliament, the Council, the European Economic and Social Committee and the Committee of the Regions"/>
    <n v="2020"/>
    <n v="0"/>
    <x v="0"/>
    <n v="0"/>
    <n v="0"/>
    <x v="0"/>
    <s v="TA5.35"/>
    <s v="Preparedness, shock resilience, adaptation and transformation: Strengthen the resilience of the EU_x000a_food system. Build up resilience to climate change, possible future diseases and pandemics. Increasing_x000a_the sustainability of food producers will ultimately increase their resilience."/>
    <s v=" In the absence of agreed_x000a_categories and calculation methodology, currently, the resilience of food system cannot be described with a_x000a_single indicator."/>
    <x v="0"/>
  </r>
  <r>
    <x v="4"/>
    <s v="‘Farm to Fork’ Strategy Measures, including legislative, to significantly reduce the use and risk of chemical pesticides, as well as the use of fertilizers and antibiotics"/>
    <s v="Ensuring resilient and sustainable use of EU's natural resources"/>
    <s v="Communication from the Commission to the European Parliament, the Council, the European Economic and Social Committee and the Committee of the Regions"/>
    <n v="2023"/>
    <m/>
    <x v="1"/>
    <m/>
    <m/>
    <x v="1"/>
    <s v="TA5.36"/>
    <m/>
    <m/>
    <x v="0"/>
  </r>
  <r>
    <x v="4"/>
    <s v="‘Farm to Fork’ Strategy Measures, including legislative, to significantly reduce the use and risk of chemical pesticides, as well as the use of fertilizers and antibiotics"/>
    <s v="On plants obtained by certain new genomic techniques and their food and feed, and amending Regulation (EU) 2017/625_x000a_"/>
    <s v="Proposal for a Regulation of the European Parliament and of the Council"/>
    <n v="2023"/>
    <m/>
    <x v="1"/>
    <m/>
    <m/>
    <x v="1"/>
    <s v="TA5.37"/>
    <m/>
    <m/>
    <x v="0"/>
  </r>
  <r>
    <x v="5"/>
    <s v="EU Biodiversity Strategy for 2030"/>
    <s v="EU Biodiversity Strategy for 2030"/>
    <s v="Communication from the Commission to the European Parliament, the Council, the European Economic and Social Committee and the Committee of the Regions"/>
    <n v="2020"/>
    <m/>
    <x v="4"/>
    <n v="0"/>
    <n v="0"/>
    <x v="0"/>
    <s v="TA6.1"/>
    <s v="1.a Legally protect a minimum of 30% of the EU’s land area"/>
    <s v="The 26% of EU’s land area is covered by protected areas, including 18.6% by Natura 2000 designated protected areas and 17.3% by nationally designated protected areas. If the designation of protected areas continues at the rate seen in the past decade (1.7 percentage points increase since 2011), the target will not be met [209]."/>
    <x v="1"/>
  </r>
  <r>
    <x v="5"/>
    <s v="EU Biodiversity Strategy for 2030"/>
    <s v="EU Biodiversity Strategy for 2030"/>
    <s v="Communication from the Commission to the European Parliament, the Council, the European Economic and Social Committee and the Committee of the Regions"/>
    <n v="2020"/>
    <m/>
    <x v="4"/>
    <n v="0"/>
    <n v="0"/>
    <x v="0"/>
    <s v="TA6.2"/>
    <s v="1.b Legally protect a minimum of 30% of the EU's sea area"/>
    <s v="12% of EU's sea area is currently covered by protected areas, including 9% by Natura 2000 designated protected areas and 4.5% by nationally designated protected areas."/>
    <x v="1"/>
  </r>
  <r>
    <x v="5"/>
    <s v="EU Biodiversity Strategy for 2030"/>
    <s v="EU Biodiversity Strategy for 2030"/>
    <s v="Communication from the Commission to the European Parliament, the Council, the European Economic and Social Committee and the Committee of the Regions"/>
    <n v="2020"/>
    <n v="0"/>
    <x v="0"/>
    <n v="0"/>
    <n v="0"/>
    <x v="0"/>
    <s v="TA6.3"/>
    <s v="2.a Strictly protect at least a third of the EU'S protected areas"/>
    <s v="Indicators are missing to check whether the EU is on track or not. Seven out of_x000a_the nine actions set in the EU BDS to foster biodiversity protection in the EU still need to be implemented by 2030, but they all appear on track so far. Member States did not report official information reported to EEA. An independent scientific assessment [210] shows that currently only 3.5 % of protected areas are strictly protected."/>
    <x v="1"/>
  </r>
  <r>
    <x v="5"/>
    <s v="EU Biodiversity Strategy for 2030"/>
    <s v="EU Biodiversity Strategy for 2030"/>
    <s v="Communication from the Commission to the European Parliament, the Council, the European Economic and Social Committee and the Committee of the Regions"/>
    <n v="2020"/>
    <n v="0"/>
    <x v="0"/>
    <n v="0"/>
    <n v="0"/>
    <x v="0"/>
    <s v="TA6.4"/>
    <s v="2b. Strictly protect all remaining EU primary and old- growth forests_x000a_Biodiversity Strategy_x000a_Target in common with the New EU Forest Strategy"/>
    <s v="The target has been welcomed and endorsed by the European Council, which is key for this target. The Commission issued Guidelines [211]for defining, mapping, monitoring and strictly protecting EU Primary and Old-Growth Forests in 2023. However, there is still a lack of a clear, uniform definition of what constitutes primary and old-growth forests. As a result, while it is likely that the target will be met, it remains unclear whether all forests that should be protected will actually receive protection."/>
    <x v="2"/>
  </r>
  <r>
    <x v="5"/>
    <s v="EU Biodiversity Strategy for 2030"/>
    <s v="EU Biodiversity Strategy for 2030"/>
    <s v="Communication from the Commission to the European Parliament, the Council, the European Economic and Social Committee and the Committee of the Regions"/>
    <n v="2020"/>
    <n v="0"/>
    <x v="0"/>
    <n v="0"/>
    <n v="0"/>
    <x v="0"/>
    <s v="TA6.5"/>
    <s v="3. Effectively manage all protected areas, defining clear conservation objectives and measures, and monitoring them appropriately"/>
    <m/>
    <x v="0"/>
  </r>
  <r>
    <x v="5"/>
    <s v="EU Biodiversity Strategy for 2030"/>
    <s v="EU Biodiversity Strategy for 2030"/>
    <s v="Communication from the Commission to the European Parliament, the Council, the European Economic and Social Committee and the Committee of the Regions"/>
    <n v="2020"/>
    <m/>
    <x v="1"/>
    <m/>
    <m/>
    <x v="1"/>
    <s v="TA6.7"/>
    <s v="4. By 2030, significant areas of degraded and carbon-rich ecosystems are restored. Habitats and species show no deterioration in conservation trends and status; and at least 30% reach favourable conservation status or at least show a positive trend. "/>
    <s v="See table above."/>
    <x v="0"/>
  </r>
  <r>
    <x v="5"/>
    <s v="EU Biodiversity Strategy for 2030"/>
    <s v="EU Biodiversity Strategy for 2030"/>
    <s v="Communication from the Commission to the European Parliament, the Council, the European Economic and Social Committee and the Committee of the Regions"/>
    <n v="2020"/>
    <m/>
    <x v="1"/>
    <m/>
    <m/>
    <x v="1"/>
    <s v="TA6.8"/>
    <s v="5. The decline of pollinators is reversed (the target is in common with &quot;A New Deal for Pollinators&quot;)"/>
    <s v="See table above."/>
    <x v="0"/>
  </r>
  <r>
    <x v="5"/>
    <s v="EU Biodiversity Strategy for 2030"/>
    <s v="EU Biodiversity Strategy for 2030"/>
    <s v="Communication from the Commission to the European Parliament, the Council, the European Economic and Social Committee and the Committee of the Regions"/>
    <n v="2020"/>
    <m/>
    <x v="1"/>
    <m/>
    <m/>
    <x v="1"/>
    <s v="TA6.9"/>
    <s v="6. The risk and use of chemical pesticides is reduced by 50%, and the use of more hazardous pesticides is reduced by 50%_x000a_Biodiversity Strategy_x000a_Target in common with the Farm to Fork Strategy and already assessed in Thematic Area 5trategy)"/>
    <s v="Indicator: Use and risk of chemical pesticides (Source: DG SANTE)._x000a_According to a trend analysis by DG SANTE, the use and risk of chemical pesticides decreased by 14% between the baseline period of 2015–2017 and 2020. The use and risk of chemical pesticides shows a decrease of 6% from 2020, and an overall decrease in the first four years of observation of 33% from the baseline period of 2015-2017. These overall downward trends shows that the first part of the target can be achieved by 2030 [182]. On the other side, according to data published_x000a_by DG SANTE, the use of more hazardous pesticides fell by 21% between the baseline period of 2015–2017 and 2021. The use of more hazardous pesticides shows an increase of 5% from 2020 to 2021. Achievement of the 50% reduction target by 2030 remains challenging. It should be noted, while this indicator intends to monitor the use of the more hazardous pesticides, it does not take into account the exposure and hence the impact they might have on the environment and human health. In the future, this indicator should be complemented with a risk indicator showing changes in the actual risks._x000a_1 It should be noted that the current EU-wide indicator, which applies risk weightings to four differ- ent groups of chemical pesticides and is based on pesticide sales, is not considered scientifically robust by some. This indicator is based on a similar harmonised risk indicator, which, according_x000a_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_x000a_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
    <x v="1"/>
  </r>
  <r>
    <x v="5"/>
    <s v="EU Biodiversity Strategy for 2030"/>
    <s v="EU Biodiversity Strategy for 2030"/>
    <s v="Communication from the Commission to the European Parliament, the Council, the European Economic and Social Committee and the Committee of the Regions"/>
    <n v="2020"/>
    <n v="0"/>
    <x v="0"/>
    <n v="0"/>
    <n v="0"/>
    <x v="0"/>
    <s v="TA6.10"/>
    <s v="7. At least 10% of agricultural area is under high-diversity landscape features Biodiversity Strategy"/>
    <s v="The JRC has developed an indicator [212] to monitor progress in the share of agricultural area covered by landscape features, showing that currently, at the EU level, 5.6% of agricultural land is covered by landscape features. However, this indicator does not capture high-diversity landscape features and no temporal trend is available, so at this stage no conclusion can be made regarding the likelihood to reach the target."/>
    <x v="3"/>
  </r>
  <r>
    <x v="5"/>
    <s v="EU Biodiversity Strategy for 2030"/>
    <s v="EU Biodiversity Strategy for 2030"/>
    <s v="Communication from the Commission to the European Parliament, the Council, the European Economic and Social Committee and the Committee of the Regions"/>
    <n v="2020"/>
    <m/>
    <x v="1"/>
    <m/>
    <m/>
    <x v="1"/>
    <s v="TA6.11"/>
    <s v="9. Three billion trees are planted in the EU, in full respect of ecological principles"/>
    <s v="See table above."/>
    <x v="0"/>
  </r>
  <r>
    <x v="5"/>
    <s v="EU Biodiversity Strategy for 2030"/>
    <s v="EU Biodiversity Strategy for 2030"/>
    <s v="Communication from the Commission to the European Parliament, the Council, the European Economic and Social Committee and the Committee of the Regions"/>
    <n v="2020"/>
    <n v="0"/>
    <x v="0"/>
    <n v="0"/>
    <n v="0"/>
    <x v="0"/>
    <s v="TA6.12"/>
    <s v="10. Significant progress in the remediation of contaminated soil sites"/>
    <m/>
    <x v="0"/>
  </r>
  <r>
    <x v="5"/>
    <s v="EU Biodiversity Strategy for 2030"/>
    <s v="EU Biodiversity Strategy for 2030"/>
    <s v="Communication from the Commission to the European Parliament, the Council, the European Economic and Social Committee and the Committee of the Regions"/>
    <n v="2020"/>
    <m/>
    <x v="1"/>
    <m/>
    <m/>
    <x v="1"/>
    <s v="TA6.13"/>
    <s v="11. At least 25.000 km of free-flowing rivers are restored"/>
    <s v="See table above."/>
    <x v="0"/>
  </r>
  <r>
    <x v="5"/>
    <s v="EU Biodiversity Strategy for 2030"/>
    <s v="EU Biodiversity Strategy for 2030"/>
    <s v="Communication from the Commission to the European Parliament, the Council, the European Economic and Social Committee and the Committee of the Regions"/>
    <n v="2020"/>
    <n v="0"/>
    <x v="0"/>
    <n v="0"/>
    <n v="0"/>
    <x v="0"/>
    <s v="TA6.14"/>
    <s v="12. There is a 50% reduction in the number of Red List species threatened by Invasive Alien Species (IAS) Biodiversity Strategy"/>
    <s v="The expected acceleration in the number of alien species introductions and establishment due to global trade (including web trade), travel, and climate change, can lead to increased adverse impacts on biodiversity and ecosystems, human health and the economy. The Regulation (EU) 1143/2014 (IAS Regulation) includes a set of measures to be taken across the EU in relation to IAS, aiming_x000a_to prevent, minimise and mitigate their adverse impacts. The implementation is underpinned by EASIN (European Alien Species Information Network), which also hosts the European early warning system on IAS of Union concern. The actions fostered by the EU biodiversity Strategy for 2023 aim at stepping up the IAS Regulation and other relevant legislation and international agreements with the objective of managing established IAS, decreasing the number of Red List species they threaten."/>
    <x v="3"/>
  </r>
  <r>
    <x v="5"/>
    <s v="EU Biodiversity Strategy for 2030"/>
    <s v="EU Biodiversity Strategy for 2030"/>
    <s v="Communication from the Commission to the European Parliament, the Council, the European Economic and Social Committee and the Committee of the Regions"/>
    <n v="2020"/>
    <n v="0"/>
    <x v="0"/>
    <n v="0"/>
    <n v="0"/>
    <x v="0"/>
    <s v="TA6.15"/>
    <s v="13. The losses of nutrients from fertilisers are reduced by 50%, resulting in the reduction of the use of fertilisers by at least 20%*_x000a_Biodiversity Strategy_x000a_See also assessment in Thematic Area 7"/>
    <s v="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calls for further measures"/>
    <x v="0"/>
  </r>
  <r>
    <x v="5"/>
    <s v="EU Biodiversity Strategy for 2030"/>
    <s v="EU Biodiversity Strategy for 2030"/>
    <s v="Communication from the Commission to the European Parliament, the Council, the European Economic and Social Committee and the Committee of the Regions"/>
    <n v="2020"/>
    <n v="0"/>
    <x v="0"/>
    <n v="0"/>
    <n v="0"/>
    <x v="0"/>
    <s v="TA6.16"/>
    <s v="14. Cities with at least 20.000 inhabitants have an ambitious Urban Greening Plan_x000a_"/>
    <s v="No data is yet available."/>
    <x v="3"/>
  </r>
  <r>
    <x v="5"/>
    <s v="EU Biodiversity Strategy for 2030"/>
    <s v="EU Biodiversity Strategy for 2030"/>
    <s v="Communication from the Commission to the European Parliament, the Council, the European Economic and Social Committee and the Committee of the Regions"/>
    <n v="2020"/>
    <n v="0"/>
    <x v="0"/>
    <n v="0"/>
    <n v="0"/>
    <x v="0"/>
    <s v="TA6.17"/>
    <s v="15. The negative impacts on sensitive species and habitats, including on the seabed through fishing and extraction activities, are substantially reduced to achieve good environmental status"/>
    <m/>
    <x v="0"/>
  </r>
  <r>
    <x v="5"/>
    <s v="EU Biodiversity Strategy for 2030"/>
    <s v="EU Biodiversity Strategy for 2030"/>
    <s v="Communication from the Commission to the European Parliament, the Council, the European Economic and Social Committee and the Committee of the Regions"/>
    <n v="2020"/>
    <n v="0"/>
    <x v="0"/>
    <n v="0"/>
    <n v="0"/>
    <x v="0"/>
    <s v="TA6.18"/>
    <s v="16. The by-catch of species is eliminated or reduced to a level that allows species recovery and conservation "/>
    <m/>
    <x v="0"/>
  </r>
  <r>
    <x v="5"/>
    <s v="EU Biodiversity Strategy for 2030"/>
    <s v="Ensuring resilient and sustainable use of EU's natural resources"/>
    <s v="Communication from the Commission to the European Parliament, the Council, the European Economic and Social Committee and the Committee of the Regions"/>
    <n v="2023"/>
    <m/>
    <x v="1"/>
    <m/>
    <m/>
    <x v="1"/>
    <s v="TA6.19"/>
    <m/>
    <m/>
    <x v="0"/>
  </r>
  <r>
    <x v="5"/>
    <s v="EU Biodiversity Strategy for 2030"/>
    <s v="On Soil Monitoring and Resilience (Soil Monitoring Law)"/>
    <s v="Proposal for a Directive of the European Parliament and of the Council"/>
    <n v="2023"/>
    <m/>
    <x v="1"/>
    <m/>
    <m/>
    <x v="1"/>
    <s v="TA6.20"/>
    <m/>
    <m/>
    <x v="0"/>
  </r>
  <r>
    <x v="5"/>
    <s v="EU Biodiversity Strategy for 2030"/>
    <s v="EU Soil Strategy for 2030"/>
    <s v="Communication from the Commission to the European Parliament, the Council, the European Economic and Social Committee and the Committee of the Regions"/>
    <n v="2021"/>
    <n v="0"/>
    <x v="0"/>
    <n v="0"/>
    <n v="0"/>
    <x v="0"/>
    <s v="TA6.21"/>
    <s v="Combat desertification, restore degraded land and soil, including land affected by desertification, drought and floods, and strive to achieve a land degradation-neutral world (SDG 15.3) "/>
    <m/>
    <x v="0"/>
  </r>
  <r>
    <x v="5"/>
    <s v="EU Biodiversity Strategy for 2030"/>
    <s v="EU Soil Strategy for 2030"/>
    <s v="Communication from the Commission to the European Parliament, the Council, the European Economic and Social Committee and the Committee of the Regions"/>
    <n v="2021"/>
    <m/>
    <x v="1"/>
    <m/>
    <m/>
    <x v="1"/>
    <s v="TA6.22"/>
    <m/>
    <m/>
    <x v="0"/>
  </r>
  <r>
    <x v="5"/>
    <s v="Measures to address the main drivers of biodiversity loss"/>
    <s v="EU Biodiversity Strategy for 2030"/>
    <s v="Communication from the Commission to the European Parliament, the Council, the European Economic and Social Committee and the Committee of the Regions"/>
    <n v="2020"/>
    <m/>
    <x v="1"/>
    <m/>
    <m/>
    <x v="1"/>
    <s v="TA6.23"/>
    <m/>
    <m/>
    <x v="0"/>
  </r>
  <r>
    <x v="5"/>
    <s v="Measures to address the main drivers of biodiversity loss"/>
    <s v="Revision of the EU Pollinators Initiative. A new deal for pollinators"/>
    <s v="Communication from the Commission to the European Parliament, the Council, the European Economic and Social Committee and the Committee of the Regions"/>
    <n v="2022"/>
    <m/>
    <x v="1"/>
    <m/>
    <m/>
    <x v="1"/>
    <s v="TA6.24"/>
    <m/>
    <m/>
    <x v="0"/>
  </r>
  <r>
    <x v="5"/>
    <s v="Measures to address the main drivers of biodiversity loss"/>
    <s v="EU Action Plan: Protecting and restoring marine ecosystems for sustainable and resilient fisheries"/>
    <s v="Communication from the Commission to the European Parliament, the Council, the European Economic and Social Committee and the Committee of the Regions"/>
    <n v="2023"/>
    <m/>
    <x v="1"/>
    <m/>
    <m/>
    <x v="1"/>
    <s v="TA6.25"/>
    <m/>
    <m/>
    <x v="0"/>
  </r>
  <r>
    <x v="5"/>
    <s v="Measures to address the main drivers of biodiversity loss"/>
    <s v="On the conservation of fisheries resources and the protection of marine ecosystems through technical measures"/>
    <s v="Regulation of the European Parliament and of the Council"/>
    <n v="2019"/>
    <n v="1"/>
    <x v="0"/>
    <n v="1"/>
    <m/>
    <x v="0"/>
    <s v="TA6.26"/>
    <s v="Ensure that incidental catches of sensitive marine species, including those listed under Directives 92/43/EEC and 2009/147/EC, that are a result of fishing, are minimised and where possible eliminated so that they do not represent a threat to the conservation status of these species"/>
    <m/>
    <x v="0"/>
  </r>
  <r>
    <x v="5"/>
    <s v="Measures to address the main drivers of biodiversity loss"/>
    <s v="On the conservation of fisheries resources and the protection of marine ecosystems through technical measures"/>
    <s v="Regulation of the European Parliament and of the Council"/>
    <n v="2019"/>
    <n v="1"/>
    <x v="0"/>
    <n v="1"/>
    <m/>
    <x v="0"/>
    <s v="TA6.27"/>
    <s v="Optimise exploitation patterns to provide protection for juveniles and spawning aggregations of marine biological resources"/>
    <m/>
    <x v="0"/>
  </r>
  <r>
    <x v="5"/>
    <s v="Measures to address the main drivers of biodiversity loss"/>
    <s v="The common fisheries policy today and tomorrow: a Fisheries and Oceans Pact towards sustainable, science-based, innovative and inclusive fisheries management"/>
    <s v="Communication from the Commission to the European Parliament, the Council, the European Economic and Social Committee and the Committee of the Regions"/>
    <n v="2023"/>
    <n v="0"/>
    <x v="0"/>
    <n v="0"/>
    <n v="0"/>
    <x v="0"/>
    <s v="TA6.28"/>
    <s v="In accordance with the CFP, it is crucial to continue and accelerate the work of rebuilding and keeping fish stocks above MSY levels (Maximum Sustainable Yield) 'Fisheries and Ocean Pact'"/>
    <s v="In the Northeast Atlantic (both EU and non-EU waters), stock status has significantly improved from 2003 to 2021, but still an important share of stocks is overexploited."/>
    <x v="1"/>
  </r>
  <r>
    <x v="5"/>
    <s v="Measures to address the main drivers of biodiversity loss"/>
    <s v="Ensuring resilient and sustainable use of EU's natural resources"/>
    <s v="Communication from the Commission to the European Parliament, the Council, the European Economic and Social Committee and the Committee of the Regions"/>
    <n v="2023"/>
    <m/>
    <x v="1"/>
    <m/>
    <m/>
    <x v="1"/>
    <s v="TA6.29"/>
    <m/>
    <m/>
    <x v="0"/>
  </r>
  <r>
    <x v="5"/>
    <s v="Measures to address the main drivers of biodiversity loss"/>
    <s v="On the production and marketing of plant reproductive material in the Union, amending Regulations (EU) 2016/2031, 2017/625 and 2018/848 of the European Parliament and of the Council, and repealing Council Directives 66/401/EEC, 66/402/EEC, 68/193/EEC, 2002/53/EC, 2002/54/EC, 2002/55/EC, 2002/56/EC, 2002/57/EC, 2008/72/EC and 2008/90/EC (Regulation on plant reproductive material)_x000a_"/>
    <s v="Proposal for a Regulation of the European Parliament and of the Council"/>
    <n v="2023"/>
    <m/>
    <x v="1"/>
    <m/>
    <m/>
    <x v="1"/>
    <s v="TA6.30"/>
    <m/>
    <m/>
    <x v="0"/>
  </r>
  <r>
    <x v="5"/>
    <s v="Measures to address the main drivers of biodiversity loss"/>
    <s v="On the production and marketing of forest reproductive material, amending Regulations (EU) 2016/2031 and 2017/625 of the European Parliament and of the Council and repealing Council Directive 1999/105/EC (Regulation on forest reproductive material)"/>
    <s v="Proposal for a Regulation of the European Parliament and of the Council"/>
    <n v="2023"/>
    <m/>
    <x v="1"/>
    <m/>
    <m/>
    <x v="1"/>
    <s v="TA6.31"/>
    <m/>
    <m/>
    <x v="0"/>
  </r>
  <r>
    <x v="5"/>
    <s v="Measures to address the main drivers of biodiversity loss"/>
    <s v="On Nature Restoration"/>
    <s v="(Proposal for) Regulation of the European Parliament and of the Council"/>
    <n v="2023"/>
    <n v="1"/>
    <x v="2"/>
    <n v="1"/>
    <m/>
    <x v="0"/>
    <s v="TA6.32"/>
    <s v="Terrestrial ecosystems. Member States shall put in place [...] measures [...] to jointly cover, as a Union tar- get, throughout the areas and ecosystems [...] defined in Art. 2, by 2030, at least 20% of land areas in need of restoration and, by 2050, all ecosystems in need of restoration._x000a_'Nature Restoration Law'"/>
    <s v="Data on restoration has not been systematically collected at the EU level yet."/>
    <x v="3"/>
  </r>
  <r>
    <x v="5"/>
    <s v="Measures to address the main drivers of biodiversity loss"/>
    <s v="On Nature Restoration"/>
    <s v="(Proposal for) Regulation of the European Parliament and of the Council"/>
    <n v="2023"/>
    <n v="1"/>
    <x v="2"/>
    <n v="1"/>
    <m/>
    <x v="0"/>
    <s v="TA6.33"/>
    <s v="Marine ecosystems. Member States shall put in place [...] measures [...] to jointly cover, as a Union target, throughout the areas and ecosystems [...] defined in Art. 2, by 2030, at least 20% of sea areas in need of restoration and, by 2050, all ecosystems in need of restoration._x000a_'Nature Restoration Law'"/>
    <s v="Data on restoration has not been systematically collected at the EU level yet._x000a_The EU has reached 12% of Marine Protected Areas (MPA), with less than 1% being strictly protected. The target could be partially achieved if the NRL is imme- diately implemented (including a clear financial system), along with the targets_x000a_of the Biodiversity Strategy (i.e. 30% MPA and 10% strictly protected areas), and if Member States react in a timely manner. The complete achievement of the target also depends on the restoration methods used and the specific marine ecosystems to be restored. The recovery period length varies with the marine habitats targeted for restoration. In addition, Member States face several other challenges in implementing these strategies [205]. The actual implementation of the Biodiversity Strategy target on effective marine protected areas (30% overall and 10% strictly protected by 2030), through passive restoration methods, as well as the other directives such as the Water Framework Directive and the Marine Strategy Framework Directive, and the 2023 Marine Action Plan would contribute to achieving this target."/>
    <x v="3"/>
  </r>
  <r>
    <x v="5"/>
    <s v="Measures to address the main drivers of biodiversity loss"/>
    <s v="On Nature Restoration"/>
    <s v="(Proposal for) Regulation of the European Parliament and of the Council"/>
    <n v="2023"/>
    <n v="1"/>
    <x v="2"/>
    <n v="1"/>
    <m/>
    <x v="0"/>
    <s v="TA6.34"/>
    <s v="Terrestrial, coastal and freshwater ecosystems. Member States shall put in place the restoration measures [...] to improve to good condition areas of habitat types listed in Annex I which are not in good condition. Such measures shall be in place: (a) on at least 30% by 2030 of the total area of all habitat types listed in Annex I that is not in good condition [...], and (b) on at least 60 % by 2040 and on at least 90% by 2050._x000a_'Nature Restoration Law'"/>
    <s v="Protected areas do not necessarily mean that they have a restoration programme. Currently, data on the extension of areas under restoration is not available at the EU level."/>
    <x v="3"/>
  </r>
  <r>
    <x v="5"/>
    <s v="Measures to address the main drivers of biodiversity loss"/>
    <s v="On Nature Restoration"/>
    <s v="(Proposal for) Regulation of the European Parliament and of the Council"/>
    <n v="2023"/>
    <n v="1"/>
    <x v="2"/>
    <n v="1"/>
    <m/>
    <x v="0"/>
    <s v="TA6.35"/>
    <s v="Terrestrial, coastal and freshwater ecosystems. Member States shall put in place the restoration measures [...] to re-establish the habitat types listed_x000a_in Annex I in areas not covered by those habitat types with the aim to reach their favourable reference area. Such measures shall be in place on areas representing at least 30% of the additional overall surface needed to reach the total favourable reference area of each group of habitat types listed in Annex I [...] by 2030, at least 60% by 2040, and 100 % by 2050._x000a_'Nature Restoration Law'"/>
    <s v="Data on the extension of areas under restoration measures are not yet available at the EU level."/>
    <x v="3"/>
  </r>
  <r>
    <x v="5"/>
    <s v="Measures to address the main drivers of biodiversity loss"/>
    <s v="On Nature Restoration"/>
    <s v="(Proposal for) Regulation of the European Parliament and of the Council"/>
    <n v="2023"/>
    <n v="1"/>
    <x v="2"/>
    <n v="1"/>
    <m/>
    <x v="0"/>
    <s v="TA6.36"/>
    <s v="Terrestrial, coastal and freshwater ecosystems. Member States shall put in place the restoration measures for the terrestrial, coastal and freshwater habitats of the species listed in Annexes II, IV and V to Directive 92/43/EEC and of the terrestrial, coastal and freshwater habitats of wild birds covered by Directive 2009/147/EC [...] to improve the quality and quantity of those habitats, including by re-establishing them, and to enhance connectivity, until sufficient quality and quantity of those habitats is achieved._x000a_'Nature Restoration Law'"/>
    <s v="The EU has reached only 12% of MPA, with less than 1% being strictly protected. In addition, for sea bird species connectivity, it is important to align the BDS and the REPowerEU targets. For habitat connectivity, it is crucial to develop a useful indicator in time for Member States' reporting._x000a_Because of the recent approval of the Nature Restoration Law, not enough data is available yet."/>
    <x v="3"/>
  </r>
  <r>
    <x v="5"/>
    <s v="Measures to address the main drivers of biodiversity loss"/>
    <s v="On Nature Restoration"/>
    <s v="(Proposal for) Regulation of the European Parliament and of the Council"/>
    <n v="2023"/>
    <n v="1"/>
    <x v="2"/>
    <n v="1"/>
    <m/>
    <x v="0"/>
    <s v="TA6.37"/>
    <s v="Terrestrial, coastal and freshwater ecosystems. Member States shall ensure that condition is known for at least 90% of the area distributed overall habitat types listed in Annex I by 2030 and 100% by 2040. 'Nature Restoration Law'"/>
    <s v="Considering the last report on the conservation status and trends in conservation status of marina habitats, a significant percentage of their status remains unknown [206]. Member States should implement more effective monitoring program to assess the status of marine habitats to achieve this target."/>
    <x v="4"/>
  </r>
  <r>
    <x v="5"/>
    <s v="Measures to address the main drivers of biodiversity loss"/>
    <s v="On Nature Restoration"/>
    <s v="(Proposal for) Regulation of the European Parliament and of the Council"/>
    <n v="2023"/>
    <n v="1"/>
    <x v="2"/>
    <n v="1"/>
    <m/>
    <x v="0"/>
    <s v="TA6.38"/>
    <s v="Terrestrial, coastal and freshwater ecosystems. Member States shall ensure that there is: (a) an increase of habitat area in good condition for habitat types listed in Annex I until at least 90% is in good condition and until the favourable reference area for each habitat type in each biogeographic region of the Member State concerned is reached; (b) an increasing trend towards the sufficient quality and quantity of the terrestrial, coastal and freshwater habitats of the species referred to in Annexes II, IV and V to Directive 92/43/EEC and of the species covered by Directive 2009/147/EC._x000a_'Nature Restoration Law'"/>
    <s v="The EU has reached so far 26% terrestrial protected area and 12% of MPA."/>
    <x v="1"/>
  </r>
  <r>
    <x v="5"/>
    <s v="Measures to address the main drivers of biodiversity loss"/>
    <s v="On Nature Restoration"/>
    <s v="(Proposal for) Regulation of the European Parliament and of the Council"/>
    <n v="2023"/>
    <n v="1"/>
    <x v="2"/>
    <n v="1"/>
    <m/>
    <x v="0"/>
    <s v="TA6.39"/>
    <s v="(urban ecosystems) By 2030, Member States shall ensure that there is_x000a_no net loss in the total national area of urban green space, and of urban tree canopy cover in urban ecosystem areas. Member States may exclude from that total national area the urban ecosystem areas_x000a_in which the share of urban green space in the urban centres and urban clusters exceeds 45% and the share of urban tree canopy cover therein exceeds 10%. 'Nature Restoration Law'"/>
    <s v="Recent EU-wide data to measure this target according to the reference year of the regulation is not available yet. However, national data from Member States might be available"/>
    <x v="3"/>
  </r>
  <r>
    <x v="5"/>
    <s v="Measures to address the main drivers of biodiversity loss"/>
    <s v="On Nature Restoration"/>
    <s v="(Proposal for) Regulation of the European Parliament and of the Council"/>
    <n v="2023"/>
    <n v="1"/>
    <x v="2"/>
    <n v="1"/>
    <m/>
    <x v="0"/>
    <s v="TA6.40"/>
    <s v="(urban ecosystems) Member States shall achieve thereafter an increasing trend in the total national area of urban green space, including through the integration of urban green space into buildings and infrastructure, in urban ecosystem areas, determined in accordance with Article 14(4), measured every six years after 31 December 2030, until a satisfactory level identified in accordance with Article 14(5) is reached._x000a_'Nature Restoration Law'"/>
    <s v="Data on urban green space is not yet available, nor is the implementing act that provides a methodology to identify satisfactory levels."/>
    <x v="3"/>
  </r>
  <r>
    <x v="5"/>
    <s v="Measures to address the main drivers of biodiversity loss"/>
    <s v="On Nature Restoration"/>
    <s v="(Proposal for) Regulation of the European Parliament and of the Council"/>
    <n v="2023"/>
    <n v="1"/>
    <x v="2"/>
    <n v="1"/>
    <m/>
    <x v="0"/>
    <s v="TA6.41"/>
    <s v="(urban ecosystems) Member States shall achieve, in each urban ecosystem area, determined in accordance with Article 14(4), an increasing trend of urban tree canopy cover, measured every six years after 31 December 2030, until the satisfactory level identified in accordance with Article 14(5) is reached._x000a_'Nature Restoration Law'"/>
    <s v="Data on tree canopy cover is not yet available, nor is the implementing act that provides a methodology to identify satisfactory levels."/>
    <x v="3"/>
  </r>
  <r>
    <x v="5"/>
    <s v="Measures to address the main drivers of biodiversity loss"/>
    <s v="On Nature Restoration"/>
    <s v="(Proposal for) Regulation of the European Parliament and of the Council"/>
    <n v="2023"/>
    <n v="1"/>
    <x v="2"/>
    <n v="1"/>
    <m/>
    <x v="0"/>
    <s v="TA6.42"/>
    <s v="Natural connectivity of rivers and natural functions_x000a_of the related floodplains. Member States shall make an inventory of artificial barriers and remove them to connectivity of surface waters and, taking into account their socio-economic functions, identify the barriers that need to be removed to contribute to the achieve- ment of the restoration targets set out in Article 4 of this Regulation and of the objective of restoring at least 25.000 km of rivers into free-flowing rivers in the Union._x000a_'Nature Restoration Law'_x000a_(Parallel target of the Biodiversity Strategy: “11. At least 25.000 km of free-flowing rivers are restored”)"/>
    <s v="The JRC and the EEA are developing an indicator to characterise the number of free-flowing rivers, no data is available yet."/>
    <x v="3"/>
  </r>
  <r>
    <x v="5"/>
    <s v="Measures to address the main drivers of biodiversity loss"/>
    <s v="On Nature Restoration"/>
    <s v="(Proposal for) Regulation of the European Parliament and of the Council"/>
    <n v="2023"/>
    <n v="1"/>
    <x v="2"/>
    <n v="1"/>
    <m/>
    <x v="0"/>
    <s v="TA6.43"/>
    <s v="(pollinator) Member States shall, by putting in place in a timely manner appropriate and effective measures, improve pollinator diversity and reverse the decline of pollina- tor populations at the latest by 2030 and thereafter achieve an increasing trend of pollinator populations, measured at least every six years from 2030, until satisfactory levels are achieved, as set in accordance with Article 14(5)._x000a_'Nature Restoration Law'_x000a_Parallel target of the Biodiversity Strategy: “5. The decline of pollinators is reversed”"/>
    <s v="Based on trends in the grassland butterfly index, pollinators are still declining. Another indicator that would include more pollinators is under development to better characterise the decline of pollinators."/>
    <x v="4"/>
  </r>
  <r>
    <x v="5"/>
    <s v="Measures to address the main drivers of biodiversity loss"/>
    <s v="On Nature Restoration"/>
    <s v="(Proposal for) Regulation of the European Parliament and of the Council"/>
    <n v="2023"/>
    <n v="1"/>
    <x v="2"/>
    <n v="1"/>
    <m/>
    <x v="0"/>
    <s v="TA6.44"/>
    <s v="Marine ecosystems. Member States shall put in place the restoration measures [...] to improve [...] areas of habitat types listed in Annex II which are not in good condition. Such measures shall be in place: (a) on at least 30% by 2030 of the total area of groups 1–6 of habitat types listed in Annex II [...]; (b) on at least 60% by 2040 and on at least 90% by 2050 of the area of each of the groups 1–6 of habitat types listed in An- nex II [...]; (c) on at least two thirds of the percentage, referred to in point (d), by 2040 of the area of group 7 of habitat types listed in Annex II [...]_x000a_'Nature Restoration Law'"/>
    <s v="The EU has reached only 12% of MPA, with less than 1% being strictly protected. The target could be partially achieved if the NRL is immediately implemented (including a clear financial system), along with the targets of the Biodiversity Strategy (i.e. 30% MPA and 10% strictly protected areas), and if Member States react in a timely manner._x000a_The complete achievement of the target is strictly dependent on the restoration methods and selected marine ecosystems to be restored. The timescale of the recovery period varies as diverse are the marine habitats to restore. Beyond this there are other challenges that Member States have to face [205]._x000a_The actual implementation of the BDS target on effective marine protected areas (30% overall and 10% strictly protected by 2030), through passive restoration method, as well as the other directives (e.g. WFD and MSFD), and the 2023 Marine Action Plan would contribute to achieve this target._x000a_Regarding the condition and restoration, there are only two ways to judge this: (a) comparison with old large fully protected MPA, and (b) the use of indicators, some of which still need to be developed. There is no data on how impacted most areas are, but indicators such as pres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
    <x v="3"/>
  </r>
  <r>
    <x v="5"/>
    <s v="Measures to address the main drivers of biodiversity loss"/>
    <s v="On Nature Restoration"/>
    <s v="(Proposal for) Regulation of the European Parliament and of the Council"/>
    <n v="2023"/>
    <n v="1"/>
    <x v="2"/>
    <n v="1"/>
    <m/>
    <x v="0"/>
    <s v="TA6.45"/>
    <s v="ecosystems. Member States shall put in_x000a_place the restoration measures that are necessary to re-establish the habitat types of groups 1-6 listed in Annex II in areas not covered by those habitat types with the aim to reach their favourable reference area. Such measures shall be in place on areas representing at least 30% of the additional overall surface needed to reach the total favourable reference area of each group of habitat types, as quantified in the national restoration plan referred to in Article 12, by 2030, at least 60% of that surface by 2040, and 100% of that surface by 2050._x000a_'Nature Restoration Law'"/>
    <s v="Considering the last report on the conservation status and trend in conservation status of marine habitats, most of the marine areas are between categories UNFAVOURABLE (U1/U2) and UNKNOWN (XX) status._x000a_There are some examples of restoration measures already put in place across European Sea, but without an immediate implementation of NRL, as well as other directives (e.g. BDBS, WFD, MSFD), the EGD target would not be achieved Additional observation: As mentioned before, marine restoration can be achieved passively by no take MPA. Therefore, the increase in area that is fully protected would be a reasonable indicator of restoration. To the best of available knowledge, there is no evidence that part-protection works. Evidence of recovered species usually appear within five years but full recovery e.g. of urchin-kelp trophic cascades, may take 20 years. Since restoration is by definition a return to fully natural conditions, partly protected areas do not qualify as restoration._x000a_Regarding the condition and restoration of marine areas, there are only two ways to judge this: (a) comparison with old, large fully protected MPA, and (b) the use of indicators, some of which still need to be developed. There is no data on how impacted most areas are, but indicators such as curr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
    <x v="4"/>
  </r>
  <r>
    <x v="5"/>
    <s v="Measures to address the main drivers of biodiversity loss"/>
    <s v="On Nature Restoration"/>
    <s v="(Proposal for) Regulation of the European Parliament and of the Council"/>
    <n v="2023"/>
    <n v="1"/>
    <x v="2"/>
    <n v="1"/>
    <m/>
    <x v="0"/>
    <s v="TA6.46"/>
    <s v="Marine ecosystems. Member States shall ensure, by 2030 at the latest, that the condition is known for_x000a_at least 50% of the area distributed over all habitat types listed in groups 1–6 of Annex II. The condition_x000a_of all areas of groups 1–6 of habitat types listed in Annex II shall be known by 2040. Member States shall also ensure, by 2040 at the latest, that the condition is known for at least 50% of the area distributed over all habitat types listed in group 7 of Annex II. The condition of all areas of group 7 of habitat types listed in Annex II shall be known by 2050._x000a_'Nature Restoration Law'"/>
    <s v="In the last report on the conservation status and trend in conservation status of marine habitats, there is still a quite important percentage of marine environ- ments with UNKNOWN status (either XX or U1/U2) [206]. Member States should implement more effective monitoring programmes to assess the status of marine habitats in order to achieve the EGD target."/>
    <x v="4"/>
  </r>
  <r>
    <x v="5"/>
    <s v="Measures to address the main drivers of biodiversity loss"/>
    <s v="On Nature Restoration"/>
    <s v="(Proposal for) Regulation of the European Parliament and of the Council"/>
    <n v="2023"/>
    <n v="1"/>
    <x v="2"/>
    <n v="1"/>
    <m/>
    <x v="0"/>
    <s v="TA6.47"/>
    <s v="(agricultural ecosystems) Member States shall put in place measures which shall aim to achieve an increasing trend at national level_x000a_of at least two out of the three following indicators in agricultural ecosystems, as further specified in Annex IV, measured in the period from the date of entry into force of this Regulation until 31 December 2030, and every six years thereafter, until the satisfactory levels, identified in accordance with Article 14(5), are reached: (a) grassland butterfly index; (b) stock of organic carbon in cropland mineral soils; (c) share of agricultural land with high-diversity landscape features. 'Nature Restoration Law'"/>
    <s v="At the moment the trend in the grassland butterfly index is still declining. The carbon stocks in EU agricultural soils have declined by 0.75% in the period 2009-2018 based on measured LUCAS data. So at the moment at least 2 out of three indicators are moving against the desired direction [199]."/>
    <x v="4"/>
  </r>
  <r>
    <x v="5"/>
    <s v="Measures to address the main drivers of biodiversity loss"/>
    <s v="On Nature Restoration"/>
    <s v="(Proposal for) Regulation of the European Parliament and of the Council"/>
    <n v="2023"/>
    <n v="1"/>
    <x v="2"/>
    <n v="1"/>
    <m/>
    <x v="0"/>
    <s v="TA6.48"/>
    <s v="(agricultural ecosystems) Member States shall put in place restoration measures which shall aim to ensure that the common farmland bird index at national level based on the species specified in Annex V reaches the following levels: (a) 110 by 2030, 120 by 2040 and 130 by 2050, for Member States listed in Annex V with historically more depleted populations of farmland birds; (b) 105 by 2030, 110 by 2040 and 115 by 2050, for Member States listed in Annex V with historically less depleted populations of farmland birds._x000a_'Nature Restoration Law'"/>
    <s v="The common farmland bird index is steadily decreasing [207], [208]."/>
    <x v="4"/>
  </r>
  <r>
    <x v="5"/>
    <s v="Measures to address the main drivers of biodiversity loss"/>
    <s v="On Nature Restoration"/>
    <s v="(Proposal for) Regulation of the European Parliament and of the Council"/>
    <n v="2023"/>
    <n v="1"/>
    <x v="2"/>
    <n v="1"/>
    <m/>
    <x v="0"/>
    <s v="TA6.49"/>
    <s v="(agricultural ecosystems) Member States shall put in place measures which shall aim to restore organic soils in agricultural use constituting drained peatlands. Those measures shall be in place on at least: (a) 30% of such areas by 2030, of which at least a quarter shall be rewetted; (b) 40% of such areas by 2040, of which at least a third shall be rewetted; (c) 50% of such areas by 2050, of which at least a third shall be rewetted._x000a_'Nature Restoration Law'"/>
    <s v="The EU Soil Observatory (EUSO) established [196], [197] that over 60% of the EU land is affected by soil degradation. This is considered an underestimation due to the lack of data currently available."/>
    <x v="3"/>
  </r>
  <r>
    <x v="5"/>
    <s v="Measures to address the main drivers of biodiversity loss"/>
    <s v="On Nature Restoration"/>
    <s v="(Proposal for) Regulation of the European Parliament and of the Council"/>
    <n v="2023"/>
    <n v="1"/>
    <x v="2"/>
    <n v="1"/>
    <m/>
    <x v="0"/>
    <s v="TA6.50"/>
    <s v="(trees) When identifying and implementing the restoration measures to meet the objectives and obligations set out in Articles 4, 6, 7, 8, 9 and 10, Member States shall aim to contribute to the commitment of planting at least three billion additional trees by 2030 at Union level. 'Nature Restoration Law'_x000a_Parallel target of the Biodiversity Strategy: “9. Three billion trees are planted in the EU, in full respect of ecological principles”"/>
    <s v="At the time of writing (mid-2024), over 23.000.000 trees have been planted since 2021 (see the Live Status Counter for EU dashboard). The pace of new trees planted has to massively speed up to reach the target by 2030."/>
    <x v="1"/>
  </r>
  <r>
    <x v="5"/>
    <s v="Measures to address the main drivers of biodiversity loss"/>
    <s v="On Nature Restoration"/>
    <s v="(Proposal for) Regulation of the European Parliament and of the Council"/>
    <n v="2023"/>
    <n v="1"/>
    <x v="2"/>
    <n v="1"/>
    <m/>
    <x v="0"/>
    <s v="TA6.51"/>
    <s v="(forest ecosystems) Member States shall achieve an increasing trend at national level of at least six out of seven of the_x000a_following indicators in forest ecosystems, as further set out in Annex VI, chosen on the basis of their ability to demonstrate the enhancement of biodiversity of forest ecosystems within the Member States concerned: (a) standing deadwood (b) lying deadwood (c) share of forests with uneven-aged structure (d) forest connectivity (e) stock of organic carbon (f) share of forests dominated by native tree species (g) tree species diversity._x000a_'Nature Restoration Law'"/>
    <s v="New target, data not yet available"/>
    <x v="3"/>
  </r>
  <r>
    <x v="5"/>
    <s v="Measures to address the main drivers of biodiversity loss"/>
    <s v="On Nature Restoration"/>
    <s v="(Proposal for) Regulation of the European Parliament and of the Council"/>
    <n v="2023"/>
    <n v="1"/>
    <x v="2"/>
    <n v="1"/>
    <m/>
    <x v="0"/>
    <s v="TA6.52"/>
    <s v="(forest ecosystems) Member States shall achieve an increasing trend at national level of the common forest bird index, as further set out in Annex VI, measured in the period from the date of entry into force of this Regulation until 31 December 2030, and every six years thereafter, until the satisfactory levels identified in accordance with Article 11(3) are reached_x000a_'Nature Restoration Law'_x000a_Parallel target of the Biodiversity Strategy: “4. By 2030, significant areas of degraded and carbon-rich ecosystems are restored. Habitats and species show no deterioration in conservation trends and status; and at least 30% reach favourable conservation status or at least show a positive trend”"/>
    <s v="After a steady decline over the period 1992-2010, common forest bird populations have stopped deteriorating and started showing some signs of recovery since 2010 [2], [207], [208]. Next data points for the common forest bird index will be crucial to confirm this recent increasing trend."/>
    <x v="2"/>
  </r>
  <r>
    <x v="5"/>
    <s v="Measures to address the main drivers of biodiversity loss"/>
    <s v="Proposal on ecosystem accounts"/>
    <s v="Proposal for a Directive of the European Parliament and of the Council"/>
    <n v="2022"/>
    <m/>
    <x v="1"/>
    <m/>
    <m/>
    <x v="1"/>
    <s v="TA6.53"/>
    <m/>
    <m/>
    <x v="0"/>
  </r>
  <r>
    <x v="5"/>
    <s v="Measures to support deforestation-free value chains"/>
    <s v="New EU Forest Strategy for 2030"/>
    <s v="Communication from the Commission to the European Parliament, the Council, the European Economic and Social Committee and the Committee of the Regions"/>
    <n v="2021"/>
    <n v="0"/>
    <x v="0"/>
    <n v="0"/>
    <n v="0"/>
    <x v="0"/>
    <s v="TA6.54"/>
    <s v="Promoting the sustainable forest bioeconomy for long-lived wood products"/>
    <m/>
    <x v="0"/>
  </r>
  <r>
    <x v="5"/>
    <s v="Measures to support deforestation-free value chains"/>
    <s v="New EU Forest Strategy for 2030"/>
    <s v="Communication from the Commission to the European Parliament, the Council, the European Economic and Social Committee and the Committee of the Regions"/>
    <n v="2021"/>
    <n v="0"/>
    <x v="0"/>
    <n v="0"/>
    <n v="0"/>
    <x v="0"/>
    <s v="TA6.55"/>
    <s v="Ensuring sustainable use of wood-based resources for bioenergy"/>
    <m/>
    <x v="0"/>
  </r>
  <r>
    <x v="5"/>
    <s v="Measures to support deforestation-free value chains"/>
    <s v="New EU Forest Strategy for 2030"/>
    <s v="Communication from the Commission to the European Parliament, the Council, the European Economic and Social Committee and the Committee of the Regions"/>
    <n v="2021"/>
    <n v="0"/>
    <x v="0"/>
    <n v="0"/>
    <n v="0"/>
    <x v="0"/>
    <s v="TA6.56"/>
    <s v="Promoting non-wood forest-based bioeconomy, including ecotourism"/>
    <m/>
    <x v="0"/>
  </r>
  <r>
    <x v="5"/>
    <s v="New EU Forest Strategy"/>
    <s v="New EU Forest Strategy for 2030"/>
    <s v="Communication from the Commission to the European Parliament, the Council, the European Economic and Social Committee and the Committee of the Regions"/>
    <n v="2021"/>
    <n v="0"/>
    <x v="0"/>
    <n v="0"/>
    <n v="0"/>
    <x v="0"/>
    <s v="TA6.57"/>
    <s v="Developing skills and empowering people for sustainable forest-based bioeconomy"/>
    <m/>
    <x v="0"/>
  </r>
  <r>
    <x v="5"/>
    <s v="New EU Forest Strategy"/>
    <s v="New EU Forest Strategy for 2030"/>
    <s v="Communication from the Commission to the European Parliament, the Council, the European Economic and Social Committee and the Committee of the Regions"/>
    <n v="2021"/>
    <n v="0"/>
    <x v="0"/>
    <n v="0"/>
    <n v="0"/>
    <x v="0"/>
    <s v="TA6.58"/>
    <s v="Protecting EU’s last remaining primary and old-growth forests"/>
    <m/>
    <x v="0"/>
  </r>
  <r>
    <x v="5"/>
    <s v="New EU Forest Strategy"/>
    <s v="New EU Forest Strategy for 2030"/>
    <s v="Communication from the Commission to the European Parliament, the Council, the European Economic and Social Committee and the Committee of the Regions"/>
    <n v="2021"/>
    <n v="0"/>
    <x v="0"/>
    <n v="0"/>
    <n v="0"/>
    <x v="0"/>
    <s v="TA6.59"/>
    <s v="Ensuring forest restoration and reinforced sustainable forest management for climate adaptation and forest resilience"/>
    <m/>
    <x v="0"/>
  </r>
  <r>
    <x v="5"/>
    <s v="New EU Forest Strategy"/>
    <s v="New EU Forest Strategy for 2030"/>
    <s v="Communication from the Commission to the European Parliament, the Council, the European Economic and Social Committee and the Committee of the Regions"/>
    <n v="2021"/>
    <n v="0"/>
    <x v="0"/>
    <n v="0"/>
    <n v="0"/>
    <x v="0"/>
    <s v="TA6.60"/>
    <s v="Providing financial incentives for forest owners and managers for improving the quantity and quality of EU forests"/>
    <m/>
    <x v="0"/>
  </r>
  <r>
    <x v="5"/>
    <s v="New EU Forest Strategy"/>
    <s v="On the production and marketing of forest reproductive material, amending Regulations (EU) 2016/2031 and 2017/625 of the European Parliament and of the Council and repealing Council Directive 1999/105/EC (Regulation on forest reproductive material)"/>
    <s v="Proposal for a Regulation of the European Parliament and of the Council"/>
    <n v="2023"/>
    <m/>
    <x v="1"/>
    <m/>
    <m/>
    <x v="1"/>
    <s v="TA6.61"/>
    <m/>
    <m/>
    <x v="0"/>
  </r>
  <r>
    <x v="5"/>
    <s v="Zero pollution action plan for water, air and soil"/>
    <s v="EU Soil Strategy for 2030"/>
    <s v="Communication from the Commission to the European Parliament, the Council, the European Economic and Social Committee and the Committee of the Regions"/>
    <n v="2021"/>
    <n v="0"/>
    <x v="0"/>
    <n v="0"/>
    <n v="0"/>
    <x v="0"/>
    <s v="TA6.62"/>
    <s v="Reach no net land take_x000a_(EU Soil Strategy for 2030)"/>
    <s v="Over the 2012-2018 period, the majority (78%) of the net land take happened in commuting zones. The net land take in urban areas during 2012-2018 amounted to 2.696 km2, corresponding to 450km2 annually. 1 415km2 or 47% of all land take took place in arable lands, impacting food security, carbon sequestration and the maintaining of biodiversity. The second largest land take took place_x000a_  in pastures — a loss of 945km2 or 36% of all land take. Pastures are among Europe’s most important biodiversity hotspots and soil carbon sinks."/>
    <x v="4"/>
  </r>
  <r>
    <x v="5"/>
    <s v="Zero pollution action plan for water, air and soil"/>
    <s v="EU Soil Strategy for 2030"/>
    <s v="Communication from the Commission to the European Parliament, the Council, the European Economic and Social Committee and the Committee of the Regions"/>
    <n v="2021"/>
    <n v="0"/>
    <x v="0"/>
    <n v="0"/>
    <n v="0"/>
    <x v="0"/>
    <s v="TA6.63"/>
    <s v="Restore degraded land and soil, including land affected by desertification, drought and floods"/>
    <m/>
    <x v="0"/>
  </r>
  <r>
    <x v="6"/>
    <s v="Propose legislative waste reforms"/>
    <s v="Concerning urban wastewater treatment (recast)"/>
    <s v="Proposal for a Directive of the European Parliament and of the Council"/>
    <n v="2022"/>
    <n v="0"/>
    <x v="0"/>
    <n v="0"/>
    <n v="1"/>
    <x v="0"/>
    <s v="TA7.1"/>
    <s v="The obligation to set up urban wastewater collecting systems is extended to all agglomerations with a p.e. of 1.000 or more and all source of urban wastewater should be connected to them"/>
    <m/>
    <x v="0"/>
  </r>
  <r>
    <x v="6"/>
    <s v="Propose legislative waste reforms"/>
    <s v="Concerning urban wastewater treatment (recast)"/>
    <s v="Proposal for a Directive of the European Parliament and of the Council"/>
    <n v="2022"/>
    <n v="0"/>
    <x v="0"/>
    <n v="0"/>
    <n v="1"/>
    <x v="0"/>
    <s v="TA7.2"/>
    <s v="Establish locally integrated urban wastewater management plans to combat pollution from rain waters (urban runoff and storm water overflow). Plans will need to be drawn up for all agglomerations with a p.e. of 100 000 or more and for all agglomerations with a p.e. of between 10 000 and 100 000 p.e. where storm water overflow or urban runoff poses a risk to the environment or human health"/>
    <m/>
    <x v="0"/>
  </r>
  <r>
    <x v="6"/>
    <s v="Propose legislative waste reforms"/>
    <s v="Concerning urban wastewater treatment (recast)"/>
    <s v="Proposal for a Directive of the European Parliament and of the Council"/>
    <n v="2022"/>
    <n v="0"/>
    <x v="0"/>
    <n v="0"/>
    <n v="1"/>
    <x v="0"/>
    <s v="TA7.3"/>
    <s v="Member States will be required to improve and maintain access to sanitation for all, in particular for vulnerable and marginalised"/>
    <m/>
    <x v="0"/>
  </r>
  <r>
    <x v="6"/>
    <m/>
    <s v="on the quality of water intended for human consumption"/>
    <s v="Directive of the European Parliament and of the Council"/>
    <n v="2020"/>
    <n v="1"/>
    <x v="2"/>
    <n v="1"/>
    <m/>
    <x v="0"/>
    <s v="TA7.4"/>
    <s v="Member States shall take the measures necessary to ensure that water intended for human consumption is wholesome and clean, by meeting several requirements related to micro-organisms and parasites which constitute a potential danger to human health and quality standards recalled in the Directive._x000a_Directive 2020/2184 (‘Drinking Water Directive)"/>
    <s v="The level of access to clean drinking water in Europe is high according to the WASH database by the WHO and UNICEF. However, as reported by the EEA,_x000a_the levels of treatment and accessibility are lower in rural areas than in urban locations. Disparities in access to safe drinking water among ethnic groups in Europe emerged as well. The revised Drinking Water Directive includes additional parameters than the 46 microbiological, chemical and indicator parameters of the first Drinking Water Directive. The new parameters include per- and polyfluorinated compounds and bisphenol A, setting limit values for their presence in drinking water. As of the end of 2022, EU level data on drinking water quality were still limited, with the latest data available dating from 2011 and 2013. The new directive also foresees a watch list mechanism for emerging pollutants._x000a_The Directive’s Impact Assessment includes the calculation of the “SAPEA” Popu- lation Potentially at Health Risk indicator, estimating the share of the population that could potentially suffer from health problems because of the presence of contaminants in drinking water. According to the indicator, in 2015, 22.7 million people were potentially at health risk due to non-safe drinking water, equivalent_x000a_to 4 % of the EU population. The revised Directive is expected to positively impact drinking water quality. However, estimated data for 2015 is not sufficient to assess the status of drinking water quality with respect to its evolution over time and new additional parameters by the revised directive, as confirmed by the EEA. Member States have started complying with the reporting requirements in 2023."/>
    <x v="3"/>
  </r>
  <r>
    <x v="6"/>
    <m/>
    <s v="on ambient air quality and cleaner air for Europe"/>
    <s v="Proposal for a Directive of the European Parliament and of the Council"/>
    <n v="2008"/>
    <n v="0"/>
    <x v="2"/>
    <n v="1"/>
    <n v="0"/>
    <x v="0"/>
    <s v="TA7.5"/>
    <s v="The Ambient Air Quality Directives set EU air quality standards for 12 air pollutants: sulphur dioxide, nitrogen dioxide / nitrogen oxides, particulate matter (PM10, PM2.5), ozone, benzene, lead, carbon monoxide, arsenic, cadmium, nickel, and benzo(a)pyrene. The Directives take into account relevant World Health Organisation standards, guidelines and programmes. The Directives also guide the assessment of air quality by establishing a representative high-quality monitoring network, with more than 4.000 air quality monitoring stations across the EU, and by exchanging reliable, objective, comparable information on air quality, including to a wider public. Where levels are elevated above limit or target values, Member States should prepare an air quality plan or programme to address the sources responsible to ensure compliance and to keep exceedance periods as short as possible. In addition, information on air quality should be disseminated to the public. "/>
    <s v="In the European Union, air pollution is the single largest environmental health risk, causing cardiovascular and respiratory diseases that lead to the loss of healthy years of life and, in the most serious cases, premature deaths (about 240 000 reported in the European Union (EU) for 2021). Although emissions of air pollutants have been reduced over recent decades (primarily as a result of legislation), air quality remains a major concern in many parts of Europe. Air quality limits set by EU legislation for particulate matter, nitrogen dioxide and ozone continue to be exceeded, especially in many urban areas."/>
    <x v="2"/>
  </r>
  <r>
    <x v="6"/>
    <s v="Chemicals strategy for sustainability"/>
    <s v="Establishing a European assessment framework for ‘safe and sustainable by design’ chemicals and materials"/>
    <s v="Commission Recommendation"/>
    <n v="2022"/>
    <m/>
    <x v="1"/>
    <m/>
    <m/>
    <x v="1"/>
    <s v="TA7.6"/>
    <s v="The Water Reuse Regulation aim to encourage and facilitate water reuse in the EU by harmonised minimum water quality requirements for the safe reuse of treated urban wastewaters in agricultural irrigation. Further requirements are set for monitoring, risk management, transparency and permits_x000a_on production and supply of reclaimed water for agricultural irrigation_x000a_Regulation 2020/741 (‘Water reuse Regulation’)"/>
    <s v="Before the introduction of the Regulation, the EU was not equipped with a legislative framework for water reuse. More than 40,000 million m3 of waste- water is treated in the EU every year but only the 2.4% is further treated to be reused. As of April 2024, water reuse for agricultural irrigation is allowed in most Member States. Some Member States, where freshwater resources are abundant and irrigation demand is low, have planned not to allow water reuse for irrigation in their countries. Some Member States have not yet made a final decision, as resource and infrastructure costs still are being evaluated (source: WISE Freshwater website)."/>
    <x v="3"/>
  </r>
  <r>
    <x v="6"/>
    <s v="Chemicals strategy for sustainability"/>
    <s v="EU Soil Strategy for 2030"/>
    <s v="Communication from the Commission to the European Parliament, the Council, the European Economic and Social Committee and the Committee of the Regions"/>
    <n v="2021"/>
    <n v="0"/>
    <x v="0"/>
    <n v="0"/>
    <n v="0"/>
    <x v="1"/>
    <s v="TA7.7"/>
    <s v="Reach good chemical and quantitative status in groundwaters and surfacewaters"/>
    <m/>
    <x v="0"/>
  </r>
  <r>
    <x v="6"/>
    <s v="Revision of measures to address pollution from large industrial installations"/>
    <s v="On reporting of environmental data from industrial installations and establishing an Industrial Emissions Portal"/>
    <s v="Proposal for a Regulation of the European Parliament and of the Council"/>
    <n v="2022"/>
    <m/>
    <x v="1"/>
    <m/>
    <m/>
    <x v="1"/>
    <s v="TA7.8"/>
    <s v="The Industrial Emissions Directive (IED) aims_x000a_at preventing or reducing emissions from large industrial installations and intensive farming into the environment. The revised IED includes new provisions related to resource, energy and water efficiency and to the reduction of use and emissions of hazardous substances. The scope has been widened to include metal mining, batteries giga-factories, waste landfills and intensive farming. The revised IED contains also a set of measures to facilitate and accelerate the uptake of innovative techniques by industry._x000a_Directive 2024/1785 on Industrial Emissions and the landfill of waste"/>
    <s v="The IED is a key instrument to support the transition of the EU industry towards a climate neutral, clean and circular economy. The revised legislation will lead to a considerable reduction of pollution from industry and level the playing field. For example, it is expected to deliver, latest by 2050, up to 40% additional reduction of key air pollutants."/>
    <x v="3"/>
  </r>
  <r>
    <x v="6"/>
    <s v="Revision of measures to address pollution from large industrial installations"/>
    <s v="Directive 2010/75/EU of the European Parliament and of the Council of 24 November 2010 on industrial emissions (integrated pollution prevention and control) and Council Directive 1999/31/EC of 26 April 1999 on the landfill of waste"/>
    <s v="Proposal for a Directive of the European Parliament and of the Council"/>
    <n v="2022"/>
    <m/>
    <x v="1"/>
    <m/>
    <m/>
    <x v="1"/>
    <s v="TA7.9"/>
    <s v="The revised Urban Wastewater Treatment Directive (UWWTD) extends the scope of the 1991 UWWTD to improve and maintain access to sanitation for all, in particular for vulnerable and marginalised groups, while aligning with the ZPAP and EGD climate and energy objectives._x000a_This will be ensured by a number of new obligations on secondary treatment, now extended to all agglomerations with at least 1 000 population equivalent , by 2035. Member States will ensure the application of:_x000a_- Tertiary treatment, for the removal of nitrogen and phosphorus (by 2039)_x000a_- Quaternary treatment, for the removal of a broad spectrum of micropollutants (by 2045)_x000a_These apply to larger plants of 150 000 p.e. (and above, with intermediate targets)._x000a_Directive concerning urban wastewater treatment"/>
    <s v="Access to sanitation. There is a positive trend in the access to basic sanitation and connection to secondary wastewater treatment. Overall, the share of population without a bath, shower, or indoor flushing toilet in their household decreased from 2.2% in 2015 to 1.5% in 2020 [234]. However, in some Member States, there were still high shares of the population without access to basic sanitary facilities in 2020. The share of the EU population connected to secondary wastewater treatment has also increased continuously since 2000, reaching 81.1% in_x000a_2020 [234]. The revision of the Urban Wastewater Treatment Directive aims to bring additional improvements not only for water quality, but also for access to sanitation [235]._x000a_Secondary treatment. Small agglomerations constitute a significant pressure_x000a_on 11% of the EU’s surface water bodies [236]. Currently, the situation varies across the EU, with some Member States requesting all urban wastewater to be treated and others having set standards for small agglomerations beyond the requirements set in Directive 91/271/EEC [237]._x000a_Tertiary treatment. 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 EEC. The revision of the Directive aims to push nutrient removal further by imposing stricter standards. This would also contribute indirectly to the reduction of GHG emissions._x000a_Quaternary treatment. While secondary and tertiary wastewater treatment_x000a_is being implemented compliant with Directive 91/271/EEC, several chemical micropollutants escape treatment plants and contribute to pollution of the receiving waters (e.g. pharmaceuticals and ingredients in personal care products). The revision of the Directive aims to require quaternary treatment for all larger plants, also based on an extended producer responsibility scheme that would help finance the corresponding treatment costs."/>
    <x v="2"/>
  </r>
  <r>
    <x v="6"/>
    <s v="Zero pollution action plan for water, air and soil"/>
    <s v="Pathway to a Healthy Planet for All EU Action Plan: 'Towards Zero Pollution for Air, Water and Soil'_x000a_"/>
    <s v="Communication from the Commission to the European Parliament, the Council, the European Economic and Social Committee and the Committee of the Regions"/>
    <n v="2021"/>
    <n v="0"/>
    <x v="0"/>
    <n v="0"/>
    <n v="0"/>
    <x v="0"/>
    <s v="TA7.10"/>
    <s v="Improve soil quality by reducing chemical pesticides’ use by 50%, by 2030"/>
    <s v="Considering soil quality and pesticides, reduction of (more hazardous) pesticide concentration in soil due to increased organic farming (as well as other agricultural practices) and other farm-to-fork objectives. Under current legal limitations (28 kg of copper per hectare over 7 years), a potential risk of increased organic farming could be an accumulation of copper in soil."/>
    <x v="2"/>
  </r>
  <r>
    <x v="6"/>
    <s v="Zero pollution action plan for water, air and soil"/>
    <s v="Pathway to a Healthy Planet for All EU Action Plan: 'Towards Zero Pollution for Air, Water and Soil'_x000a_"/>
    <s v="Communication from the Commission to the European Parliament, the Council, the European Economic and Social Committee and the Committee of the Regions"/>
    <n v="2021"/>
    <n v="0"/>
    <x v="0"/>
    <n v="0"/>
    <n v="0"/>
    <x v="0"/>
    <s v="TA7.11"/>
    <s v="Improve soil quality by reducing nutrient losses use by 50%, by 2030"/>
    <s v="Considering water quality and nutrient losses, there is a possible reduction of nutrient inputs into marine ecosystems: nitrogen 32%, phosphorous 17%. 50% reduction of nutrient input could be achieved in four out of ten examined regions for nitrogen and in two out of ten for phosphorous. Source: Zero Pollution Outlook [218]._x000a_Considering water quality and chemical pesticides, and in particular chemicals load (diuron and terbuthylazine, as examples of low- and high-persistence chemicals, respectively) in water: 56% reduction in pesticides concentration can be achieved in shelf seas, 12% in open seas, depending on the persistence of the pesticide. Source: Zero Pollution Outlook [218]."/>
    <x v="1"/>
  </r>
  <r>
    <x v="6"/>
    <s v="Zero pollution action plan for water, air and soil"/>
    <s v="Pathway to a Healthy Planet for All EU Action Plan: 'Towards Zero Pollution for Air, Water and Soil'_x000a_"/>
    <s v="Communication from the Commission to the European Parliament, the Council, the European Economic and Social Committee and the Committee of the Regions"/>
    <n v="2021"/>
    <m/>
    <x v="1"/>
    <m/>
    <m/>
    <x v="1"/>
    <s v="TA7.12"/>
    <s v="Develop measures to significantly increase efforts to identify, investigate, assess and remediate contaminated sites, so that soil pollution will no longer pose a health or environmental risk (target in common with the Biodiversity Strategy)"/>
    <m/>
    <x v="0"/>
  </r>
  <r>
    <x v="6"/>
    <s v="Zero pollution action plan for water, air and soil"/>
    <s v="Pathway to a Healthy Planet for All EU Action Plan: 'Towards Zero Pollution for Air, Water and Soil'_x000a_"/>
    <s v="Communication from the Commission to the European Parliament, the Council, the European Economic and Social Committee and the Committee of the Regions"/>
    <n v="2021"/>
    <n v="0"/>
    <x v="0"/>
    <n v="0"/>
    <n v="0"/>
    <x v="0"/>
    <s v="TA7.13"/>
    <s v="Improve air quality to reduce the number of premature deaths caused by air pollution by 55% by 2030_x000a_(2030 target contributing to the 2050 ambition of a toxic-free environment)"/>
    <s v="As a result of the revision to the new Ambient Air Quality Directive, it is likely that reductions by over 70%, compared to 2005 levels, can be achieved by 2030. Source: Zero Pollution Outlook [218]."/>
    <x v="2"/>
  </r>
  <r>
    <x v="6"/>
    <s v="Zero pollution action plan for water, air and soil"/>
    <s v="Pathway to a Healthy Planet for All EU Action Plan: 'Towards Zero Pollution for Air, Water and Soil'_x000a_"/>
    <s v="Communication from the Commission to the European Parliament, the Council, the European Economic and Social Committee and the Committee of the Regions"/>
    <n v="2021"/>
    <n v="0"/>
    <x v="0"/>
    <n v="0"/>
    <n v="0"/>
    <x v="0"/>
    <s v="TA7.14"/>
    <s v="Improve water quality by reducing waste, plastic litter at sea (by 50%)"/>
    <s v="Concentration of plastic litter at sea: 14% reduction of plastic litter (in 8% of the basin surface of the Mediterranean Sea and 44% of all beaches) with a total ban on single-use-plastic items. Source: Zero Pollution Outlook [218]."/>
    <x v="1"/>
  </r>
  <r>
    <x v="6"/>
    <s v="Zero pollution action plan for water, air and soil"/>
    <s v="Pathway to a Healthy Planet for All EU Action Plan: 'Towards Zero Pollution for Air, Water and Soil'_x000a_"/>
    <s v="Communication from the Commission to the European Parliament, the Council, the European Economic and Social Committee and the Committee of the Regions"/>
    <n v="2021"/>
    <n v="0"/>
    <x v="0"/>
    <n v="0"/>
    <n v="0"/>
    <x v="0"/>
    <s v="TA7.15"/>
    <s v="Improve water quality by reducing microplastics released into the environment (by 30%)"/>
    <s v="Microplastics concentration in soils is expected to increase, mainly due to the incorporation through the disposal of the sewage sludge and other agricultural practices such as plastics greenhouse, mulching films, drip irrigation, polymer-con- trolled release fertilisers and silage films. However, there is no harmonised methodology for their identification and quantification, and one should still be developed. The current database on soil pollution with plastics is still poor and no good prediction could be done. The EU has taken measures to combat microplastic pollution on all fronts (e.g. ban of certain single-use plastic products, restriction of intentionally produced microplastics and reduction of plastic pellet loss), aiming at reducing microplastic releases to the environment by 30% by 2030."/>
    <x v="3"/>
  </r>
  <r>
    <x v="6"/>
    <s v="Zero pollution action plan for water, air and soil"/>
    <s v="Pathway to a Healthy Planet for All EU Action Plan: 'Towards Zero Pollution for Air, Water and Soil'_x000a_"/>
    <s v="Communication from the Commission to the European Parliament, the Council, the European Economic and Social Committee and the Committee of the Regions"/>
    <n v="2021"/>
    <n v="0"/>
    <x v="0"/>
    <n v="0"/>
    <n v="0"/>
    <x v="0"/>
    <s v="TA7.16"/>
    <s v="Reduce by 25% the EU ecosystems where air pollution threatens biodiversity, by 2030 (compared to 2005) (2030 target contributing to the 2050 ambition of a toxic-free environment)_x000a_"/>
    <s v="Current and proposed EU policies do not appear sufficient to enable the EU to reduce the area of EU ecosystems under threat from air pollution by 25% in 2030 compared to 2005. Nonetheless, with the implementation of the recently revised of the Ambient Air Quality Directives, this target could be achieved. Source: Zero Pollution Outlook [218]."/>
    <x v="2"/>
  </r>
  <r>
    <x v="6"/>
    <s v="Zero pollution action plan for water, air and soil"/>
    <s v="Pathway to a Healthy Planet for All EU Action Plan: 'Towards Zero Pollution for Air, Water and Soil'_x000a_"/>
    <s v="Communication from the Commission to the European Parliament, the Council, the European Economic and Social Committee and the Committee of the Regions"/>
    <n v="2021"/>
    <n v="0"/>
    <x v="0"/>
    <n v="0"/>
    <n v="0"/>
    <x v="0"/>
    <s v="TA7.17"/>
    <s v="Reduce the share of people chronically disturbed by transport noise by 30%, by 2030 (compared to 2017) (2030 target contributing to the 2050 ambition of a toxic-free environment)"/>
    <s v="Current estimates show that the number will not decline by more than 19% by 2030. Source: Zero Pollution Outlook [218]."/>
    <x v="1"/>
  </r>
  <r>
    <x v="6"/>
    <s v="Zero pollution action plan for water, air and soil"/>
    <s v="Pathway to a Healthy Planet for All EU Action Plan: 'Towards Zero Pollution for Air, Water and Soil'_x000a_"/>
    <s v="Communication from the Commission to the European Parliament, the Council, the European Economic and Social Committee and the Committee of the Regions"/>
    <n v="2021"/>
    <n v="0"/>
    <x v="1"/>
    <m/>
    <m/>
    <x v="1"/>
    <s v="TA7.18"/>
    <s v="Reduce significantly total waste generation and by 50% residual municipal waste"/>
    <m/>
    <x v="0"/>
  </r>
  <r>
    <x v="6"/>
    <s v="Zero pollution action plan for water, air and soil"/>
    <s v="EU Soil Strategy for 2030"/>
    <s v="Communication from the Commission to the European Parliament, the Council, the European Economic and Social Committee and the Committee of the Regions"/>
    <n v="2021"/>
    <n v="0"/>
    <x v="0"/>
    <n v="0"/>
    <n v="0"/>
    <x v="0"/>
    <s v="TA7.19"/>
    <s v="Improve soil quality by reducing nutrient losses and chemical pesticides’ use by 50% (target partially in common with the Farm to Fork strategy and Biodiversity strategy) - focus on water quality and nutrient loss"/>
    <m/>
    <x v="0"/>
  </r>
  <r>
    <x v="6"/>
    <s v="Zero pollution action plan for water, air and soil"/>
    <s v="EU Soil Strategy for 2030"/>
    <s v="Communication from the Commission to the European Parliament, the Council, the European Economic and Social Committee and the Committee of the Regions"/>
    <n v="2021"/>
    <n v="0"/>
    <x v="0"/>
    <n v="0"/>
    <n v="0"/>
    <x v="0"/>
    <s v="TA7.20"/>
    <s v="Having all soils in healthy condition by 2050"/>
    <s v="The EU Soil Health Assessment (see EUSO Dashboard) estimated that 60-70% of EU soils are not in healthy condition, in accordance also with other reports [196], [238]. 25% of the EU soils and 33% of EU Agricultural soils have soil erosion rates higher than sustainability ones. Soil erosion has decreased by around 10% in the period 2000-2016, but future trends are alarming due to climate change. Soil loss by water erosion is projected to increase by 13–22.5 % in EU and UK by 2050."/>
    <x v="1"/>
  </r>
  <r>
    <x v="6"/>
    <s v="Zero pollution action plan for water, air and soil"/>
    <s v="EU Biodiversity Strategy for 2030"/>
    <s v="Communication from the Commission to the European Parliament, the Council, the European Economic and Social Committee and the Committee of the Regions"/>
    <n v="2020"/>
    <n v="0"/>
    <x v="0"/>
    <n v="0"/>
    <n v="0"/>
    <x v="0"/>
    <s v="TA7.21"/>
    <s v="Minimise or eliminate the use of pesticides in sensitive areas such as urban green areas (target not strictly reported in the Biodiversity dashboard platform)"/>
    <m/>
    <x v="0"/>
  </r>
  <r>
    <x v="6"/>
    <s v="Zero pollution action plan for water, air and soil"/>
    <s v="On ambient air quality and cleaner air for Europe"/>
    <s v="Proposal for a Directive of the European Parliament and of the Council"/>
    <n v="2022"/>
    <n v="0"/>
    <x v="3"/>
    <n v="0"/>
    <n v="1"/>
    <x v="0"/>
    <s v="TA7.22"/>
    <s v="The revision of the Ambient Air Quality Directives would merge the Directives into one, and seek to: align EU air quality standards more closely with WHO recommendations further improve the legislative framework (e.g. in relation to penalties, and public information)_x000a_The Directive sets out a zero pollution objective for air quality, so that within the Union air quality is progressively improved to levels no longer considered harmful to human health and natural ecosystems, as defined by scientific evidence, thus contributing to a toxic-free environment at the latest by 2050."/>
    <m/>
    <x v="0"/>
  </r>
  <r>
    <x v="6"/>
    <s v="Zero pollution action plan for water, air and soil"/>
    <s v="Concerning urban wastewater treatment (recast)"/>
    <s v="Proposal for a Directive of the European Parliament and of the Council"/>
    <n v="2022"/>
    <n v="0"/>
    <x v="0"/>
    <n v="0"/>
    <n v="1"/>
    <x v="0"/>
    <s v="TA7.23"/>
    <s v="Remove micropollutants from wastewater. An additional treatment, i.e. quaternary treatment, should therefore be introduced in order to ensure that a large spectrum of micro-pollutants is removed from urban wastewater. All urban wastewater treatment plants of 100 000 p.e. and above should provide quaternary treatment. For agglomerations of between 10 000 p.e. and 100 000 p.e., Member States should be required to apply quaternary treatment to areas identified as sensitive to pollution with micro-pollutants based on clear criteria, which should be specified. "/>
    <m/>
    <x v="0"/>
  </r>
  <r>
    <x v="6"/>
    <s v="Zero pollution action plan for water, air and soil"/>
    <s v="Concerning urban wastewater treatment (recast)"/>
    <s v="Proposal for a Directive of the European Parliament and of the Council"/>
    <n v="2022"/>
    <n v="0"/>
    <x v="0"/>
    <n v="0"/>
    <n v="1"/>
    <x v="0"/>
    <s v="TA7.24"/>
    <s v="Improve nutrient removal from wastewater. Tertiary treatment should be systematically imposed to all urban wastewater treatment plants of 100 000 p.e. and above, as such plants represent an important remaining source of nitrogen and phosphorus discharge. Tertiary treatment should also be mandatory in agglomerations of 10 000 p.e. and above that are discharging in areas subject to, or at risk of, eutrophication."/>
    <m/>
    <x v="0"/>
  </r>
  <r>
    <x v="6"/>
    <s v="Zero pollution action plan for water, air and soil"/>
    <s v="amending Directive 2000/60/EC establishing a framework for Community action in the field of water policy, Directive 2006/118/EC on the protection of groundwater against pollution and deterioration and Directive 2008/105/EC on environmental quality standards in the field of water policy"/>
    <s v="Proposal for a Directive of the European Parliament and of the Council"/>
    <n v="2022"/>
    <m/>
    <x v="1"/>
    <m/>
    <m/>
    <x v="1"/>
    <s v="TA7.25"/>
    <s v="By means of an updated and harmonised list of pollutants affecting surface and groundwater,_x000a_updated existing quality standards, new monitoring requirements, improved and more accessible data, and a more flexible framework for addressing pollutants of emerging concerns, the proposal aims at setting new high standards for a series of chemical substances of concern to address chemical pollution in water. Proposal for a Directive amending the Water Framework Directive, the Groundwater Directive, and the Environmental Quality Standards Directive"/>
    <s v="Micro-pollutants pose a significant challenge. The necessity of removing them_x000a_at wastewater treatment facilities increases treatment costs, and complete removal is not always feasible. The proposal encourages more proactive measures upstream by reducing emissions at their source. By avoiding water pollution, the proposal will also benefit the potential for water reuse. The enhanced watch list mechanism requiring Member States to monitor new substances, will enable_x000a_the Commission, with the support of the European Chemicals Agency and the Member States, to determine the need for additional or stricter quality standards. More frequent reporting of actual monitoring data, and its analysis by the EEA, will provide the EU Institutions, Member States, and the general public with a more precise and current understanding of the status of surface and groundwater bodies in the EU. The analysis of more regular monitoring and status data will effectively feed into the broader Zero Pollution Monitoring and Outlook framework"/>
    <x v="3"/>
  </r>
  <r>
    <x v="7"/>
    <m/>
    <m/>
    <m/>
    <m/>
    <m/>
    <x v="1"/>
    <m/>
    <m/>
    <x v="1"/>
    <m/>
    <m/>
    <m/>
    <x v="0"/>
  </r>
  <r>
    <x v="7"/>
    <m/>
    <m/>
    <m/>
    <m/>
    <m/>
    <x v="1"/>
    <m/>
    <m/>
    <x v="1"/>
    <m/>
    <m/>
    <m/>
    <x v="0"/>
  </r>
  <r>
    <x v="7"/>
    <m/>
    <m/>
    <m/>
    <m/>
    <m/>
    <x v="1"/>
    <m/>
    <m/>
    <x v="1"/>
    <m/>
    <m/>
    <m/>
    <x v="0"/>
  </r>
  <r>
    <x v="7"/>
    <m/>
    <m/>
    <m/>
    <m/>
    <m/>
    <x v="1"/>
    <m/>
    <m/>
    <x v="1"/>
    <m/>
    <m/>
    <m/>
    <x v="0"/>
  </r>
  <r>
    <x v="7"/>
    <m/>
    <m/>
    <m/>
    <m/>
    <m/>
    <x v="1"/>
    <m/>
    <m/>
    <x v="1"/>
    <m/>
    <m/>
    <m/>
    <x v="0"/>
  </r>
  <r>
    <x v="7"/>
    <m/>
    <m/>
    <m/>
    <m/>
    <m/>
    <x v="1"/>
    <m/>
    <m/>
    <x v="1"/>
    <m/>
    <m/>
    <m/>
    <x v="0"/>
  </r>
  <r>
    <x v="7"/>
    <m/>
    <m/>
    <m/>
    <m/>
    <m/>
    <x v="1"/>
    <m/>
    <m/>
    <x v="1"/>
    <m/>
    <m/>
    <m/>
    <x v="0"/>
  </r>
  <r>
    <x v="7"/>
    <m/>
    <m/>
    <m/>
    <m/>
    <m/>
    <x v="1"/>
    <m/>
    <m/>
    <x v="1"/>
    <m/>
    <m/>
    <m/>
    <x v="0"/>
  </r>
  <r>
    <x v="7"/>
    <m/>
    <m/>
    <m/>
    <m/>
    <m/>
    <x v="1"/>
    <m/>
    <m/>
    <x v="1"/>
    <m/>
    <m/>
    <m/>
    <x v="0"/>
  </r>
  <r>
    <x v="7"/>
    <m/>
    <m/>
    <m/>
    <m/>
    <m/>
    <x v="1"/>
    <m/>
    <m/>
    <x v="1"/>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4:D5" firstHeaderRow="0" firstDataRow="1" firstDataCol="1" rowPageCount="2" colPageCount="1"/>
  <pivotFields count="14">
    <pivotField axis="axisRow" showAll="0">
      <items count="9">
        <item x="0"/>
        <item x="1"/>
        <item x="2"/>
        <item x="3"/>
        <item x="4"/>
        <item x="5"/>
        <item x="6"/>
        <item x="7"/>
        <item t="default"/>
      </items>
    </pivotField>
    <pivotField showAll="0"/>
    <pivotField showAll="0"/>
    <pivotField showAll="0"/>
    <pivotField showAll="0"/>
    <pivotField showAll="0"/>
    <pivotField showAll="0" defaultSubtotal="0"/>
    <pivotField dataField="1" showAll="0" defaultSubtotal="0"/>
    <pivotField dataField="1" showAll="0" defaultSubtotal="0"/>
    <pivotField axis="axisPage" dataField="1" multipleItemSelectionAllowed="1" showAll="0">
      <items count="4">
        <item m="1" x="2"/>
        <item x="0"/>
        <item h="1" x="1"/>
        <item t="default"/>
      </items>
    </pivotField>
    <pivotField showAll="0"/>
    <pivotField showAll="0"/>
    <pivotField showAll="0"/>
    <pivotField axis="axisPage" multipleItemSelectionAllowed="1" showAll="0">
      <items count="10">
        <item m="1" x="5"/>
        <item m="1" x="8"/>
        <item m="1" x="7"/>
        <item m="1" x="6"/>
        <item h="1" x="0"/>
        <item h="1" x="1"/>
        <item h="1" x="2"/>
        <item h="1" x="3"/>
        <item h="1" x="4"/>
        <item t="default"/>
      </items>
    </pivotField>
  </pivotFields>
  <rowFields count="1">
    <field x="0"/>
  </rowFields>
  <rowItems count="1">
    <i t="grand">
      <x/>
    </i>
  </rowItems>
  <colFields count="1">
    <field x="-2"/>
  </colFields>
  <colItems count="3">
    <i>
      <x/>
    </i>
    <i i="1">
      <x v="1"/>
    </i>
    <i i="2">
      <x v="2"/>
    </i>
  </colItems>
  <pageFields count="2">
    <pageField fld="13" hier="-1"/>
    <pageField fld="9" hier="-1"/>
  </pageFields>
  <dataFields count="3">
    <dataField name="Sum of n" fld="9" baseField="0" baseItem="0"/>
    <dataField name="Sum of Targets from legal acts" fld="7" baseField="0" baseItem="0"/>
    <dataField name="Sum of Targets from Propos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2000000}" name="PivotTable5"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16:G32" firstHeaderRow="1" firstDataRow="2" firstDataCol="1"/>
  <pivotFields count="14">
    <pivotField axis="axisRow" showAll="0">
      <items count="9">
        <item x="0"/>
        <item x="1"/>
        <item x="2"/>
        <item x="3"/>
        <item x="4"/>
        <item x="5"/>
        <item x="6"/>
        <item x="7"/>
        <item t="default"/>
      </items>
    </pivotField>
    <pivotField showAll="0"/>
    <pivotField showAll="0"/>
    <pivotField showAll="0"/>
    <pivotField showAll="0"/>
    <pivotField showAll="0"/>
    <pivotField axis="axisRow" multipleItemSelectionAllowed="1" showAll="0" defaultSubtotal="0">
      <items count="6">
        <item m="1" x="5"/>
        <item x="4"/>
        <item x="3"/>
        <item h="1" x="1"/>
        <item x="2"/>
        <item h="1" x="0"/>
      </items>
    </pivotField>
    <pivotField showAll="0" defaultSubtotal="0"/>
    <pivotField showAll="0" defaultSubtotal="0"/>
    <pivotField dataField="1" showAll="0"/>
    <pivotField showAll="0"/>
    <pivotField showAll="0"/>
    <pivotField showAll="0"/>
    <pivotField axis="axisCol" showAll="0">
      <items count="10">
        <item m="1" x="5"/>
        <item m="1" x="8"/>
        <item m="1" x="7"/>
        <item m="1" x="6"/>
        <item x="0"/>
        <item x="1"/>
        <item x="2"/>
        <item x="3"/>
        <item x="4"/>
        <item t="default"/>
      </items>
    </pivotField>
  </pivotFields>
  <rowFields count="2">
    <field x="0"/>
    <field x="6"/>
  </rowFields>
  <rowItems count="15">
    <i>
      <x/>
    </i>
    <i r="1">
      <x v="4"/>
    </i>
    <i>
      <x v="1"/>
    </i>
    <i r="1">
      <x v="2"/>
    </i>
    <i>
      <x v="2"/>
    </i>
    <i r="1">
      <x v="4"/>
    </i>
    <i>
      <x v="3"/>
    </i>
    <i r="1">
      <x v="4"/>
    </i>
    <i>
      <x v="5"/>
    </i>
    <i r="1">
      <x v="1"/>
    </i>
    <i r="1">
      <x v="4"/>
    </i>
    <i>
      <x v="6"/>
    </i>
    <i r="1">
      <x v="2"/>
    </i>
    <i r="1">
      <x v="4"/>
    </i>
    <i t="grand">
      <x/>
    </i>
  </rowItems>
  <colFields count="1">
    <field x="13"/>
  </colFields>
  <colItems count="6">
    <i>
      <x v="4"/>
    </i>
    <i>
      <x v="5"/>
    </i>
    <i>
      <x v="6"/>
    </i>
    <i>
      <x v="7"/>
    </i>
    <i>
      <x v="8"/>
    </i>
    <i t="grand">
      <x/>
    </i>
  </colItems>
  <dataFields count="1">
    <dataField name="Sum of n"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PivotTable2"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Z3:BL12" firstHeaderRow="1" firstDataRow="3" firstDataCol="1"/>
  <pivotFields count="14">
    <pivotField axis="axisRow" showAll="0">
      <items count="9">
        <item x="0"/>
        <item x="1"/>
        <item x="2"/>
        <item x="3"/>
        <item x="4"/>
        <item x="5"/>
        <item x="6"/>
        <item x="7"/>
        <item t="default"/>
      </items>
    </pivotField>
    <pivotField showAll="0"/>
    <pivotField showAll="0"/>
    <pivotField showAll="0"/>
    <pivotField showAll="0"/>
    <pivotField showAll="0"/>
    <pivotField axis="axisCol" multipleItemSelectionAllowed="1" showAll="0" defaultSubtotal="0">
      <items count="6">
        <item h="1" m="1" x="5"/>
        <item x="4"/>
        <item x="3"/>
        <item h="1" x="1"/>
        <item x="2"/>
        <item h="1" x="0"/>
      </items>
    </pivotField>
    <pivotField showAll="0" defaultSubtotal="0"/>
    <pivotField showAll="0" defaultSubtotal="0"/>
    <pivotField dataField="1" showAll="0"/>
    <pivotField showAll="0"/>
    <pivotField showAll="0"/>
    <pivotField showAll="0"/>
    <pivotField axis="axisCol" showAll="0">
      <items count="10">
        <item m="1" x="5"/>
        <item m="1" x="8"/>
        <item m="1" x="7"/>
        <item m="1" x="6"/>
        <item x="0"/>
        <item x="1"/>
        <item x="2"/>
        <item x="3"/>
        <item x="4"/>
        <item t="default"/>
      </items>
    </pivotField>
  </pivotFields>
  <rowFields count="1">
    <field x="0"/>
  </rowFields>
  <rowItems count="7">
    <i>
      <x/>
    </i>
    <i>
      <x v="1"/>
    </i>
    <i>
      <x v="2"/>
    </i>
    <i>
      <x v="3"/>
    </i>
    <i>
      <x v="5"/>
    </i>
    <i>
      <x v="6"/>
    </i>
    <i t="grand">
      <x/>
    </i>
  </rowItems>
  <colFields count="2">
    <field x="13"/>
    <field x="6"/>
  </colFields>
  <colItems count="12">
    <i>
      <x v="4"/>
      <x v="2"/>
    </i>
    <i t="default">
      <x v="4"/>
    </i>
    <i>
      <x v="5"/>
      <x v="1"/>
    </i>
    <i r="1">
      <x v="4"/>
    </i>
    <i t="default">
      <x v="5"/>
    </i>
    <i>
      <x v="6"/>
      <x v="4"/>
    </i>
    <i t="default">
      <x v="6"/>
    </i>
    <i>
      <x v="7"/>
      <x v="4"/>
    </i>
    <i t="default">
      <x v="7"/>
    </i>
    <i>
      <x v="8"/>
      <x v="4"/>
    </i>
    <i t="default">
      <x v="8"/>
    </i>
    <i t="grand">
      <x/>
    </i>
  </colItems>
  <dataFields count="1">
    <dataField name="Sum of n"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BJ18" totalsRowShown="0">
  <autoFilter ref="A1:BJ18" xr:uid="{00000000-0009-0000-0100-000004000000}"/>
  <tableColumns count="62">
    <tableColumn id="1" xr3:uid="{00000000-0010-0000-0000-000001000000}" name="Main thematic areas*_x000a_*referring to EGD Objectives set out in COM(2019) 640 final ANNEX"/>
    <tableColumn id="2" xr3:uid="{00000000-0010-0000-0000-000002000000}" name="Actions*_x000a_*referring to EGD Objectives set out in COM(2019) 640 ANNEX"/>
    <tableColumn id="3" xr3:uid="{00000000-0010-0000-0000-000003000000}" name="Key Policy documents "/>
    <tableColumn id="4" xr3:uid="{00000000-0010-0000-0000-000004000000}" name="Type of Document"/>
    <tableColumn id="5" xr3:uid="{00000000-0010-0000-0000-000005000000}" name="Year of publication"/>
    <tableColumn id="6" xr3:uid="{00000000-0010-0000-0000-000006000000}" name="Binding doc"/>
    <tableColumn id="7" xr3:uid="{00000000-0010-0000-0000-000007000000}" name="Type target"/>
    <tableColumn id="8" xr3:uid="{00000000-0010-0000-0000-000008000000}" name="Targets from legal acts"/>
    <tableColumn id="9" xr3:uid="{00000000-0010-0000-0000-000009000000}" name="Targets from Proposal"/>
    <tableColumn id="10" xr3:uid="{00000000-0010-0000-0000-00000A000000}" name="n"/>
    <tableColumn id="11" xr3:uid="{00000000-0010-0000-0000-00000B000000}" name="Targets"/>
    <tableColumn id="12" xr3:uid="{00000000-0010-0000-0000-00000C000000}" name="Timeline"/>
    <tableColumn id="13" xr3:uid="{00000000-0010-0000-0000-00000D000000}" name="Quantified"/>
    <tableColumn id="14" xr3:uid="{00000000-0010-0000-0000-00000E000000}" name="Comments"/>
    <tableColumn id="15" xr3:uid="{00000000-0010-0000-0000-00000F000000}" name="Fiche"/>
    <tableColumn id="16" xr3:uid="{00000000-0010-0000-0000-000010000000}" name="Indicator"/>
    <tableColumn id="17" xr3:uid="{00000000-0010-0000-0000-000011000000}" name="Quantitative Target"/>
    <tableColumn id="18" xr3:uid="{00000000-0010-0000-0000-000012000000}" name="Distance to Target (GAP)"/>
    <tableColumn id="19" xr3:uid="{00000000-0010-0000-0000-000013000000}" name="Trend"/>
    <tableColumn id="20" xr3:uid="{00000000-0010-0000-0000-000014000000}" name="Colour"/>
    <tableColumn id="21" xr3:uid="{00000000-0010-0000-0000-000015000000}" name="Indicator 8th EAP"/>
    <tableColumn id="22" xr3:uid="{00000000-0010-0000-0000-000016000000}" name="Comments (data used by EAP/presence of gap analysis in EAP)"/>
    <tableColumn id="23" xr3:uid="{00000000-0010-0000-0000-000017000000}" name="Subtopic"/>
    <tableColumn id="24" xr3:uid="{00000000-0010-0000-0000-000018000000}" name="Other topics related"/>
    <tableColumn id="25" xr3:uid="{00000000-0010-0000-0000-000019000000}" name="Main SDG Targets related (draft)"/>
    <tableColumn id="26" xr3:uid="{00000000-0010-0000-0000-00001A000000}" name="SDG goal"/>
    <tableColumn id="27" xr3:uid="{00000000-0010-0000-0000-00001B000000}" name="Origin of main dataset"/>
    <tableColumn id="28" xr3:uid="{00000000-0010-0000-0000-00001C000000}" name="Link to main possible dataset"/>
    <tableColumn id="29" xr3:uid="{00000000-0010-0000-0000-00001D000000}" name="Alternative / complementary dataset 1"/>
    <tableColumn id="30" xr3:uid="{00000000-0010-0000-0000-00001E000000}" name="Alternative /complementary dataset 2"/>
    <tableColumn id="31" xr3:uid="{00000000-0010-0000-0000-00001F000000}" name="PF2"/>
    <tableColumn id="32" xr3:uid="{00000000-0010-0000-0000-000020000000}" name="PF3"/>
    <tableColumn id="33" xr3:uid="{00000000-0010-0000-0000-000021000000}" name="PF4"/>
    <tableColumn id="34" xr3:uid="{00000000-0010-0000-0000-000022000000}" name="PF5"/>
    <tableColumn id="35" xr3:uid="{00000000-0010-0000-0000-000023000000}" name="PF6"/>
    <tableColumn id="36" xr3:uid="{00000000-0010-0000-0000-000024000000}" name="PF7"/>
    <tableColumn id="37" xr3:uid="{00000000-0010-0000-0000-000025000000}" name="PF8"/>
    <tableColumn id="38" xr3:uid="{00000000-0010-0000-0000-000026000000}" name="PF9"/>
    <tableColumn id="39" xr3:uid="{00000000-0010-0000-0000-000027000000}" name="PF10"/>
    <tableColumn id="40" xr3:uid="{00000000-0010-0000-0000-000028000000}" name="PF11"/>
    <tableColumn id="41" xr3:uid="{00000000-0010-0000-0000-000029000000}" name="PF12"/>
    <tableColumn id="42" xr3:uid="{00000000-0010-0000-0000-00002A000000}" name="PF13"/>
    <tableColumn id="43" xr3:uid="{00000000-0010-0000-0000-00002B000000}" name="PF14"/>
    <tableColumn id="44" xr3:uid="{00000000-0010-0000-0000-00002C000000}" name="PF15"/>
    <tableColumn id="45" xr3:uid="{00000000-0010-0000-0000-00002D000000}" name="PF16"/>
    <tableColumn id="46" xr3:uid="{00000000-0010-0000-0000-00002E000000}" name="PF17"/>
    <tableColumn id="47" xr3:uid="{00000000-0010-0000-0000-00002F000000}" name="PF18"/>
    <tableColumn id="48" xr3:uid="{00000000-0010-0000-0000-000030000000}" name="PF19"/>
    <tableColumn id="49" xr3:uid="{00000000-0010-0000-0000-000031000000}" name="PF20"/>
    <tableColumn id="50" xr3:uid="{00000000-0010-0000-0000-000032000000}" name="PF21"/>
    <tableColumn id="51" xr3:uid="{00000000-0010-0000-0000-000033000000}" name="PF22"/>
    <tableColumn id="52" xr3:uid="{00000000-0010-0000-0000-000034000000}" name="PF23"/>
    <tableColumn id="53" xr3:uid="{00000000-0010-0000-0000-000035000000}" name="PF24"/>
    <tableColumn id="54" xr3:uid="{00000000-0010-0000-0000-000036000000}" name="PF25"/>
    <tableColumn id="55" xr3:uid="{00000000-0010-0000-0000-000037000000}" name="PF26"/>
    <tableColumn id="56" xr3:uid="{00000000-0010-0000-0000-000038000000}" name="PF27"/>
    <tableColumn id="57" xr3:uid="{00000000-0010-0000-0000-000039000000}" name="PF28"/>
    <tableColumn id="58" xr3:uid="{00000000-0010-0000-0000-00003A000000}" name="PF29"/>
    <tableColumn id="59" xr3:uid="{00000000-0010-0000-0000-00003B000000}" name="PF30"/>
    <tableColumn id="60" xr3:uid="{00000000-0010-0000-0000-00003C000000}" name="PF31"/>
    <tableColumn id="61" xr3:uid="{00000000-0010-0000-0000-00003D000000}" name="PF32"/>
    <tableColumn id="62" xr3:uid="{00000000-0010-0000-0000-00003E000000}" name="PF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A1:BJ55" totalsRowShown="0">
  <autoFilter ref="A1:BJ55" xr:uid="{00000000-0009-0000-0100-000005000000}"/>
  <tableColumns count="62">
    <tableColumn id="1" xr3:uid="{00000000-0010-0000-0100-000001000000}" name="Main thematic areas*_x000a_*referring to EGD Objectives set out in COM(2019) 640 final ANNEX"/>
    <tableColumn id="2" xr3:uid="{00000000-0010-0000-0100-000002000000}" name="Actions*_x000a_*referring to EGD Objectives set out in COM(2019) 640 ANNEX"/>
    <tableColumn id="3" xr3:uid="{00000000-0010-0000-0100-000003000000}" name="Key Policy documents "/>
    <tableColumn id="4" xr3:uid="{00000000-0010-0000-0100-000004000000}" name="Type of Document"/>
    <tableColumn id="5" xr3:uid="{00000000-0010-0000-0100-000005000000}" name="Year of publication"/>
    <tableColumn id="6" xr3:uid="{00000000-0010-0000-0100-000006000000}" name="Binding doc"/>
    <tableColumn id="7" xr3:uid="{00000000-0010-0000-0100-000007000000}" name="Type target"/>
    <tableColumn id="8" xr3:uid="{00000000-0010-0000-0100-000008000000}" name="Targets from legal acts"/>
    <tableColumn id="9" xr3:uid="{00000000-0010-0000-0100-000009000000}" name="Targets from Proposal"/>
    <tableColumn id="10" xr3:uid="{00000000-0010-0000-0100-00000A000000}" name="n"/>
    <tableColumn id="11" xr3:uid="{00000000-0010-0000-0100-00000B000000}" name="Targets"/>
    <tableColumn id="12" xr3:uid="{00000000-0010-0000-0100-00000C000000}" name="Timeline"/>
    <tableColumn id="13" xr3:uid="{00000000-0010-0000-0100-00000D000000}" name="Quantified"/>
    <tableColumn id="14" xr3:uid="{00000000-0010-0000-0100-00000E000000}" name="Comments"/>
    <tableColumn id="15" xr3:uid="{00000000-0010-0000-0100-00000F000000}" name="Fiche"/>
    <tableColumn id="16" xr3:uid="{00000000-0010-0000-0100-000010000000}" name="Indicator"/>
    <tableColumn id="17" xr3:uid="{00000000-0010-0000-0100-000011000000}" name="Quantitative Target"/>
    <tableColumn id="18" xr3:uid="{00000000-0010-0000-0100-000012000000}" name="Distance to Target (GAP)"/>
    <tableColumn id="19" xr3:uid="{00000000-0010-0000-0100-000013000000}" name="Trend"/>
    <tableColumn id="20" xr3:uid="{00000000-0010-0000-0100-000014000000}" name="Colour"/>
    <tableColumn id="21" xr3:uid="{00000000-0010-0000-0100-000015000000}" name="Indicator 8th EAP"/>
    <tableColumn id="22" xr3:uid="{00000000-0010-0000-0100-000016000000}" name="Comments (data used by EAP/presence of gap analysis in EAP)"/>
    <tableColumn id="23" xr3:uid="{00000000-0010-0000-0100-000017000000}" name="Subtopic"/>
    <tableColumn id="24" xr3:uid="{00000000-0010-0000-0100-000018000000}" name="Other topics related"/>
    <tableColumn id="25" xr3:uid="{00000000-0010-0000-0100-000019000000}" name="Main SDG Targets related (draft)"/>
    <tableColumn id="26" xr3:uid="{00000000-0010-0000-0100-00001A000000}" name="SDG goal"/>
    <tableColumn id="27" xr3:uid="{00000000-0010-0000-0100-00001B000000}" name="Origin of main dataset"/>
    <tableColumn id="28" xr3:uid="{00000000-0010-0000-0100-00001C000000}" name="Link to main possible dataset"/>
    <tableColumn id="29" xr3:uid="{00000000-0010-0000-0100-00001D000000}" name="Alternative / complementary dataset 1"/>
    <tableColumn id="30" xr3:uid="{00000000-0010-0000-0100-00001E000000}" name="Alternative /complementary dataset 2"/>
    <tableColumn id="31" xr3:uid="{00000000-0010-0000-0100-00001F000000}" name="PF2"/>
    <tableColumn id="32" xr3:uid="{00000000-0010-0000-0100-000020000000}" name="PF3"/>
    <tableColumn id="33" xr3:uid="{00000000-0010-0000-0100-000021000000}" name="PF4"/>
    <tableColumn id="34" xr3:uid="{00000000-0010-0000-0100-000022000000}" name="PF5"/>
    <tableColumn id="35" xr3:uid="{00000000-0010-0000-0100-000023000000}" name="PF6"/>
    <tableColumn id="36" xr3:uid="{00000000-0010-0000-0100-000024000000}" name="PF7"/>
    <tableColumn id="37" xr3:uid="{00000000-0010-0000-0100-000025000000}" name="PF8"/>
    <tableColumn id="38" xr3:uid="{00000000-0010-0000-0100-000026000000}" name="PF9"/>
    <tableColumn id="39" xr3:uid="{00000000-0010-0000-0100-000027000000}" name="PF10"/>
    <tableColumn id="40" xr3:uid="{00000000-0010-0000-0100-000028000000}" name="PF11"/>
    <tableColumn id="41" xr3:uid="{00000000-0010-0000-0100-000029000000}" name="PF12"/>
    <tableColumn id="42" xr3:uid="{00000000-0010-0000-0100-00002A000000}" name="PF13"/>
    <tableColumn id="43" xr3:uid="{00000000-0010-0000-0100-00002B000000}" name="PF14"/>
    <tableColumn id="44" xr3:uid="{00000000-0010-0000-0100-00002C000000}" name="PF15"/>
    <tableColumn id="45" xr3:uid="{00000000-0010-0000-0100-00002D000000}" name="PF16"/>
    <tableColumn id="46" xr3:uid="{00000000-0010-0000-0100-00002E000000}" name="PF17"/>
    <tableColumn id="47" xr3:uid="{00000000-0010-0000-0100-00002F000000}" name="PF18"/>
    <tableColumn id="48" xr3:uid="{00000000-0010-0000-0100-000030000000}" name="PF19"/>
    <tableColumn id="49" xr3:uid="{00000000-0010-0000-0100-000031000000}" name="PF20"/>
    <tableColumn id="50" xr3:uid="{00000000-0010-0000-0100-000032000000}" name="PF21"/>
    <tableColumn id="51" xr3:uid="{00000000-0010-0000-0100-000033000000}" name="PF22"/>
    <tableColumn id="52" xr3:uid="{00000000-0010-0000-0100-000034000000}" name="PF23"/>
    <tableColumn id="53" xr3:uid="{00000000-0010-0000-0100-000035000000}" name="PF24"/>
    <tableColumn id="54" xr3:uid="{00000000-0010-0000-0100-000036000000}" name="PF25"/>
    <tableColumn id="55" xr3:uid="{00000000-0010-0000-0100-000037000000}" name="PF26"/>
    <tableColumn id="56" xr3:uid="{00000000-0010-0000-0100-000038000000}" name="PF27"/>
    <tableColumn id="57" xr3:uid="{00000000-0010-0000-0100-000039000000}" name="PF28"/>
    <tableColumn id="58" xr3:uid="{00000000-0010-0000-0100-00003A000000}" name="PF29"/>
    <tableColumn id="59" xr3:uid="{00000000-0010-0000-0100-00003B000000}" name="PF30"/>
    <tableColumn id="60" xr3:uid="{00000000-0010-0000-0100-00003C000000}" name="PF31"/>
    <tableColumn id="61" xr3:uid="{00000000-0010-0000-0100-00003D000000}" name="PF32"/>
    <tableColumn id="62" xr3:uid="{00000000-0010-0000-0100-00003E000000}" name="PF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A1:BJ49" totalsRowShown="0">
  <autoFilter ref="A1:BJ49" xr:uid="{00000000-0009-0000-0100-000006000000}"/>
  <tableColumns count="62">
    <tableColumn id="1" xr3:uid="{00000000-0010-0000-0200-000001000000}" name="Main thematic areas*_x000a_*referring to EGD Objectives set out in COM(2019) 640 final ANNEX"/>
    <tableColumn id="2" xr3:uid="{00000000-0010-0000-0200-000002000000}" name="Actions*_x000a_*referring to EGD Objectives set out in COM(2019) 640 ANNEX"/>
    <tableColumn id="3" xr3:uid="{00000000-0010-0000-0200-000003000000}" name="Key Policy documents "/>
    <tableColumn id="4" xr3:uid="{00000000-0010-0000-0200-000004000000}" name="Type of Document"/>
    <tableColumn id="5" xr3:uid="{00000000-0010-0000-0200-000005000000}" name="Year of publication"/>
    <tableColumn id="6" xr3:uid="{00000000-0010-0000-0200-000006000000}" name="Binding doc"/>
    <tableColumn id="7" xr3:uid="{00000000-0010-0000-0200-000007000000}" name="Type target"/>
    <tableColumn id="8" xr3:uid="{00000000-0010-0000-0200-000008000000}" name="Targets from legal acts"/>
    <tableColumn id="9" xr3:uid="{00000000-0010-0000-0200-000009000000}" name="Targets from Proposal"/>
    <tableColumn id="10" xr3:uid="{00000000-0010-0000-0200-00000A000000}" name="n"/>
    <tableColumn id="11" xr3:uid="{00000000-0010-0000-0200-00000B000000}" name="Targets"/>
    <tableColumn id="12" xr3:uid="{00000000-0010-0000-0200-00000C000000}" name="Timeline"/>
    <tableColumn id="13" xr3:uid="{00000000-0010-0000-0200-00000D000000}" name="Quantified"/>
    <tableColumn id="14" xr3:uid="{00000000-0010-0000-0200-00000E000000}" name="Comments"/>
    <tableColumn id="15" xr3:uid="{00000000-0010-0000-0200-00000F000000}" name="Fiche"/>
    <tableColumn id="16" xr3:uid="{00000000-0010-0000-0200-000010000000}" name="Indicator"/>
    <tableColumn id="17" xr3:uid="{00000000-0010-0000-0200-000011000000}" name="Quantitative Target"/>
    <tableColumn id="18" xr3:uid="{00000000-0010-0000-0200-000012000000}" name="Distance to Target (GAP)"/>
    <tableColumn id="19" xr3:uid="{00000000-0010-0000-0200-000013000000}" name="Trend"/>
    <tableColumn id="20" xr3:uid="{00000000-0010-0000-0200-000014000000}" name="Colour"/>
    <tableColumn id="21" xr3:uid="{00000000-0010-0000-0200-000015000000}" name="Indicator 8th EAP"/>
    <tableColumn id="22" xr3:uid="{00000000-0010-0000-0200-000016000000}" name="Comments (data used by EAP/presence of gap analysis in EAP)"/>
    <tableColumn id="23" xr3:uid="{00000000-0010-0000-0200-000017000000}" name="Subtopic"/>
    <tableColumn id="24" xr3:uid="{00000000-0010-0000-0200-000018000000}" name="Other topics related"/>
    <tableColumn id="25" xr3:uid="{00000000-0010-0000-0200-000019000000}" name="Main SDG Targets related (draft)"/>
    <tableColumn id="26" xr3:uid="{00000000-0010-0000-0200-00001A000000}" name="SDG goal"/>
    <tableColumn id="27" xr3:uid="{00000000-0010-0000-0200-00001B000000}" name="Origin of main dataset"/>
    <tableColumn id="28" xr3:uid="{00000000-0010-0000-0200-00001C000000}" name="Link to main possible dataset"/>
    <tableColumn id="29" xr3:uid="{00000000-0010-0000-0200-00001D000000}" name="Alternative / complementary dataset 1"/>
    <tableColumn id="30" xr3:uid="{00000000-0010-0000-0200-00001E000000}" name="Alternative /complementary dataset 2"/>
    <tableColumn id="31" xr3:uid="{00000000-0010-0000-0200-00001F000000}" name="PF2"/>
    <tableColumn id="32" xr3:uid="{00000000-0010-0000-0200-000020000000}" name="PF3"/>
    <tableColumn id="33" xr3:uid="{00000000-0010-0000-0200-000021000000}" name="PF4"/>
    <tableColumn id="34" xr3:uid="{00000000-0010-0000-0200-000022000000}" name="PF5"/>
    <tableColumn id="35" xr3:uid="{00000000-0010-0000-0200-000023000000}" name="PF6"/>
    <tableColumn id="36" xr3:uid="{00000000-0010-0000-0200-000024000000}" name="PF7"/>
    <tableColumn id="37" xr3:uid="{00000000-0010-0000-0200-000025000000}" name="PF8"/>
    <tableColumn id="38" xr3:uid="{00000000-0010-0000-0200-000026000000}" name="PF9"/>
    <tableColumn id="39" xr3:uid="{00000000-0010-0000-0200-000027000000}" name="PF10"/>
    <tableColumn id="40" xr3:uid="{00000000-0010-0000-0200-000028000000}" name="PF11"/>
    <tableColumn id="41" xr3:uid="{00000000-0010-0000-0200-000029000000}" name="PF12"/>
    <tableColumn id="42" xr3:uid="{00000000-0010-0000-0200-00002A000000}" name="PF13"/>
    <tableColumn id="43" xr3:uid="{00000000-0010-0000-0200-00002B000000}" name="PF14"/>
    <tableColumn id="44" xr3:uid="{00000000-0010-0000-0200-00002C000000}" name="PF15"/>
    <tableColumn id="45" xr3:uid="{00000000-0010-0000-0200-00002D000000}" name="PF16"/>
    <tableColumn id="46" xr3:uid="{00000000-0010-0000-0200-00002E000000}" name="PF17"/>
    <tableColumn id="47" xr3:uid="{00000000-0010-0000-0200-00002F000000}" name="PF18"/>
    <tableColumn id="48" xr3:uid="{00000000-0010-0000-0200-000030000000}" name="PF19"/>
    <tableColumn id="49" xr3:uid="{00000000-0010-0000-0200-000031000000}" name="PF20"/>
    <tableColumn id="50" xr3:uid="{00000000-0010-0000-0200-000032000000}" name="PF21"/>
    <tableColumn id="51" xr3:uid="{00000000-0010-0000-0200-000033000000}" name="PF22"/>
    <tableColumn id="52" xr3:uid="{00000000-0010-0000-0200-000034000000}" name="PF23"/>
    <tableColumn id="53" xr3:uid="{00000000-0010-0000-0200-000035000000}" name="PF24"/>
    <tableColumn id="54" xr3:uid="{00000000-0010-0000-0200-000036000000}" name="PF25"/>
    <tableColumn id="55" xr3:uid="{00000000-0010-0000-0200-000037000000}" name="PF26"/>
    <tableColumn id="56" xr3:uid="{00000000-0010-0000-0200-000038000000}" name="PF27"/>
    <tableColumn id="57" xr3:uid="{00000000-0010-0000-0200-000039000000}" name="PF28"/>
    <tableColumn id="58" xr3:uid="{00000000-0010-0000-0200-00003A000000}" name="PF29"/>
    <tableColumn id="59" xr3:uid="{00000000-0010-0000-0200-00003B000000}" name="PF30"/>
    <tableColumn id="60" xr3:uid="{00000000-0010-0000-0200-00003C000000}" name="PF31"/>
    <tableColumn id="61" xr3:uid="{00000000-0010-0000-0200-00003D000000}" name="PF32"/>
    <tableColumn id="62" xr3:uid="{00000000-0010-0000-0200-00003E000000}" name="PF3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7" displayName="Table7" ref="A1:BJ24" totalsRowShown="0">
  <autoFilter ref="A1:BJ24" xr:uid="{00000000-0009-0000-0100-000007000000}"/>
  <tableColumns count="62">
    <tableColumn id="1" xr3:uid="{00000000-0010-0000-0300-000001000000}" name="Main thematic areas*_x000a_*referring to EGD Objectives set out in COM(2019) 640 final ANNEX"/>
    <tableColumn id="2" xr3:uid="{00000000-0010-0000-0300-000002000000}" name="Actions*_x000a_*referring to EGD Objectives set out in COM(2019) 640 ANNEX"/>
    <tableColumn id="3" xr3:uid="{00000000-0010-0000-0300-000003000000}" name="Key Policy documents "/>
    <tableColumn id="4" xr3:uid="{00000000-0010-0000-0300-000004000000}" name="Type of Document"/>
    <tableColumn id="5" xr3:uid="{00000000-0010-0000-0300-000005000000}" name="Year of publication"/>
    <tableColumn id="6" xr3:uid="{00000000-0010-0000-0300-000006000000}" name="Binding doc"/>
    <tableColumn id="7" xr3:uid="{00000000-0010-0000-0300-000007000000}" name="Type target"/>
    <tableColumn id="8" xr3:uid="{00000000-0010-0000-0300-000008000000}" name="Targets from legal acts"/>
    <tableColumn id="9" xr3:uid="{00000000-0010-0000-0300-000009000000}" name="Targets from Proposal"/>
    <tableColumn id="10" xr3:uid="{00000000-0010-0000-0300-00000A000000}" name="n"/>
    <tableColumn id="11" xr3:uid="{00000000-0010-0000-0300-00000B000000}" name="Targets"/>
    <tableColumn id="12" xr3:uid="{00000000-0010-0000-0300-00000C000000}" name="Timeline"/>
    <tableColumn id="13" xr3:uid="{00000000-0010-0000-0300-00000D000000}" name="Quantified"/>
    <tableColumn id="14" xr3:uid="{00000000-0010-0000-0300-00000E000000}" name="Comments"/>
    <tableColumn id="15" xr3:uid="{00000000-0010-0000-0300-00000F000000}" name="Fiche"/>
    <tableColumn id="16" xr3:uid="{00000000-0010-0000-0300-000010000000}" name="Indicator"/>
    <tableColumn id="17" xr3:uid="{00000000-0010-0000-0300-000011000000}" name="Quantitative Target"/>
    <tableColumn id="18" xr3:uid="{00000000-0010-0000-0300-000012000000}" name="Distance to Target (GAP)"/>
    <tableColumn id="19" xr3:uid="{00000000-0010-0000-0300-000013000000}" name="Trend"/>
    <tableColumn id="20" xr3:uid="{00000000-0010-0000-0300-000014000000}" name="Colour"/>
    <tableColumn id="21" xr3:uid="{00000000-0010-0000-0300-000015000000}" name="Indicator 8th EAP"/>
    <tableColumn id="22" xr3:uid="{00000000-0010-0000-0300-000016000000}" name="Comments (data used by EAP/presence of gap analysis in EAP)"/>
    <tableColumn id="23" xr3:uid="{00000000-0010-0000-0300-000017000000}" name="Subtopic"/>
    <tableColumn id="24" xr3:uid="{00000000-0010-0000-0300-000018000000}" name="Other topics related"/>
    <tableColumn id="25" xr3:uid="{00000000-0010-0000-0300-000019000000}" name="Main SDG Targets related (draft)"/>
    <tableColumn id="26" xr3:uid="{00000000-0010-0000-0300-00001A000000}" name="SDG goal"/>
    <tableColumn id="27" xr3:uid="{00000000-0010-0000-0300-00001B000000}" name="Origin of main dataset"/>
    <tableColumn id="28" xr3:uid="{00000000-0010-0000-0300-00001C000000}" name="Link to main possible dataset"/>
    <tableColumn id="29" xr3:uid="{00000000-0010-0000-0300-00001D000000}" name="Alternative / complementary dataset 1"/>
    <tableColumn id="30" xr3:uid="{00000000-0010-0000-0300-00001E000000}" name="Alternative /complementary dataset 2"/>
    <tableColumn id="31" xr3:uid="{00000000-0010-0000-0300-00001F000000}" name="PF2"/>
    <tableColumn id="32" xr3:uid="{00000000-0010-0000-0300-000020000000}" name="PF3"/>
    <tableColumn id="33" xr3:uid="{00000000-0010-0000-0300-000021000000}" name="PF4"/>
    <tableColumn id="34" xr3:uid="{00000000-0010-0000-0300-000022000000}" name="PF5"/>
    <tableColumn id="35" xr3:uid="{00000000-0010-0000-0300-000023000000}" name="PF6"/>
    <tableColumn id="36" xr3:uid="{00000000-0010-0000-0300-000024000000}" name="PF7"/>
    <tableColumn id="37" xr3:uid="{00000000-0010-0000-0300-000025000000}" name="PF8"/>
    <tableColumn id="38" xr3:uid="{00000000-0010-0000-0300-000026000000}" name="PF9"/>
    <tableColumn id="39" xr3:uid="{00000000-0010-0000-0300-000027000000}" name="PF10"/>
    <tableColumn id="40" xr3:uid="{00000000-0010-0000-0300-000028000000}" name="PF11"/>
    <tableColumn id="41" xr3:uid="{00000000-0010-0000-0300-000029000000}" name="PF12"/>
    <tableColumn id="42" xr3:uid="{00000000-0010-0000-0300-00002A000000}" name="PF13"/>
    <tableColumn id="43" xr3:uid="{00000000-0010-0000-0300-00002B000000}" name="PF14"/>
    <tableColumn id="44" xr3:uid="{00000000-0010-0000-0300-00002C000000}" name="PF15"/>
    <tableColumn id="45" xr3:uid="{00000000-0010-0000-0300-00002D000000}" name="PF16"/>
    <tableColumn id="46" xr3:uid="{00000000-0010-0000-0300-00002E000000}" name="PF17"/>
    <tableColumn id="47" xr3:uid="{00000000-0010-0000-0300-00002F000000}" name="PF18"/>
    <tableColumn id="48" xr3:uid="{00000000-0010-0000-0300-000030000000}" name="PF19"/>
    <tableColumn id="49" xr3:uid="{00000000-0010-0000-0300-000031000000}" name="PF20"/>
    <tableColumn id="50" xr3:uid="{00000000-0010-0000-0300-000032000000}" name="PF21"/>
    <tableColumn id="51" xr3:uid="{00000000-0010-0000-0300-000033000000}" name="PF22"/>
    <tableColumn id="52" xr3:uid="{00000000-0010-0000-0300-000034000000}" name="PF23"/>
    <tableColumn id="53" xr3:uid="{00000000-0010-0000-0300-000035000000}" name="PF24"/>
    <tableColumn id="54" xr3:uid="{00000000-0010-0000-0300-000036000000}" name="PF25"/>
    <tableColumn id="55" xr3:uid="{00000000-0010-0000-0300-000037000000}" name="PF26"/>
    <tableColumn id="56" xr3:uid="{00000000-0010-0000-0300-000038000000}" name="PF27"/>
    <tableColumn id="57" xr3:uid="{00000000-0010-0000-0300-000039000000}" name="PF28"/>
    <tableColumn id="58" xr3:uid="{00000000-0010-0000-0300-00003A000000}" name="PF29"/>
    <tableColumn id="59" xr3:uid="{00000000-0010-0000-0300-00003B000000}" name="PF30"/>
    <tableColumn id="60" xr3:uid="{00000000-0010-0000-0300-00003C000000}" name="PF31"/>
    <tableColumn id="61" xr3:uid="{00000000-0010-0000-0300-00003D000000}" name="PF32"/>
    <tableColumn id="62" xr3:uid="{00000000-0010-0000-0300-00003E000000}" name="PF3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8" displayName="Table8" ref="A1:BJ76" totalsRowShown="0">
  <autoFilter ref="A1:BJ76" xr:uid="{00000000-0009-0000-0100-000008000000}"/>
  <tableColumns count="62">
    <tableColumn id="1" xr3:uid="{00000000-0010-0000-0400-000001000000}" name="Main thematic areas*_x000a_*referring to EGD Objectives set out in COM(2019) 640 final ANNEX"/>
    <tableColumn id="2" xr3:uid="{00000000-0010-0000-0400-000002000000}" name="Actions*_x000a_*referring to EGD Objectives set out in COM(2019) 640 ANNEX"/>
    <tableColumn id="3" xr3:uid="{00000000-0010-0000-0400-000003000000}" name="Key Policy documents "/>
    <tableColumn id="4" xr3:uid="{00000000-0010-0000-0400-000004000000}" name="Type of Document"/>
    <tableColumn id="5" xr3:uid="{00000000-0010-0000-0400-000005000000}" name="Year of publication"/>
    <tableColumn id="6" xr3:uid="{00000000-0010-0000-0400-000006000000}" name="Binding doc"/>
    <tableColumn id="7" xr3:uid="{00000000-0010-0000-0400-000007000000}" name="Type target"/>
    <tableColumn id="8" xr3:uid="{00000000-0010-0000-0400-000008000000}" name="Targets from legal acts"/>
    <tableColumn id="9" xr3:uid="{00000000-0010-0000-0400-000009000000}" name="Targets from Proposal"/>
    <tableColumn id="10" xr3:uid="{00000000-0010-0000-0400-00000A000000}" name="n"/>
    <tableColumn id="11" xr3:uid="{00000000-0010-0000-0400-00000B000000}" name="Targets"/>
    <tableColumn id="12" xr3:uid="{00000000-0010-0000-0400-00000C000000}" name="Timeline"/>
    <tableColumn id="13" xr3:uid="{00000000-0010-0000-0400-00000D000000}" name="Quantified"/>
    <tableColumn id="14" xr3:uid="{00000000-0010-0000-0400-00000E000000}" name="Comments"/>
    <tableColumn id="15" xr3:uid="{00000000-0010-0000-0400-00000F000000}" name="Fiche"/>
    <tableColumn id="16" xr3:uid="{00000000-0010-0000-0400-000010000000}" name="Indicator"/>
    <tableColumn id="17" xr3:uid="{00000000-0010-0000-0400-000011000000}" name="Quantitative Target"/>
    <tableColumn id="18" xr3:uid="{00000000-0010-0000-0400-000012000000}" name="Distance to Target (GAP)"/>
    <tableColumn id="19" xr3:uid="{00000000-0010-0000-0400-000013000000}" name="Trend"/>
    <tableColumn id="20" xr3:uid="{00000000-0010-0000-0400-000014000000}" name="Colour"/>
    <tableColumn id="21" xr3:uid="{00000000-0010-0000-0400-000015000000}" name="Indicator 8th EAP"/>
    <tableColumn id="22" xr3:uid="{00000000-0010-0000-0400-000016000000}" name="Comments (data used by EAP/presence of gap analysis in EAP)"/>
    <tableColumn id="23" xr3:uid="{00000000-0010-0000-0400-000017000000}" name="Subtopic"/>
    <tableColumn id="24" xr3:uid="{00000000-0010-0000-0400-000018000000}" name="Other topics related"/>
    <tableColumn id="25" xr3:uid="{00000000-0010-0000-0400-000019000000}" name="Main SDG Targets related (draft)"/>
    <tableColumn id="26" xr3:uid="{00000000-0010-0000-0400-00001A000000}" name="SDG goal"/>
    <tableColumn id="27" xr3:uid="{00000000-0010-0000-0400-00001B000000}" name="Origin of main dataset"/>
    <tableColumn id="28" xr3:uid="{00000000-0010-0000-0400-00001C000000}" name="Link to main possible dataset"/>
    <tableColumn id="29" xr3:uid="{00000000-0010-0000-0400-00001D000000}" name="Alternative / complementary dataset 1"/>
    <tableColumn id="30" xr3:uid="{00000000-0010-0000-0400-00001E000000}" name="Alternative /complementary dataset 2"/>
    <tableColumn id="31" xr3:uid="{00000000-0010-0000-0400-00001F000000}" name="PF2"/>
    <tableColumn id="32" xr3:uid="{00000000-0010-0000-0400-000020000000}" name="PF3"/>
    <tableColumn id="33" xr3:uid="{00000000-0010-0000-0400-000021000000}" name="PF4"/>
    <tableColumn id="34" xr3:uid="{00000000-0010-0000-0400-000022000000}" name="PF5"/>
    <tableColumn id="35" xr3:uid="{00000000-0010-0000-0400-000023000000}" name="PF6"/>
    <tableColumn id="36" xr3:uid="{00000000-0010-0000-0400-000024000000}" name="PF7"/>
    <tableColumn id="37" xr3:uid="{00000000-0010-0000-0400-000025000000}" name="PF8"/>
    <tableColumn id="38" xr3:uid="{00000000-0010-0000-0400-000026000000}" name="PF9"/>
    <tableColumn id="39" xr3:uid="{00000000-0010-0000-0400-000027000000}" name="PF10"/>
    <tableColumn id="40" xr3:uid="{00000000-0010-0000-0400-000028000000}" name="PF11"/>
    <tableColumn id="41" xr3:uid="{00000000-0010-0000-0400-000029000000}" name="PF12"/>
    <tableColumn id="42" xr3:uid="{00000000-0010-0000-0400-00002A000000}" name="PF13"/>
    <tableColumn id="43" xr3:uid="{00000000-0010-0000-0400-00002B000000}" name="PF14"/>
    <tableColumn id="44" xr3:uid="{00000000-0010-0000-0400-00002C000000}" name="PF15"/>
    <tableColumn id="45" xr3:uid="{00000000-0010-0000-0400-00002D000000}" name="PF16"/>
    <tableColumn id="46" xr3:uid="{00000000-0010-0000-0400-00002E000000}" name="PF17"/>
    <tableColumn id="47" xr3:uid="{00000000-0010-0000-0400-00002F000000}" name="PF18"/>
    <tableColumn id="48" xr3:uid="{00000000-0010-0000-0400-000030000000}" name="PF19"/>
    <tableColumn id="49" xr3:uid="{00000000-0010-0000-0400-000031000000}" name="PF20"/>
    <tableColumn id="50" xr3:uid="{00000000-0010-0000-0400-000032000000}" name="PF21"/>
    <tableColumn id="51" xr3:uid="{00000000-0010-0000-0400-000033000000}" name="PF22"/>
    <tableColumn id="52" xr3:uid="{00000000-0010-0000-0400-000034000000}" name="PF23"/>
    <tableColumn id="53" xr3:uid="{00000000-0010-0000-0400-000035000000}" name="PF24"/>
    <tableColumn id="54" xr3:uid="{00000000-0010-0000-0400-000036000000}" name="PF25"/>
    <tableColumn id="55" xr3:uid="{00000000-0010-0000-0400-000037000000}" name="PF26"/>
    <tableColumn id="56" xr3:uid="{00000000-0010-0000-0400-000038000000}" name="PF27"/>
    <tableColumn id="57" xr3:uid="{00000000-0010-0000-0400-000039000000}" name="PF28"/>
    <tableColumn id="58" xr3:uid="{00000000-0010-0000-0400-00003A000000}" name="PF29"/>
    <tableColumn id="59" xr3:uid="{00000000-0010-0000-0400-00003B000000}" name="PF30"/>
    <tableColumn id="60" xr3:uid="{00000000-0010-0000-0400-00003C000000}" name="PF31"/>
    <tableColumn id="61" xr3:uid="{00000000-0010-0000-0400-00003D000000}" name="PF32"/>
    <tableColumn id="62" xr3:uid="{00000000-0010-0000-0400-00003E000000}" name="PF3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9" displayName="Table9" ref="A1:BJ76" totalsRowShown="0">
  <autoFilter ref="A1:BJ76" xr:uid="{00000000-0009-0000-0100-000009000000}">
    <filterColumn colId="12">
      <filters>
        <filter val="1"/>
      </filters>
    </filterColumn>
  </autoFilter>
  <tableColumns count="62">
    <tableColumn id="1" xr3:uid="{00000000-0010-0000-0500-000001000000}" name="Main thematic areas*_x000a_*referring to EGD Objectives set out in COM(2019) 640 final ANNEX"/>
    <tableColumn id="2" xr3:uid="{00000000-0010-0000-0500-000002000000}" name="Actions*_x000a_*referring to EGD Objectives set out in COM(2019) 640 ANNEX"/>
    <tableColumn id="3" xr3:uid="{00000000-0010-0000-0500-000003000000}" name="Key Policy documents "/>
    <tableColumn id="4" xr3:uid="{00000000-0010-0000-0500-000004000000}" name="Type of Document"/>
    <tableColumn id="5" xr3:uid="{00000000-0010-0000-0500-000005000000}" name="Year of publication"/>
    <tableColumn id="6" xr3:uid="{00000000-0010-0000-0500-000006000000}" name="Binding doc"/>
    <tableColumn id="7" xr3:uid="{00000000-0010-0000-0500-000007000000}" name="Type target"/>
    <tableColumn id="8" xr3:uid="{00000000-0010-0000-0500-000008000000}" name="Targets from legal acts"/>
    <tableColumn id="9" xr3:uid="{00000000-0010-0000-0500-000009000000}" name="Targets from Proposal"/>
    <tableColumn id="10" xr3:uid="{00000000-0010-0000-0500-00000A000000}" name="n"/>
    <tableColumn id="11" xr3:uid="{00000000-0010-0000-0500-00000B000000}" name="Targets"/>
    <tableColumn id="12" xr3:uid="{00000000-0010-0000-0500-00000C000000}" name="Timeline"/>
    <tableColumn id="13" xr3:uid="{00000000-0010-0000-0500-00000D000000}" name="Quantified"/>
    <tableColumn id="14" xr3:uid="{00000000-0010-0000-0500-00000E000000}" name="Comments"/>
    <tableColumn id="15" xr3:uid="{00000000-0010-0000-0500-00000F000000}" name="Fiche"/>
    <tableColumn id="16" xr3:uid="{00000000-0010-0000-0500-000010000000}" name="Indicator"/>
    <tableColumn id="17" xr3:uid="{00000000-0010-0000-0500-000011000000}" name="Quantitative Target"/>
    <tableColumn id="18" xr3:uid="{00000000-0010-0000-0500-000012000000}" name="Distance to Target (GAP)"/>
    <tableColumn id="19" xr3:uid="{00000000-0010-0000-0500-000013000000}" name="Trend"/>
    <tableColumn id="20" xr3:uid="{00000000-0010-0000-0500-000014000000}" name="Colour"/>
    <tableColumn id="21" xr3:uid="{00000000-0010-0000-0500-000015000000}" name="Indicator 8th EAP"/>
    <tableColumn id="22" xr3:uid="{00000000-0010-0000-0500-000016000000}" name="Comments (data used by EAP/presence of gap analysis in EAP)"/>
    <tableColumn id="23" xr3:uid="{00000000-0010-0000-0500-000017000000}" name="Subtopic"/>
    <tableColumn id="24" xr3:uid="{00000000-0010-0000-0500-000018000000}" name="Other topics related"/>
    <tableColumn id="25" xr3:uid="{00000000-0010-0000-0500-000019000000}" name="Main SDG Targets related (draft)"/>
    <tableColumn id="26" xr3:uid="{00000000-0010-0000-0500-00001A000000}" name="SDG goal"/>
    <tableColumn id="27" xr3:uid="{00000000-0010-0000-0500-00001B000000}" name="Origin of main dataset"/>
    <tableColumn id="28" xr3:uid="{00000000-0010-0000-0500-00001C000000}" name="Link to main possible dataset"/>
    <tableColumn id="29" xr3:uid="{00000000-0010-0000-0500-00001D000000}" name="Alternative / complementary dataset 1"/>
    <tableColumn id="30" xr3:uid="{00000000-0010-0000-0500-00001E000000}" name="Alternative /complementary dataset 2"/>
    <tableColumn id="31" xr3:uid="{00000000-0010-0000-0500-00001F000000}" name="PF2"/>
    <tableColumn id="32" xr3:uid="{00000000-0010-0000-0500-000020000000}" name="PF3"/>
    <tableColumn id="33" xr3:uid="{00000000-0010-0000-0500-000021000000}" name="PF4"/>
    <tableColumn id="34" xr3:uid="{00000000-0010-0000-0500-000022000000}" name="PF5"/>
    <tableColumn id="35" xr3:uid="{00000000-0010-0000-0500-000023000000}" name="PF6"/>
    <tableColumn id="36" xr3:uid="{00000000-0010-0000-0500-000024000000}" name="PF7"/>
    <tableColumn id="37" xr3:uid="{00000000-0010-0000-0500-000025000000}" name="PF8"/>
    <tableColumn id="38" xr3:uid="{00000000-0010-0000-0500-000026000000}" name="PF9"/>
    <tableColumn id="39" xr3:uid="{00000000-0010-0000-0500-000027000000}" name="PF10"/>
    <tableColumn id="40" xr3:uid="{00000000-0010-0000-0500-000028000000}" name="PF11"/>
    <tableColumn id="41" xr3:uid="{00000000-0010-0000-0500-000029000000}" name="PF12"/>
    <tableColumn id="42" xr3:uid="{00000000-0010-0000-0500-00002A000000}" name="PF13"/>
    <tableColumn id="43" xr3:uid="{00000000-0010-0000-0500-00002B000000}" name="PF14"/>
    <tableColumn id="44" xr3:uid="{00000000-0010-0000-0500-00002C000000}" name="PF15"/>
    <tableColumn id="45" xr3:uid="{00000000-0010-0000-0500-00002D000000}" name="PF16"/>
    <tableColumn id="46" xr3:uid="{00000000-0010-0000-0500-00002E000000}" name="PF17"/>
    <tableColumn id="47" xr3:uid="{00000000-0010-0000-0500-00002F000000}" name="PF18"/>
    <tableColumn id="48" xr3:uid="{00000000-0010-0000-0500-000030000000}" name="PF19"/>
    <tableColumn id="49" xr3:uid="{00000000-0010-0000-0500-000031000000}" name="PF20"/>
    <tableColumn id="50" xr3:uid="{00000000-0010-0000-0500-000032000000}" name="PF21"/>
    <tableColumn id="51" xr3:uid="{00000000-0010-0000-0500-000033000000}" name="PF22"/>
    <tableColumn id="52" xr3:uid="{00000000-0010-0000-0500-000034000000}" name="PF23"/>
    <tableColumn id="53" xr3:uid="{00000000-0010-0000-0500-000035000000}" name="PF24"/>
    <tableColumn id="54" xr3:uid="{00000000-0010-0000-0500-000036000000}" name="PF25"/>
    <tableColumn id="55" xr3:uid="{00000000-0010-0000-0500-000037000000}" name="PF26"/>
    <tableColumn id="56" xr3:uid="{00000000-0010-0000-0500-000038000000}" name="PF27"/>
    <tableColumn id="57" xr3:uid="{00000000-0010-0000-0500-000039000000}" name="PF28"/>
    <tableColumn id="58" xr3:uid="{00000000-0010-0000-0500-00003A000000}" name="PF29"/>
    <tableColumn id="59" xr3:uid="{00000000-0010-0000-0500-00003B000000}" name="PF30"/>
    <tableColumn id="60" xr3:uid="{00000000-0010-0000-0500-00003C000000}" name="PF31"/>
    <tableColumn id="61" xr3:uid="{00000000-0010-0000-0500-00003D000000}" name="PF32"/>
    <tableColumn id="62" xr3:uid="{00000000-0010-0000-0500-00003E000000}" name="PF3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able10" displayName="Table10" ref="A1:BJ49" totalsRowShown="0">
  <autoFilter ref="A1:BJ49" xr:uid="{00000000-0009-0000-0100-00000A000000}">
    <filterColumn colId="9">
      <customFilters>
        <customFilter operator="notEqual" val=" "/>
      </customFilters>
    </filterColumn>
  </autoFilter>
  <tableColumns count="62">
    <tableColumn id="1" xr3:uid="{00000000-0010-0000-0600-000001000000}" name="Main thematic areas*_x000a_*referring to EGD Objectives set out in COM(2019) 640 final ANNEX"/>
    <tableColumn id="2" xr3:uid="{00000000-0010-0000-0600-000002000000}" name="Actions*_x000a_*referring to EGD Objectives set out in COM(2019) 640 ANNEX"/>
    <tableColumn id="3" xr3:uid="{00000000-0010-0000-0600-000003000000}" name="Key Policy documents "/>
    <tableColumn id="4" xr3:uid="{00000000-0010-0000-0600-000004000000}" name="Type of Document"/>
    <tableColumn id="5" xr3:uid="{00000000-0010-0000-0600-000005000000}" name="Year of publication"/>
    <tableColumn id="6" xr3:uid="{00000000-0010-0000-0600-000006000000}" name="Binding doc"/>
    <tableColumn id="7" xr3:uid="{00000000-0010-0000-0600-000007000000}" name="Type target"/>
    <tableColumn id="8" xr3:uid="{00000000-0010-0000-0600-000008000000}" name="Targets from legal acts"/>
    <tableColumn id="9" xr3:uid="{00000000-0010-0000-0600-000009000000}" name="Targets from Proposal"/>
    <tableColumn id="10" xr3:uid="{00000000-0010-0000-0600-00000A000000}" name="n"/>
    <tableColumn id="11" xr3:uid="{00000000-0010-0000-0600-00000B000000}" name="Targets"/>
    <tableColumn id="12" xr3:uid="{00000000-0010-0000-0600-00000C000000}" name="Timeline"/>
    <tableColumn id="13" xr3:uid="{00000000-0010-0000-0600-00000D000000}" name="Quantified"/>
    <tableColumn id="14" xr3:uid="{00000000-0010-0000-0600-00000E000000}" name="Comments"/>
    <tableColumn id="15" xr3:uid="{00000000-0010-0000-0600-00000F000000}" name="Fiche"/>
    <tableColumn id="16" xr3:uid="{00000000-0010-0000-0600-000010000000}" name="Indicator"/>
    <tableColumn id="17" xr3:uid="{00000000-0010-0000-0600-000011000000}" name="Quantitative Target"/>
    <tableColumn id="18" xr3:uid="{00000000-0010-0000-0600-000012000000}" name="Distance to Target (GAP)"/>
    <tableColumn id="19" xr3:uid="{00000000-0010-0000-0600-000013000000}" name="Trend"/>
    <tableColumn id="20" xr3:uid="{00000000-0010-0000-0600-000014000000}" name="Colour"/>
    <tableColumn id="21" xr3:uid="{00000000-0010-0000-0600-000015000000}" name="Indicator 8th EAP"/>
    <tableColumn id="22" xr3:uid="{00000000-0010-0000-0600-000016000000}" name="Comments (data used by EAP/presence of gap analysis in EAP)"/>
    <tableColumn id="23" xr3:uid="{00000000-0010-0000-0600-000017000000}" name="Subtopic"/>
    <tableColumn id="24" xr3:uid="{00000000-0010-0000-0600-000018000000}" name="Other topics related"/>
    <tableColumn id="25" xr3:uid="{00000000-0010-0000-0600-000019000000}" name="Main SDG Targets related (draft)"/>
    <tableColumn id="26" xr3:uid="{00000000-0010-0000-0600-00001A000000}" name="SDG goal"/>
    <tableColumn id="27" xr3:uid="{00000000-0010-0000-0600-00001B000000}" name="Origin of main dataset"/>
    <tableColumn id="28" xr3:uid="{00000000-0010-0000-0600-00001C000000}" name="Link to main possible dataset"/>
    <tableColumn id="29" xr3:uid="{00000000-0010-0000-0600-00001D000000}" name="Alternative / complementary dataset 1"/>
    <tableColumn id="30" xr3:uid="{00000000-0010-0000-0600-00001E000000}" name="Alternative /complementary dataset 2"/>
    <tableColumn id="31" xr3:uid="{00000000-0010-0000-0600-00001F000000}" name="PF2"/>
    <tableColumn id="32" xr3:uid="{00000000-0010-0000-0600-000020000000}" name="PF3"/>
    <tableColumn id="33" xr3:uid="{00000000-0010-0000-0600-000021000000}" name="PF4"/>
    <tableColumn id="34" xr3:uid="{00000000-0010-0000-0600-000022000000}" name="PF5"/>
    <tableColumn id="35" xr3:uid="{00000000-0010-0000-0600-000023000000}" name="PF6"/>
    <tableColumn id="36" xr3:uid="{00000000-0010-0000-0600-000024000000}" name="PF7"/>
    <tableColumn id="37" xr3:uid="{00000000-0010-0000-0600-000025000000}" name="PF8"/>
    <tableColumn id="38" xr3:uid="{00000000-0010-0000-0600-000026000000}" name="PF9"/>
    <tableColumn id="39" xr3:uid="{00000000-0010-0000-0600-000027000000}" name="PF10"/>
    <tableColumn id="40" xr3:uid="{00000000-0010-0000-0600-000028000000}" name="PF11"/>
    <tableColumn id="41" xr3:uid="{00000000-0010-0000-0600-000029000000}" name="PF12"/>
    <tableColumn id="42" xr3:uid="{00000000-0010-0000-0600-00002A000000}" name="PF13"/>
    <tableColumn id="43" xr3:uid="{00000000-0010-0000-0600-00002B000000}" name="PF14"/>
    <tableColumn id="44" xr3:uid="{00000000-0010-0000-0600-00002C000000}" name="PF15"/>
    <tableColumn id="45" xr3:uid="{00000000-0010-0000-0600-00002D000000}" name="PF16"/>
    <tableColumn id="46" xr3:uid="{00000000-0010-0000-0600-00002E000000}" name="PF17"/>
    <tableColumn id="47" xr3:uid="{00000000-0010-0000-0600-00002F000000}" name="PF18"/>
    <tableColumn id="48" xr3:uid="{00000000-0010-0000-0600-000030000000}" name="PF19"/>
    <tableColumn id="49" xr3:uid="{00000000-0010-0000-0600-000031000000}" name="PF20"/>
    <tableColumn id="50" xr3:uid="{00000000-0010-0000-0600-000032000000}" name="PF21"/>
    <tableColumn id="51" xr3:uid="{00000000-0010-0000-0600-000033000000}" name="PF22"/>
    <tableColumn id="52" xr3:uid="{00000000-0010-0000-0600-000034000000}" name="PF23"/>
    <tableColumn id="53" xr3:uid="{00000000-0010-0000-0600-000035000000}" name="PF24"/>
    <tableColumn id="54" xr3:uid="{00000000-0010-0000-0600-000036000000}" name="PF25"/>
    <tableColumn id="55" xr3:uid="{00000000-0010-0000-0600-000037000000}" name="PF26"/>
    <tableColumn id="56" xr3:uid="{00000000-0010-0000-0600-000038000000}" name="PF27"/>
    <tableColumn id="57" xr3:uid="{00000000-0010-0000-0600-000039000000}" name="PF28"/>
    <tableColumn id="58" xr3:uid="{00000000-0010-0000-0600-00003A000000}" name="PF29"/>
    <tableColumn id="59" xr3:uid="{00000000-0010-0000-0600-00003B000000}" name="PF30"/>
    <tableColumn id="60" xr3:uid="{00000000-0010-0000-0600-00003C000000}" name="PF31"/>
    <tableColumn id="61" xr3:uid="{00000000-0010-0000-0600-00003D000000}" name="PF32"/>
    <tableColumn id="62" xr3:uid="{00000000-0010-0000-0600-00003E000000}" name="PF3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e11" displayName="Table11" ref="A1:BJ49" totalsRowShown="0">
  <autoFilter ref="A1:BJ49" xr:uid="{00000000-0009-0000-0100-00000B000000}">
    <filterColumn colId="9">
      <customFilters>
        <customFilter operator="notEqual" val=" "/>
      </customFilters>
    </filterColumn>
  </autoFilter>
  <tableColumns count="62">
    <tableColumn id="1" xr3:uid="{00000000-0010-0000-0700-000001000000}" name="Main thematic areas*_x000a_*referring to EGD Objectives set out in COM(2019) 640 final ANNEX"/>
    <tableColumn id="2" xr3:uid="{00000000-0010-0000-0700-000002000000}" name="Actions*_x000a_*referring to EGD Objectives set out in COM(2019) 640 ANNEX"/>
    <tableColumn id="3" xr3:uid="{00000000-0010-0000-0700-000003000000}" name="Key Policy documents "/>
    <tableColumn id="4" xr3:uid="{00000000-0010-0000-0700-000004000000}" name="Type of Document"/>
    <tableColumn id="5" xr3:uid="{00000000-0010-0000-0700-000005000000}" name="Year of publication"/>
    <tableColumn id="6" xr3:uid="{00000000-0010-0000-0700-000006000000}" name="Binding doc"/>
    <tableColumn id="7" xr3:uid="{00000000-0010-0000-0700-000007000000}" name="Type target"/>
    <tableColumn id="8" xr3:uid="{00000000-0010-0000-0700-000008000000}" name="Targets from legal acts"/>
    <tableColumn id="9" xr3:uid="{00000000-0010-0000-0700-000009000000}" name="Targets from Proposal"/>
    <tableColumn id="10" xr3:uid="{00000000-0010-0000-0700-00000A000000}" name="n"/>
    <tableColumn id="11" xr3:uid="{00000000-0010-0000-0700-00000B000000}" name="Targets"/>
    <tableColumn id="12" xr3:uid="{00000000-0010-0000-0700-00000C000000}" name="Timeline"/>
    <tableColumn id="13" xr3:uid="{00000000-0010-0000-0700-00000D000000}" name="Quantified"/>
    <tableColumn id="14" xr3:uid="{00000000-0010-0000-0700-00000E000000}" name="Comments"/>
    <tableColumn id="15" xr3:uid="{00000000-0010-0000-0700-00000F000000}" name="Fiche"/>
    <tableColumn id="16" xr3:uid="{00000000-0010-0000-0700-000010000000}" name="Indicator"/>
    <tableColumn id="17" xr3:uid="{00000000-0010-0000-0700-000011000000}" name="Quantitative Target"/>
    <tableColumn id="18" xr3:uid="{00000000-0010-0000-0700-000012000000}" name="Distance to Target (GAP)"/>
    <tableColumn id="19" xr3:uid="{00000000-0010-0000-0700-000013000000}" name="Trend"/>
    <tableColumn id="20" xr3:uid="{00000000-0010-0000-0700-000014000000}" name="Colour"/>
    <tableColumn id="21" xr3:uid="{00000000-0010-0000-0700-000015000000}" name="Indicator 8th EAP"/>
    <tableColumn id="22" xr3:uid="{00000000-0010-0000-0700-000016000000}" name="Comments (data used by EAP/presence of gap analysis in EAP)"/>
    <tableColumn id="23" xr3:uid="{00000000-0010-0000-0700-000017000000}" name="Subtopic"/>
    <tableColumn id="24" xr3:uid="{00000000-0010-0000-0700-000018000000}" name="Other topics related"/>
    <tableColumn id="25" xr3:uid="{00000000-0010-0000-0700-000019000000}" name="Main SDG Targets related (draft)"/>
    <tableColumn id="26" xr3:uid="{00000000-0010-0000-0700-00001A000000}" name="SDG goal"/>
    <tableColumn id="27" xr3:uid="{00000000-0010-0000-0700-00001B000000}" name="Origin of main dataset"/>
    <tableColumn id="28" xr3:uid="{00000000-0010-0000-0700-00001C000000}" name="Link to main possible dataset"/>
    <tableColumn id="29" xr3:uid="{00000000-0010-0000-0700-00001D000000}" name="Alternative / complementary dataset 1"/>
    <tableColumn id="30" xr3:uid="{00000000-0010-0000-0700-00001E000000}" name="Alternative /complementary dataset 2"/>
    <tableColumn id="31" xr3:uid="{00000000-0010-0000-0700-00001F000000}" name="PF2"/>
    <tableColumn id="32" xr3:uid="{00000000-0010-0000-0700-000020000000}" name="PF3"/>
    <tableColumn id="33" xr3:uid="{00000000-0010-0000-0700-000021000000}" name="PF4"/>
    <tableColumn id="34" xr3:uid="{00000000-0010-0000-0700-000022000000}" name="PF5"/>
    <tableColumn id="35" xr3:uid="{00000000-0010-0000-0700-000023000000}" name="PF6"/>
    <tableColumn id="36" xr3:uid="{00000000-0010-0000-0700-000024000000}" name="PF7"/>
    <tableColumn id="37" xr3:uid="{00000000-0010-0000-0700-000025000000}" name="PF8"/>
    <tableColumn id="38" xr3:uid="{00000000-0010-0000-0700-000026000000}" name="PF9"/>
    <tableColumn id="39" xr3:uid="{00000000-0010-0000-0700-000027000000}" name="PF10"/>
    <tableColumn id="40" xr3:uid="{00000000-0010-0000-0700-000028000000}" name="PF11"/>
    <tableColumn id="41" xr3:uid="{00000000-0010-0000-0700-000029000000}" name="PF12"/>
    <tableColumn id="42" xr3:uid="{00000000-0010-0000-0700-00002A000000}" name="PF13"/>
    <tableColumn id="43" xr3:uid="{00000000-0010-0000-0700-00002B000000}" name="PF14"/>
    <tableColumn id="44" xr3:uid="{00000000-0010-0000-0700-00002C000000}" name="PF15"/>
    <tableColumn id="45" xr3:uid="{00000000-0010-0000-0700-00002D000000}" name="PF16"/>
    <tableColumn id="46" xr3:uid="{00000000-0010-0000-0700-00002E000000}" name="PF17"/>
    <tableColumn id="47" xr3:uid="{00000000-0010-0000-0700-00002F000000}" name="PF18"/>
    <tableColumn id="48" xr3:uid="{00000000-0010-0000-0700-000030000000}" name="PF19"/>
    <tableColumn id="49" xr3:uid="{00000000-0010-0000-0700-000031000000}" name="PF20"/>
    <tableColumn id="50" xr3:uid="{00000000-0010-0000-0700-000032000000}" name="PF21"/>
    <tableColumn id="51" xr3:uid="{00000000-0010-0000-0700-000033000000}" name="PF22"/>
    <tableColumn id="52" xr3:uid="{00000000-0010-0000-0700-000034000000}" name="PF23"/>
    <tableColumn id="53" xr3:uid="{00000000-0010-0000-0700-000035000000}" name="PF24"/>
    <tableColumn id="54" xr3:uid="{00000000-0010-0000-0700-000036000000}" name="PF25"/>
    <tableColumn id="55" xr3:uid="{00000000-0010-0000-0700-000037000000}" name="PF26"/>
    <tableColumn id="56" xr3:uid="{00000000-0010-0000-0700-000038000000}" name="PF27"/>
    <tableColumn id="57" xr3:uid="{00000000-0010-0000-0700-000039000000}" name="PF28"/>
    <tableColumn id="58" xr3:uid="{00000000-0010-0000-0700-00003A000000}" name="PF29"/>
    <tableColumn id="59" xr3:uid="{00000000-0010-0000-0700-00003B000000}" name="PF30"/>
    <tableColumn id="60" xr3:uid="{00000000-0010-0000-0700-00003C000000}" name="PF31"/>
    <tableColumn id="61" xr3:uid="{00000000-0010-0000-0700-00003D000000}" name="PF32"/>
    <tableColumn id="62" xr3:uid="{00000000-0010-0000-0700-00003E000000}" name="PF3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8000000}" name="Table12" displayName="Table12" ref="A1:BJ49" totalsRowShown="0">
  <autoFilter ref="A1:BJ49" xr:uid="{00000000-0009-0000-0100-00000C000000}">
    <filterColumn colId="9">
      <customFilters>
        <customFilter operator="notEqual" val=" "/>
      </customFilters>
    </filterColumn>
  </autoFilter>
  <tableColumns count="62">
    <tableColumn id="1" xr3:uid="{00000000-0010-0000-0800-000001000000}" name="Main thematic areas*_x000a_*referring to EGD Objectives set out in COM(2019) 640 final ANNEX"/>
    <tableColumn id="2" xr3:uid="{00000000-0010-0000-0800-000002000000}" name="Actions*_x000a_*referring to EGD Objectives set out in COM(2019) 640 ANNEX"/>
    <tableColumn id="3" xr3:uid="{00000000-0010-0000-0800-000003000000}" name="Key Policy documents "/>
    <tableColumn id="4" xr3:uid="{00000000-0010-0000-0800-000004000000}" name="Type of Document"/>
    <tableColumn id="5" xr3:uid="{00000000-0010-0000-0800-000005000000}" name="Year of publication"/>
    <tableColumn id="6" xr3:uid="{00000000-0010-0000-0800-000006000000}" name="Binding doc"/>
    <tableColumn id="7" xr3:uid="{00000000-0010-0000-0800-000007000000}" name="Type target"/>
    <tableColumn id="8" xr3:uid="{00000000-0010-0000-0800-000008000000}" name="Targets from legal acts"/>
    <tableColumn id="9" xr3:uid="{00000000-0010-0000-0800-000009000000}" name="Targets from Proposal"/>
    <tableColumn id="10" xr3:uid="{00000000-0010-0000-0800-00000A000000}" name="n"/>
    <tableColumn id="11" xr3:uid="{00000000-0010-0000-0800-00000B000000}" name="Targets"/>
    <tableColumn id="12" xr3:uid="{00000000-0010-0000-0800-00000C000000}" name="Timeline"/>
    <tableColumn id="13" xr3:uid="{00000000-0010-0000-0800-00000D000000}" name="Quantified"/>
    <tableColumn id="14" xr3:uid="{00000000-0010-0000-0800-00000E000000}" name="Comments"/>
    <tableColumn id="15" xr3:uid="{00000000-0010-0000-0800-00000F000000}" name="Fiche"/>
    <tableColumn id="16" xr3:uid="{00000000-0010-0000-0800-000010000000}" name="Indicator"/>
    <tableColumn id="17" xr3:uid="{00000000-0010-0000-0800-000011000000}" name="Quantitative Target"/>
    <tableColumn id="18" xr3:uid="{00000000-0010-0000-0800-000012000000}" name="Distance to Target (GAP)"/>
    <tableColumn id="19" xr3:uid="{00000000-0010-0000-0800-000013000000}" name="Trend"/>
    <tableColumn id="20" xr3:uid="{00000000-0010-0000-0800-000014000000}" name="Colour"/>
    <tableColumn id="21" xr3:uid="{00000000-0010-0000-0800-000015000000}" name="Indicator 8th EAP"/>
    <tableColumn id="22" xr3:uid="{00000000-0010-0000-0800-000016000000}" name="Comments (data used by EAP/presence of gap analysis in EAP)"/>
    <tableColumn id="23" xr3:uid="{00000000-0010-0000-0800-000017000000}" name="Subtopic"/>
    <tableColumn id="24" xr3:uid="{00000000-0010-0000-0800-000018000000}" name="Other topics related"/>
    <tableColumn id="25" xr3:uid="{00000000-0010-0000-0800-000019000000}" name="Main SDG Targets related (draft)"/>
    <tableColumn id="26" xr3:uid="{00000000-0010-0000-0800-00001A000000}" name="SDG goal"/>
    <tableColumn id="27" xr3:uid="{00000000-0010-0000-0800-00001B000000}" name="Origin of main dataset"/>
    <tableColumn id="28" xr3:uid="{00000000-0010-0000-0800-00001C000000}" name="Link to main possible dataset"/>
    <tableColumn id="29" xr3:uid="{00000000-0010-0000-0800-00001D000000}" name="Alternative / complementary dataset 1"/>
    <tableColumn id="30" xr3:uid="{00000000-0010-0000-0800-00001E000000}" name="Alternative /complementary dataset 2"/>
    <tableColumn id="31" xr3:uid="{00000000-0010-0000-0800-00001F000000}" name="PF2"/>
    <tableColumn id="32" xr3:uid="{00000000-0010-0000-0800-000020000000}" name="PF3"/>
    <tableColumn id="33" xr3:uid="{00000000-0010-0000-0800-000021000000}" name="PF4"/>
    <tableColumn id="34" xr3:uid="{00000000-0010-0000-0800-000022000000}" name="PF5"/>
    <tableColumn id="35" xr3:uid="{00000000-0010-0000-0800-000023000000}" name="PF6"/>
    <tableColumn id="36" xr3:uid="{00000000-0010-0000-0800-000024000000}" name="PF7"/>
    <tableColumn id="37" xr3:uid="{00000000-0010-0000-0800-000025000000}" name="PF8"/>
    <tableColumn id="38" xr3:uid="{00000000-0010-0000-0800-000026000000}" name="PF9"/>
    <tableColumn id="39" xr3:uid="{00000000-0010-0000-0800-000027000000}" name="PF10"/>
    <tableColumn id="40" xr3:uid="{00000000-0010-0000-0800-000028000000}" name="PF11"/>
    <tableColumn id="41" xr3:uid="{00000000-0010-0000-0800-000029000000}" name="PF12"/>
    <tableColumn id="42" xr3:uid="{00000000-0010-0000-0800-00002A000000}" name="PF13"/>
    <tableColumn id="43" xr3:uid="{00000000-0010-0000-0800-00002B000000}" name="PF14"/>
    <tableColumn id="44" xr3:uid="{00000000-0010-0000-0800-00002C000000}" name="PF15"/>
    <tableColumn id="45" xr3:uid="{00000000-0010-0000-0800-00002D000000}" name="PF16"/>
    <tableColumn id="46" xr3:uid="{00000000-0010-0000-0800-00002E000000}" name="PF17"/>
    <tableColumn id="47" xr3:uid="{00000000-0010-0000-0800-00002F000000}" name="PF18"/>
    <tableColumn id="48" xr3:uid="{00000000-0010-0000-0800-000030000000}" name="PF19"/>
    <tableColumn id="49" xr3:uid="{00000000-0010-0000-0800-000031000000}" name="PF20"/>
    <tableColumn id="50" xr3:uid="{00000000-0010-0000-0800-000032000000}" name="PF21"/>
    <tableColumn id="51" xr3:uid="{00000000-0010-0000-0800-000033000000}" name="PF22"/>
    <tableColumn id="52" xr3:uid="{00000000-0010-0000-0800-000034000000}" name="PF23"/>
    <tableColumn id="53" xr3:uid="{00000000-0010-0000-0800-000035000000}" name="PF24"/>
    <tableColumn id="54" xr3:uid="{00000000-0010-0000-0800-000036000000}" name="PF25"/>
    <tableColumn id="55" xr3:uid="{00000000-0010-0000-0800-000037000000}" name="PF26"/>
    <tableColumn id="56" xr3:uid="{00000000-0010-0000-0800-000038000000}" name="PF27"/>
    <tableColumn id="57" xr3:uid="{00000000-0010-0000-0800-000039000000}" name="PF28"/>
    <tableColumn id="58" xr3:uid="{00000000-0010-0000-0800-00003A000000}" name="PF29"/>
    <tableColumn id="59" xr3:uid="{00000000-0010-0000-0800-00003B000000}" name="PF30"/>
    <tableColumn id="60" xr3:uid="{00000000-0010-0000-0800-00003C000000}" name="PF31"/>
    <tableColumn id="61" xr3:uid="{00000000-0010-0000-0800-00003D000000}" name="PF32"/>
    <tableColumn id="62" xr3:uid="{00000000-0010-0000-0800-00003E000000}" name="PF3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Table13" displayName="Table13" ref="A1:BJ49" totalsRowShown="0">
  <autoFilter ref="A1:BJ49" xr:uid="{00000000-0009-0000-0100-00000D000000}">
    <filterColumn colId="12">
      <filters>
        <filter val="1"/>
      </filters>
    </filterColumn>
  </autoFilter>
  <tableColumns count="62">
    <tableColumn id="1" xr3:uid="{00000000-0010-0000-0900-000001000000}" name="Main thematic areas*_x000a_*referring to EGD Objectives set out in COM(2019) 640 final ANNEX"/>
    <tableColumn id="2" xr3:uid="{00000000-0010-0000-0900-000002000000}" name="Actions*_x000a_*referring to EGD Objectives set out in COM(2019) 640 ANNEX"/>
    <tableColumn id="3" xr3:uid="{00000000-0010-0000-0900-000003000000}" name="Key Policy documents "/>
    <tableColumn id="4" xr3:uid="{00000000-0010-0000-0900-000004000000}" name="Type of Document"/>
    <tableColumn id="5" xr3:uid="{00000000-0010-0000-0900-000005000000}" name="Year of publication"/>
    <tableColumn id="6" xr3:uid="{00000000-0010-0000-0900-000006000000}" name="Binding doc"/>
    <tableColumn id="7" xr3:uid="{00000000-0010-0000-0900-000007000000}" name="Type target"/>
    <tableColumn id="8" xr3:uid="{00000000-0010-0000-0900-000008000000}" name="Targets from legal acts"/>
    <tableColumn id="9" xr3:uid="{00000000-0010-0000-0900-000009000000}" name="Targets from Proposal"/>
    <tableColumn id="10" xr3:uid="{00000000-0010-0000-0900-00000A000000}" name="n"/>
    <tableColumn id="11" xr3:uid="{00000000-0010-0000-0900-00000B000000}" name="Targets"/>
    <tableColumn id="12" xr3:uid="{00000000-0010-0000-0900-00000C000000}" name="Timeline"/>
    <tableColumn id="13" xr3:uid="{00000000-0010-0000-0900-00000D000000}" name="Quantified"/>
    <tableColumn id="14" xr3:uid="{00000000-0010-0000-0900-00000E000000}" name="Comments"/>
    <tableColumn id="15" xr3:uid="{00000000-0010-0000-0900-00000F000000}" name="Fiche"/>
    <tableColumn id="16" xr3:uid="{00000000-0010-0000-0900-000010000000}" name="Indicator"/>
    <tableColumn id="17" xr3:uid="{00000000-0010-0000-0900-000011000000}" name="Quantitative Target"/>
    <tableColumn id="18" xr3:uid="{00000000-0010-0000-0900-000012000000}" name="Distance to Target (GAP)"/>
    <tableColumn id="19" xr3:uid="{00000000-0010-0000-0900-000013000000}" name="Trend"/>
    <tableColumn id="20" xr3:uid="{00000000-0010-0000-0900-000014000000}" name="Colour"/>
    <tableColumn id="21" xr3:uid="{00000000-0010-0000-0900-000015000000}" name="Indicator 8th EAP"/>
    <tableColumn id="22" xr3:uid="{00000000-0010-0000-0900-000016000000}" name="Comments (data used by EAP/presence of gap analysis in EAP)"/>
    <tableColumn id="23" xr3:uid="{00000000-0010-0000-0900-000017000000}" name="Subtopic"/>
    <tableColumn id="24" xr3:uid="{00000000-0010-0000-0900-000018000000}" name="Other topics related"/>
    <tableColumn id="25" xr3:uid="{00000000-0010-0000-0900-000019000000}" name="Main SDG Targets related (draft)"/>
    <tableColumn id="26" xr3:uid="{00000000-0010-0000-0900-00001A000000}" name="SDG goal"/>
    <tableColumn id="27" xr3:uid="{00000000-0010-0000-0900-00001B000000}" name="Origin of main dataset"/>
    <tableColumn id="28" xr3:uid="{00000000-0010-0000-0900-00001C000000}" name="Link to main possible dataset"/>
    <tableColumn id="29" xr3:uid="{00000000-0010-0000-0900-00001D000000}" name="Alternative / complementary dataset 1"/>
    <tableColumn id="30" xr3:uid="{00000000-0010-0000-0900-00001E000000}" name="Alternative /complementary dataset 2"/>
    <tableColumn id="31" xr3:uid="{00000000-0010-0000-0900-00001F000000}" name="PF2"/>
    <tableColumn id="32" xr3:uid="{00000000-0010-0000-0900-000020000000}" name="PF3"/>
    <tableColumn id="33" xr3:uid="{00000000-0010-0000-0900-000021000000}" name="PF4"/>
    <tableColumn id="34" xr3:uid="{00000000-0010-0000-0900-000022000000}" name="PF5"/>
    <tableColumn id="35" xr3:uid="{00000000-0010-0000-0900-000023000000}" name="PF6"/>
    <tableColumn id="36" xr3:uid="{00000000-0010-0000-0900-000024000000}" name="PF7"/>
    <tableColumn id="37" xr3:uid="{00000000-0010-0000-0900-000025000000}" name="PF8"/>
    <tableColumn id="38" xr3:uid="{00000000-0010-0000-0900-000026000000}" name="PF9"/>
    <tableColumn id="39" xr3:uid="{00000000-0010-0000-0900-000027000000}" name="PF10"/>
    <tableColumn id="40" xr3:uid="{00000000-0010-0000-0900-000028000000}" name="PF11"/>
    <tableColumn id="41" xr3:uid="{00000000-0010-0000-0900-000029000000}" name="PF12"/>
    <tableColumn id="42" xr3:uid="{00000000-0010-0000-0900-00002A000000}" name="PF13"/>
    <tableColumn id="43" xr3:uid="{00000000-0010-0000-0900-00002B000000}" name="PF14"/>
    <tableColumn id="44" xr3:uid="{00000000-0010-0000-0900-00002C000000}" name="PF15"/>
    <tableColumn id="45" xr3:uid="{00000000-0010-0000-0900-00002D000000}" name="PF16"/>
    <tableColumn id="46" xr3:uid="{00000000-0010-0000-0900-00002E000000}" name="PF17"/>
    <tableColumn id="47" xr3:uid="{00000000-0010-0000-0900-00002F000000}" name="PF18"/>
    <tableColumn id="48" xr3:uid="{00000000-0010-0000-0900-000030000000}" name="PF19"/>
    <tableColumn id="49" xr3:uid="{00000000-0010-0000-0900-000031000000}" name="PF20"/>
    <tableColumn id="50" xr3:uid="{00000000-0010-0000-0900-000032000000}" name="PF21"/>
    <tableColumn id="51" xr3:uid="{00000000-0010-0000-0900-000033000000}" name="PF22"/>
    <tableColumn id="52" xr3:uid="{00000000-0010-0000-0900-000034000000}" name="PF23"/>
    <tableColumn id="53" xr3:uid="{00000000-0010-0000-0900-000035000000}" name="PF24"/>
    <tableColumn id="54" xr3:uid="{00000000-0010-0000-0900-000036000000}" name="PF25"/>
    <tableColumn id="55" xr3:uid="{00000000-0010-0000-0900-000037000000}" name="PF26"/>
    <tableColumn id="56" xr3:uid="{00000000-0010-0000-0900-000038000000}" name="PF27"/>
    <tableColumn id="57" xr3:uid="{00000000-0010-0000-0900-000039000000}" name="PF28"/>
    <tableColumn id="58" xr3:uid="{00000000-0010-0000-0900-00003A000000}" name="PF29"/>
    <tableColumn id="59" xr3:uid="{00000000-0010-0000-0900-00003B000000}" name="PF30"/>
    <tableColumn id="60" xr3:uid="{00000000-0010-0000-0900-00003C000000}" name="PF31"/>
    <tableColumn id="61" xr3:uid="{00000000-0010-0000-0900-00003D000000}" name="PF32"/>
    <tableColumn id="62" xr3:uid="{00000000-0010-0000-0900-00003E000000}" name="PF3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able14" displayName="Table14" ref="A1:BJ49" totalsRowShown="0">
  <autoFilter ref="A1:BJ49" xr:uid="{00000000-0009-0000-0100-00000E000000}"/>
  <tableColumns count="62">
    <tableColumn id="1" xr3:uid="{00000000-0010-0000-0A00-000001000000}" name="Main thematic areas*_x000a_*referring to EGD Objectives set out in COM(2019) 640 final ANNEX"/>
    <tableColumn id="2" xr3:uid="{00000000-0010-0000-0A00-000002000000}" name="Actions*_x000a_*referring to EGD Objectives set out in COM(2019) 640 ANNEX"/>
    <tableColumn id="3" xr3:uid="{00000000-0010-0000-0A00-000003000000}" name="Key Policy documents "/>
    <tableColumn id="4" xr3:uid="{00000000-0010-0000-0A00-000004000000}" name="Type of Document"/>
    <tableColumn id="5" xr3:uid="{00000000-0010-0000-0A00-000005000000}" name="Year of publication"/>
    <tableColumn id="6" xr3:uid="{00000000-0010-0000-0A00-000006000000}" name="Binding doc"/>
    <tableColumn id="7" xr3:uid="{00000000-0010-0000-0A00-000007000000}" name="Type target"/>
    <tableColumn id="8" xr3:uid="{00000000-0010-0000-0A00-000008000000}" name="Targets from legal acts"/>
    <tableColumn id="9" xr3:uid="{00000000-0010-0000-0A00-000009000000}" name="Targets from Proposal"/>
    <tableColumn id="10" xr3:uid="{00000000-0010-0000-0A00-00000A000000}" name="n"/>
    <tableColumn id="11" xr3:uid="{00000000-0010-0000-0A00-00000B000000}" name="Targets"/>
    <tableColumn id="12" xr3:uid="{00000000-0010-0000-0A00-00000C000000}" name="Timeline"/>
    <tableColumn id="13" xr3:uid="{00000000-0010-0000-0A00-00000D000000}" name="Quantified"/>
    <tableColumn id="14" xr3:uid="{00000000-0010-0000-0A00-00000E000000}" name="Comments"/>
    <tableColumn id="15" xr3:uid="{00000000-0010-0000-0A00-00000F000000}" name="Fiche"/>
    <tableColumn id="16" xr3:uid="{00000000-0010-0000-0A00-000010000000}" name="Indicator"/>
    <tableColumn id="17" xr3:uid="{00000000-0010-0000-0A00-000011000000}" name="Quantitative Target"/>
    <tableColumn id="18" xr3:uid="{00000000-0010-0000-0A00-000012000000}" name="Distance to Target (GAP)"/>
    <tableColumn id="19" xr3:uid="{00000000-0010-0000-0A00-000013000000}" name="Trend"/>
    <tableColumn id="20" xr3:uid="{00000000-0010-0000-0A00-000014000000}" name="Colour"/>
    <tableColumn id="21" xr3:uid="{00000000-0010-0000-0A00-000015000000}" name="Indicator 8th EAP"/>
    <tableColumn id="22" xr3:uid="{00000000-0010-0000-0A00-000016000000}" name="Comments (data used by EAP/presence of gap analysis in EAP)"/>
    <tableColumn id="23" xr3:uid="{00000000-0010-0000-0A00-000017000000}" name="Subtopic"/>
    <tableColumn id="24" xr3:uid="{00000000-0010-0000-0A00-000018000000}" name="Other topics related"/>
    <tableColumn id="25" xr3:uid="{00000000-0010-0000-0A00-000019000000}" name="Main SDG Targets related (draft)"/>
    <tableColumn id="26" xr3:uid="{00000000-0010-0000-0A00-00001A000000}" name="SDG goal"/>
    <tableColumn id="27" xr3:uid="{00000000-0010-0000-0A00-00001B000000}" name="Origin of main dataset"/>
    <tableColumn id="28" xr3:uid="{00000000-0010-0000-0A00-00001C000000}" name="Link to main possible dataset"/>
    <tableColumn id="29" xr3:uid="{00000000-0010-0000-0A00-00001D000000}" name="Alternative / complementary dataset 1"/>
    <tableColumn id="30" xr3:uid="{00000000-0010-0000-0A00-00001E000000}" name="Alternative /complementary dataset 2"/>
    <tableColumn id="31" xr3:uid="{00000000-0010-0000-0A00-00001F000000}" name="PF2"/>
    <tableColumn id="32" xr3:uid="{00000000-0010-0000-0A00-000020000000}" name="PF3"/>
    <tableColumn id="33" xr3:uid="{00000000-0010-0000-0A00-000021000000}" name="PF4"/>
    <tableColumn id="34" xr3:uid="{00000000-0010-0000-0A00-000022000000}" name="PF5"/>
    <tableColumn id="35" xr3:uid="{00000000-0010-0000-0A00-000023000000}" name="PF6"/>
    <tableColumn id="36" xr3:uid="{00000000-0010-0000-0A00-000024000000}" name="PF7"/>
    <tableColumn id="37" xr3:uid="{00000000-0010-0000-0A00-000025000000}" name="PF8"/>
    <tableColumn id="38" xr3:uid="{00000000-0010-0000-0A00-000026000000}" name="PF9"/>
    <tableColumn id="39" xr3:uid="{00000000-0010-0000-0A00-000027000000}" name="PF10"/>
    <tableColumn id="40" xr3:uid="{00000000-0010-0000-0A00-000028000000}" name="PF11"/>
    <tableColumn id="41" xr3:uid="{00000000-0010-0000-0A00-000029000000}" name="PF12"/>
    <tableColumn id="42" xr3:uid="{00000000-0010-0000-0A00-00002A000000}" name="PF13"/>
    <tableColumn id="43" xr3:uid="{00000000-0010-0000-0A00-00002B000000}" name="PF14"/>
    <tableColumn id="44" xr3:uid="{00000000-0010-0000-0A00-00002C000000}" name="PF15"/>
    <tableColumn id="45" xr3:uid="{00000000-0010-0000-0A00-00002D000000}" name="PF16"/>
    <tableColumn id="46" xr3:uid="{00000000-0010-0000-0A00-00002E000000}" name="PF17"/>
    <tableColumn id="47" xr3:uid="{00000000-0010-0000-0A00-00002F000000}" name="PF18"/>
    <tableColumn id="48" xr3:uid="{00000000-0010-0000-0A00-000030000000}" name="PF19"/>
    <tableColumn id="49" xr3:uid="{00000000-0010-0000-0A00-000031000000}" name="PF20"/>
    <tableColumn id="50" xr3:uid="{00000000-0010-0000-0A00-000032000000}" name="PF21"/>
    <tableColumn id="51" xr3:uid="{00000000-0010-0000-0A00-000033000000}" name="PF22"/>
    <tableColumn id="52" xr3:uid="{00000000-0010-0000-0A00-000034000000}" name="PF23"/>
    <tableColumn id="53" xr3:uid="{00000000-0010-0000-0A00-000035000000}" name="PF24"/>
    <tableColumn id="54" xr3:uid="{00000000-0010-0000-0A00-000036000000}" name="PF25"/>
    <tableColumn id="55" xr3:uid="{00000000-0010-0000-0A00-000037000000}" name="PF26"/>
    <tableColumn id="56" xr3:uid="{00000000-0010-0000-0A00-000038000000}" name="PF27"/>
    <tableColumn id="57" xr3:uid="{00000000-0010-0000-0A00-000039000000}" name="PF28"/>
    <tableColumn id="58" xr3:uid="{00000000-0010-0000-0A00-00003A000000}" name="PF29"/>
    <tableColumn id="59" xr3:uid="{00000000-0010-0000-0A00-00003B000000}" name="PF30"/>
    <tableColumn id="60" xr3:uid="{00000000-0010-0000-0A00-00003C000000}" name="PF31"/>
    <tableColumn id="61" xr3:uid="{00000000-0010-0000-0A00-00003D000000}" name="PF32"/>
    <tableColumn id="62" xr3:uid="{00000000-0010-0000-0A00-00003E000000}" name="PF3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Table15" displayName="Table15" ref="A1:BJ55" totalsRowShown="0">
  <autoFilter ref="A1:BJ55" xr:uid="{00000000-0009-0000-0100-00000F000000}">
    <filterColumn colId="9">
      <customFilters>
        <customFilter operator="notEqual" val=" "/>
      </customFilters>
    </filterColumn>
  </autoFilter>
  <tableColumns count="62">
    <tableColumn id="1" xr3:uid="{00000000-0010-0000-0B00-000001000000}" name="Main thematic areas*_x000a_*referring to EGD Objectives set out in COM(2019) 640 final ANNEX"/>
    <tableColumn id="2" xr3:uid="{00000000-0010-0000-0B00-000002000000}" name="Actions*_x000a_*referring to EGD Objectives set out in COM(2019) 640 ANNEX"/>
    <tableColumn id="3" xr3:uid="{00000000-0010-0000-0B00-000003000000}" name="Key Policy documents "/>
    <tableColumn id="4" xr3:uid="{00000000-0010-0000-0B00-000004000000}" name="Type of Document"/>
    <tableColumn id="5" xr3:uid="{00000000-0010-0000-0B00-000005000000}" name="Year of publication"/>
    <tableColumn id="6" xr3:uid="{00000000-0010-0000-0B00-000006000000}" name="Binding doc"/>
    <tableColumn id="7" xr3:uid="{00000000-0010-0000-0B00-000007000000}" name="Type target"/>
    <tableColumn id="8" xr3:uid="{00000000-0010-0000-0B00-000008000000}" name="Targets from legal acts"/>
    <tableColumn id="9" xr3:uid="{00000000-0010-0000-0B00-000009000000}" name="Targets from Proposal"/>
    <tableColumn id="10" xr3:uid="{00000000-0010-0000-0B00-00000A000000}" name="n"/>
    <tableColumn id="11" xr3:uid="{00000000-0010-0000-0B00-00000B000000}" name="Targets"/>
    <tableColumn id="12" xr3:uid="{00000000-0010-0000-0B00-00000C000000}" name="Timeline"/>
    <tableColumn id="13" xr3:uid="{00000000-0010-0000-0B00-00000D000000}" name="Quantified"/>
    <tableColumn id="14" xr3:uid="{00000000-0010-0000-0B00-00000E000000}" name="Comments"/>
    <tableColumn id="15" xr3:uid="{00000000-0010-0000-0B00-00000F000000}" name="Fiche"/>
    <tableColumn id="16" xr3:uid="{00000000-0010-0000-0B00-000010000000}" name="Indicator"/>
    <tableColumn id="17" xr3:uid="{00000000-0010-0000-0B00-000011000000}" name="Quantitative Target"/>
    <tableColumn id="18" xr3:uid="{00000000-0010-0000-0B00-000012000000}" name="Distance to Target (GAP)"/>
    <tableColumn id="19" xr3:uid="{00000000-0010-0000-0B00-000013000000}" name="Trend"/>
    <tableColumn id="20" xr3:uid="{00000000-0010-0000-0B00-000014000000}" name="Colour"/>
    <tableColumn id="21" xr3:uid="{00000000-0010-0000-0B00-000015000000}" name="Indicator 8th EAP"/>
    <tableColumn id="22" xr3:uid="{00000000-0010-0000-0B00-000016000000}" name="Comments (data used by EAP/presence of gap analysis in EAP)"/>
    <tableColumn id="23" xr3:uid="{00000000-0010-0000-0B00-000017000000}" name="Subtopic"/>
    <tableColumn id="24" xr3:uid="{00000000-0010-0000-0B00-000018000000}" name="Other topics related"/>
    <tableColumn id="25" xr3:uid="{00000000-0010-0000-0B00-000019000000}" name="Main SDG Targets related (draft)"/>
    <tableColumn id="26" xr3:uid="{00000000-0010-0000-0B00-00001A000000}" name="SDG goal"/>
    <tableColumn id="27" xr3:uid="{00000000-0010-0000-0B00-00001B000000}" name="Origin of main dataset"/>
    <tableColumn id="28" xr3:uid="{00000000-0010-0000-0B00-00001C000000}" name="Link to main possible dataset"/>
    <tableColumn id="29" xr3:uid="{00000000-0010-0000-0B00-00001D000000}" name="Alternative / complementary dataset 1"/>
    <tableColumn id="30" xr3:uid="{00000000-0010-0000-0B00-00001E000000}" name="Alternative /complementary dataset 2"/>
    <tableColumn id="31" xr3:uid="{00000000-0010-0000-0B00-00001F000000}" name="PF2"/>
    <tableColumn id="32" xr3:uid="{00000000-0010-0000-0B00-000020000000}" name="PF3"/>
    <tableColumn id="33" xr3:uid="{00000000-0010-0000-0B00-000021000000}" name="PF4"/>
    <tableColumn id="34" xr3:uid="{00000000-0010-0000-0B00-000022000000}" name="PF5"/>
    <tableColumn id="35" xr3:uid="{00000000-0010-0000-0B00-000023000000}" name="PF6"/>
    <tableColumn id="36" xr3:uid="{00000000-0010-0000-0B00-000024000000}" name="PF7"/>
    <tableColumn id="37" xr3:uid="{00000000-0010-0000-0B00-000025000000}" name="PF8"/>
    <tableColumn id="38" xr3:uid="{00000000-0010-0000-0B00-000026000000}" name="PF9"/>
    <tableColumn id="39" xr3:uid="{00000000-0010-0000-0B00-000027000000}" name="PF10"/>
    <tableColumn id="40" xr3:uid="{00000000-0010-0000-0B00-000028000000}" name="PF11"/>
    <tableColumn id="41" xr3:uid="{00000000-0010-0000-0B00-000029000000}" name="PF12"/>
    <tableColumn id="42" xr3:uid="{00000000-0010-0000-0B00-00002A000000}" name="PF13"/>
    <tableColumn id="43" xr3:uid="{00000000-0010-0000-0B00-00002B000000}" name="PF14"/>
    <tableColumn id="44" xr3:uid="{00000000-0010-0000-0B00-00002C000000}" name="PF15"/>
    <tableColumn id="45" xr3:uid="{00000000-0010-0000-0B00-00002D000000}" name="PF16"/>
    <tableColumn id="46" xr3:uid="{00000000-0010-0000-0B00-00002E000000}" name="PF17"/>
    <tableColumn id="47" xr3:uid="{00000000-0010-0000-0B00-00002F000000}" name="PF18"/>
    <tableColumn id="48" xr3:uid="{00000000-0010-0000-0B00-000030000000}" name="PF19"/>
    <tableColumn id="49" xr3:uid="{00000000-0010-0000-0B00-000031000000}" name="PF20"/>
    <tableColumn id="50" xr3:uid="{00000000-0010-0000-0B00-000032000000}" name="PF21"/>
    <tableColumn id="51" xr3:uid="{00000000-0010-0000-0B00-000033000000}" name="PF22"/>
    <tableColumn id="52" xr3:uid="{00000000-0010-0000-0B00-000034000000}" name="PF23"/>
    <tableColumn id="53" xr3:uid="{00000000-0010-0000-0B00-000035000000}" name="PF24"/>
    <tableColumn id="54" xr3:uid="{00000000-0010-0000-0B00-000036000000}" name="PF25"/>
    <tableColumn id="55" xr3:uid="{00000000-0010-0000-0B00-000037000000}" name="PF26"/>
    <tableColumn id="56" xr3:uid="{00000000-0010-0000-0B00-000038000000}" name="PF27"/>
    <tableColumn id="57" xr3:uid="{00000000-0010-0000-0B00-000039000000}" name="PF28"/>
    <tableColumn id="58" xr3:uid="{00000000-0010-0000-0B00-00003A000000}" name="PF29"/>
    <tableColumn id="59" xr3:uid="{00000000-0010-0000-0B00-00003B000000}" name="PF30"/>
    <tableColumn id="60" xr3:uid="{00000000-0010-0000-0B00-00003C000000}" name="PF31"/>
    <tableColumn id="61" xr3:uid="{00000000-0010-0000-0B00-00003D000000}" name="PF32"/>
    <tableColumn id="62" xr3:uid="{00000000-0010-0000-0B00-00003E000000}" name="PF3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C000000}" name="Table16" displayName="Table16" ref="A1:BJ49" totalsRowShown="0">
  <autoFilter ref="A1:BJ49" xr:uid="{00000000-0009-0000-0100-000010000000}">
    <filterColumn colId="9">
      <filters blank="1"/>
    </filterColumn>
  </autoFilter>
  <tableColumns count="62">
    <tableColumn id="1" xr3:uid="{00000000-0010-0000-0C00-000001000000}" name="Main thematic areas*_x000a_*referring to EGD Objectives set out in COM(2019) 640 final ANNEX"/>
    <tableColumn id="2" xr3:uid="{00000000-0010-0000-0C00-000002000000}" name="Actions*_x000a_*referring to EGD Objectives set out in COM(2019) 640 ANNEX"/>
    <tableColumn id="3" xr3:uid="{00000000-0010-0000-0C00-000003000000}" name="Key Policy documents "/>
    <tableColumn id="4" xr3:uid="{00000000-0010-0000-0C00-000004000000}" name="Type of Document"/>
    <tableColumn id="5" xr3:uid="{00000000-0010-0000-0C00-000005000000}" name="Year of publication"/>
    <tableColumn id="6" xr3:uid="{00000000-0010-0000-0C00-000006000000}" name="Binding doc"/>
    <tableColumn id="7" xr3:uid="{00000000-0010-0000-0C00-000007000000}" name="Type target"/>
    <tableColumn id="8" xr3:uid="{00000000-0010-0000-0C00-000008000000}" name="Targets from legal acts"/>
    <tableColumn id="9" xr3:uid="{00000000-0010-0000-0C00-000009000000}" name="Targets from Proposal"/>
    <tableColumn id="10" xr3:uid="{00000000-0010-0000-0C00-00000A000000}" name="n"/>
    <tableColumn id="11" xr3:uid="{00000000-0010-0000-0C00-00000B000000}" name="Targets"/>
    <tableColumn id="12" xr3:uid="{00000000-0010-0000-0C00-00000C000000}" name="Timeline"/>
    <tableColumn id="13" xr3:uid="{00000000-0010-0000-0C00-00000D000000}" name="Quantified"/>
    <tableColumn id="14" xr3:uid="{00000000-0010-0000-0C00-00000E000000}" name="Comments"/>
    <tableColumn id="15" xr3:uid="{00000000-0010-0000-0C00-00000F000000}" name="Fiche"/>
    <tableColumn id="16" xr3:uid="{00000000-0010-0000-0C00-000010000000}" name="Indicator"/>
    <tableColumn id="17" xr3:uid="{00000000-0010-0000-0C00-000011000000}" name="Quantitative Target"/>
    <tableColumn id="18" xr3:uid="{00000000-0010-0000-0C00-000012000000}" name="Distance to Target (GAP)"/>
    <tableColumn id="19" xr3:uid="{00000000-0010-0000-0C00-000013000000}" name="Trend"/>
    <tableColumn id="20" xr3:uid="{00000000-0010-0000-0C00-000014000000}" name="Colour"/>
    <tableColumn id="21" xr3:uid="{00000000-0010-0000-0C00-000015000000}" name="Indicator 8th EAP"/>
    <tableColumn id="22" xr3:uid="{00000000-0010-0000-0C00-000016000000}" name="Comments (data used by EAP/presence of gap analysis in EAP)"/>
    <tableColumn id="23" xr3:uid="{00000000-0010-0000-0C00-000017000000}" name="Subtopic"/>
    <tableColumn id="24" xr3:uid="{00000000-0010-0000-0C00-000018000000}" name="Other topics related"/>
    <tableColumn id="25" xr3:uid="{00000000-0010-0000-0C00-000019000000}" name="Main SDG Targets related (draft)"/>
    <tableColumn id="26" xr3:uid="{00000000-0010-0000-0C00-00001A000000}" name="SDG goal"/>
    <tableColumn id="27" xr3:uid="{00000000-0010-0000-0C00-00001B000000}" name="Origin of main dataset"/>
    <tableColumn id="28" xr3:uid="{00000000-0010-0000-0C00-00001C000000}" name="Link to main possible dataset"/>
    <tableColumn id="29" xr3:uid="{00000000-0010-0000-0C00-00001D000000}" name="Alternative / complementary dataset 1"/>
    <tableColumn id="30" xr3:uid="{00000000-0010-0000-0C00-00001E000000}" name="Alternative /complementary dataset 2"/>
    <tableColumn id="31" xr3:uid="{00000000-0010-0000-0C00-00001F000000}" name="PF2"/>
    <tableColumn id="32" xr3:uid="{00000000-0010-0000-0C00-000020000000}" name="PF3"/>
    <tableColumn id="33" xr3:uid="{00000000-0010-0000-0C00-000021000000}" name="PF4"/>
    <tableColumn id="34" xr3:uid="{00000000-0010-0000-0C00-000022000000}" name="PF5"/>
    <tableColumn id="35" xr3:uid="{00000000-0010-0000-0C00-000023000000}" name="PF6"/>
    <tableColumn id="36" xr3:uid="{00000000-0010-0000-0C00-000024000000}" name="PF7"/>
    <tableColumn id="37" xr3:uid="{00000000-0010-0000-0C00-000025000000}" name="PF8"/>
    <tableColumn id="38" xr3:uid="{00000000-0010-0000-0C00-000026000000}" name="PF9"/>
    <tableColumn id="39" xr3:uid="{00000000-0010-0000-0C00-000027000000}" name="PF10"/>
    <tableColumn id="40" xr3:uid="{00000000-0010-0000-0C00-000028000000}" name="PF11"/>
    <tableColumn id="41" xr3:uid="{00000000-0010-0000-0C00-000029000000}" name="PF12"/>
    <tableColumn id="42" xr3:uid="{00000000-0010-0000-0C00-00002A000000}" name="PF13"/>
    <tableColumn id="43" xr3:uid="{00000000-0010-0000-0C00-00002B000000}" name="PF14"/>
    <tableColumn id="44" xr3:uid="{00000000-0010-0000-0C00-00002C000000}" name="PF15"/>
    <tableColumn id="45" xr3:uid="{00000000-0010-0000-0C00-00002D000000}" name="PF16"/>
    <tableColumn id="46" xr3:uid="{00000000-0010-0000-0C00-00002E000000}" name="PF17"/>
    <tableColumn id="47" xr3:uid="{00000000-0010-0000-0C00-00002F000000}" name="PF18"/>
    <tableColumn id="48" xr3:uid="{00000000-0010-0000-0C00-000030000000}" name="PF19"/>
    <tableColumn id="49" xr3:uid="{00000000-0010-0000-0C00-000031000000}" name="PF20"/>
    <tableColumn id="50" xr3:uid="{00000000-0010-0000-0C00-000032000000}" name="PF21"/>
    <tableColumn id="51" xr3:uid="{00000000-0010-0000-0C00-000033000000}" name="PF22"/>
    <tableColumn id="52" xr3:uid="{00000000-0010-0000-0C00-000034000000}" name="PF23"/>
    <tableColumn id="53" xr3:uid="{00000000-0010-0000-0C00-000035000000}" name="PF24"/>
    <tableColumn id="54" xr3:uid="{00000000-0010-0000-0C00-000036000000}" name="PF25"/>
    <tableColumn id="55" xr3:uid="{00000000-0010-0000-0C00-000037000000}" name="PF26"/>
    <tableColumn id="56" xr3:uid="{00000000-0010-0000-0C00-000038000000}" name="PF27"/>
    <tableColumn id="57" xr3:uid="{00000000-0010-0000-0C00-000039000000}" name="PF28"/>
    <tableColumn id="58" xr3:uid="{00000000-0010-0000-0C00-00003A000000}" name="PF29"/>
    <tableColumn id="59" xr3:uid="{00000000-0010-0000-0C00-00003B000000}" name="PF30"/>
    <tableColumn id="60" xr3:uid="{00000000-0010-0000-0C00-00003C000000}" name="PF31"/>
    <tableColumn id="61" xr3:uid="{00000000-0010-0000-0C00-00003D000000}" name="PF32"/>
    <tableColumn id="62" xr3:uid="{00000000-0010-0000-0C00-00003E000000}" name="PF3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D000000}" name="Table683" displayName="Table683" ref="A2:N309" totalsRowShown="0" headerRowDxfId="16" dataDxfId="14" headerRowBorderDxfId="15">
  <autoFilter ref="A2:N309" xr:uid="{00000000-0009-0000-0100-000002000000}"/>
  <sortState xmlns:xlrd2="http://schemas.microsoft.com/office/spreadsheetml/2017/richdata2" ref="A3:N309">
    <sortCondition ref="A3:A309"/>
  </sortState>
  <tableColumns count="14">
    <tableColumn id="3" xr3:uid="{00000000-0010-0000-0D00-000003000000}" name="Main thematic areas*_x000a_*referring to EGD Objectives set out in COM(2019) 640 final ANNEX" dataDxfId="13"/>
    <tableColumn id="4" xr3:uid="{00000000-0010-0000-0D00-000004000000}" name="Actions*_x000a_*referring to EGD Objectives set out in COM(2019) 640 ANNEX" dataDxfId="12"/>
    <tableColumn id="7" xr3:uid="{00000000-0010-0000-0D00-000007000000}" name="Key Policy documents " dataDxfId="11"/>
    <tableColumn id="47" xr3:uid="{00000000-0010-0000-0D00-00002F000000}" name="Type of Document" dataDxfId="10" dataCellStyle="Hyperlink"/>
    <tableColumn id="46" xr3:uid="{00000000-0010-0000-0D00-00002E000000}" name="Year of publication" dataDxfId="9" dataCellStyle="Hyperlink"/>
    <tableColumn id="59" xr3:uid="{00000000-0010-0000-0D00-00003B000000}" name="Binding doc" dataDxfId="8"/>
    <tableColumn id="60" xr3:uid="{00000000-0010-0000-0D00-00003C000000}" name="Type target" dataDxfId="7">
      <calculatedColumnFormula>IF(Table683[[#This Row],[n]],1)*#REF!+IF(Table683[[#This Row],[Targets from Proposal]],1)+IF(Table683[[#This Row],[Targets from legal acts]],2)</calculatedColumnFormula>
    </tableColumn>
    <tableColumn id="57" xr3:uid="{00000000-0010-0000-0D00-000039000000}" name="Targets from legal acts" dataDxfId="6"/>
    <tableColumn id="62" xr3:uid="{00000000-0010-0000-0D00-00003E000000}" name="Targets from Proposal" dataDxfId="5"/>
    <tableColumn id="58" xr3:uid="{00000000-0010-0000-0D00-00003A000000}" name="n" dataDxfId="4"/>
    <tableColumn id="11" xr3:uid="{86BD5769-7092-4763-9EAA-1DCA604C5B04}" name="Target code" dataDxfId="3"/>
    <tableColumn id="52" xr3:uid="{00000000-0010-0000-0D00-000034000000}" name="Targets" dataDxfId="2"/>
    <tableColumn id="13" xr3:uid="{CE11B16D-AB2A-A145-B4E3-3D09C7791D1C}" name="Assessment" dataDxfId="1"/>
    <tableColumn id="54" xr3:uid="{00000000-0010-0000-0D00-000036000000}" name="Colour" dataDxfId="0" dataCellStyle="Hyperlink"/>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17" displayName="Table17" ref="A1:BJ212" totalsRowShown="0">
  <autoFilter ref="A1:BJ212" xr:uid="{00000000-0009-0000-0100-000011000000}"/>
  <tableColumns count="62">
    <tableColumn id="1" xr3:uid="{00000000-0010-0000-0E00-000001000000}" name="Main thematic areas*_x000a_*referring to EGD Objectives set out in COM(2019) 640 final ANNEX"/>
    <tableColumn id="2" xr3:uid="{00000000-0010-0000-0E00-000002000000}" name="Actions*_x000a_*referring to EGD Objectives set out in COM(2019) 640 ANNEX"/>
    <tableColumn id="3" xr3:uid="{00000000-0010-0000-0E00-000003000000}" name="Key Policy documents "/>
    <tableColumn id="4" xr3:uid="{00000000-0010-0000-0E00-000004000000}" name="Type of Document"/>
    <tableColumn id="5" xr3:uid="{00000000-0010-0000-0E00-000005000000}" name="Year of publication"/>
    <tableColumn id="6" xr3:uid="{00000000-0010-0000-0E00-000006000000}" name="Binding doc"/>
    <tableColumn id="7" xr3:uid="{00000000-0010-0000-0E00-000007000000}" name="Type target"/>
    <tableColumn id="8" xr3:uid="{00000000-0010-0000-0E00-000008000000}" name="Targets from legal acts"/>
    <tableColumn id="9" xr3:uid="{00000000-0010-0000-0E00-000009000000}" name="Targets from Proposal"/>
    <tableColumn id="10" xr3:uid="{00000000-0010-0000-0E00-00000A000000}" name="n"/>
    <tableColumn id="11" xr3:uid="{00000000-0010-0000-0E00-00000B000000}" name="Targets"/>
    <tableColumn id="12" xr3:uid="{00000000-0010-0000-0E00-00000C000000}" name="Timeline"/>
    <tableColumn id="13" xr3:uid="{00000000-0010-0000-0E00-00000D000000}" name="Quantifiable"/>
    <tableColumn id="14" xr3:uid="{00000000-0010-0000-0E00-00000E000000}" name="Comments"/>
    <tableColumn id="15" xr3:uid="{00000000-0010-0000-0E00-00000F000000}" name="Fiche"/>
    <tableColumn id="16" xr3:uid="{00000000-0010-0000-0E00-000010000000}" name="Indicator"/>
    <tableColumn id="17" xr3:uid="{00000000-0010-0000-0E00-000011000000}" name="Quantitative Target"/>
    <tableColumn id="18" xr3:uid="{00000000-0010-0000-0E00-000012000000}" name="Distance to Target (GAP)"/>
    <tableColumn id="19" xr3:uid="{00000000-0010-0000-0E00-000013000000}" name="Trend"/>
    <tableColumn id="20" xr3:uid="{00000000-0010-0000-0E00-000014000000}" name="Colour"/>
    <tableColumn id="21" xr3:uid="{00000000-0010-0000-0E00-000015000000}" name="Indicator 8th EAP"/>
    <tableColumn id="22" xr3:uid="{00000000-0010-0000-0E00-000016000000}" name="Comments (data used by EAP/presence of gap analysis in EAP)"/>
    <tableColumn id="23" xr3:uid="{00000000-0010-0000-0E00-000017000000}" name="Subtopic"/>
    <tableColumn id="24" xr3:uid="{00000000-0010-0000-0E00-000018000000}" name="Other topics related"/>
    <tableColumn id="25" xr3:uid="{00000000-0010-0000-0E00-000019000000}" name="Main SDG Targets related (draft)"/>
    <tableColumn id="26" xr3:uid="{00000000-0010-0000-0E00-00001A000000}" name="SDG goal"/>
    <tableColumn id="27" xr3:uid="{00000000-0010-0000-0E00-00001B000000}" name="Origin of main dataset"/>
    <tableColumn id="28" xr3:uid="{00000000-0010-0000-0E00-00001C000000}" name="Link to main possible dataset"/>
    <tableColumn id="29" xr3:uid="{00000000-0010-0000-0E00-00001D000000}" name="Alternative / complementary dataset 1"/>
    <tableColumn id="30" xr3:uid="{00000000-0010-0000-0E00-00001E000000}" name="Alternative /complementary dataset 2"/>
    <tableColumn id="31" xr3:uid="{00000000-0010-0000-0E00-00001F000000}" name="PF2"/>
    <tableColumn id="32" xr3:uid="{00000000-0010-0000-0E00-000020000000}" name="PF3"/>
    <tableColumn id="33" xr3:uid="{00000000-0010-0000-0E00-000021000000}" name="PF4"/>
    <tableColumn id="34" xr3:uid="{00000000-0010-0000-0E00-000022000000}" name="PF5"/>
    <tableColumn id="35" xr3:uid="{00000000-0010-0000-0E00-000023000000}" name="PF6"/>
    <tableColumn id="36" xr3:uid="{00000000-0010-0000-0E00-000024000000}" name="PF7"/>
    <tableColumn id="37" xr3:uid="{00000000-0010-0000-0E00-000025000000}" name="PF8"/>
    <tableColumn id="38" xr3:uid="{00000000-0010-0000-0E00-000026000000}" name="PF9"/>
    <tableColumn id="39" xr3:uid="{00000000-0010-0000-0E00-000027000000}" name="PF10"/>
    <tableColumn id="40" xr3:uid="{00000000-0010-0000-0E00-000028000000}" name="PF11"/>
    <tableColumn id="41" xr3:uid="{00000000-0010-0000-0E00-000029000000}" name="PF12"/>
    <tableColumn id="42" xr3:uid="{00000000-0010-0000-0E00-00002A000000}" name="PF13"/>
    <tableColumn id="43" xr3:uid="{00000000-0010-0000-0E00-00002B000000}" name="PF14"/>
    <tableColumn id="44" xr3:uid="{00000000-0010-0000-0E00-00002C000000}" name="PF15"/>
    <tableColumn id="45" xr3:uid="{00000000-0010-0000-0E00-00002D000000}" name="PF16"/>
    <tableColumn id="46" xr3:uid="{00000000-0010-0000-0E00-00002E000000}" name="PF17"/>
    <tableColumn id="47" xr3:uid="{00000000-0010-0000-0E00-00002F000000}" name="PF18"/>
    <tableColumn id="48" xr3:uid="{00000000-0010-0000-0E00-000030000000}" name="PF19"/>
    <tableColumn id="49" xr3:uid="{00000000-0010-0000-0E00-000031000000}" name="PF20"/>
    <tableColumn id="50" xr3:uid="{00000000-0010-0000-0E00-000032000000}" name="PF21"/>
    <tableColumn id="51" xr3:uid="{00000000-0010-0000-0E00-000033000000}" name="PF22"/>
    <tableColumn id="52" xr3:uid="{00000000-0010-0000-0E00-000034000000}" name="PF23"/>
    <tableColumn id="53" xr3:uid="{00000000-0010-0000-0E00-000035000000}" name="PF24"/>
    <tableColumn id="54" xr3:uid="{00000000-0010-0000-0E00-000036000000}" name="PF25"/>
    <tableColumn id="55" xr3:uid="{00000000-0010-0000-0E00-000037000000}" name="PF26"/>
    <tableColumn id="56" xr3:uid="{00000000-0010-0000-0E00-000038000000}" name="PF27"/>
    <tableColumn id="57" xr3:uid="{00000000-0010-0000-0E00-000039000000}" name="PF28"/>
    <tableColumn id="58" xr3:uid="{00000000-0010-0000-0E00-00003A000000}" name="PF29"/>
    <tableColumn id="59" xr3:uid="{00000000-0010-0000-0E00-00003B000000}" name="PF30"/>
    <tableColumn id="60" xr3:uid="{00000000-0010-0000-0E00-00003C000000}" name="PF31"/>
    <tableColumn id="61" xr3:uid="{00000000-0010-0000-0E00-00003D000000}" name="PF32"/>
    <tableColumn id="62" xr3:uid="{00000000-0010-0000-0E00-00003E000000}" name="PF3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18" displayName="Table18" ref="A1:BJ212" totalsRowShown="0">
  <autoFilter ref="A1:BJ212" xr:uid="{00000000-0009-0000-0100-000012000000}"/>
  <tableColumns count="62">
    <tableColumn id="1" xr3:uid="{00000000-0010-0000-0F00-000001000000}" name="Main thematic areas*_x000a_*referring to EGD Objectives set out in COM(2019) 640 final ANNEX"/>
    <tableColumn id="2" xr3:uid="{00000000-0010-0000-0F00-000002000000}" name="Actions*_x000a_*referring to EGD Objectives set out in COM(2019) 640 ANNEX"/>
    <tableColumn id="3" xr3:uid="{00000000-0010-0000-0F00-000003000000}" name="Key Policy documents "/>
    <tableColumn id="4" xr3:uid="{00000000-0010-0000-0F00-000004000000}" name="Type of Document"/>
    <tableColumn id="5" xr3:uid="{00000000-0010-0000-0F00-000005000000}" name="Year of publication"/>
    <tableColumn id="6" xr3:uid="{00000000-0010-0000-0F00-000006000000}" name="Binding doc"/>
    <tableColumn id="7" xr3:uid="{00000000-0010-0000-0F00-000007000000}" name="Type target"/>
    <tableColumn id="8" xr3:uid="{00000000-0010-0000-0F00-000008000000}" name="Targets from legal acts"/>
    <tableColumn id="9" xr3:uid="{00000000-0010-0000-0F00-000009000000}" name="Targets from Proposal"/>
    <tableColumn id="10" xr3:uid="{00000000-0010-0000-0F00-00000A000000}" name="n"/>
    <tableColumn id="11" xr3:uid="{00000000-0010-0000-0F00-00000B000000}" name="Targets"/>
    <tableColumn id="12" xr3:uid="{00000000-0010-0000-0F00-00000C000000}" name="Timeline"/>
    <tableColumn id="13" xr3:uid="{00000000-0010-0000-0F00-00000D000000}" name="Quantified"/>
    <tableColumn id="14" xr3:uid="{00000000-0010-0000-0F00-00000E000000}" name="Comments"/>
    <tableColumn id="15" xr3:uid="{00000000-0010-0000-0F00-00000F000000}" name="Fiche"/>
    <tableColumn id="16" xr3:uid="{00000000-0010-0000-0F00-000010000000}" name="Indicator"/>
    <tableColumn id="17" xr3:uid="{00000000-0010-0000-0F00-000011000000}" name="Quantitative Target"/>
    <tableColumn id="18" xr3:uid="{00000000-0010-0000-0F00-000012000000}" name="Distance to Target (GAP)"/>
    <tableColumn id="19" xr3:uid="{00000000-0010-0000-0F00-000013000000}" name="Trend"/>
    <tableColumn id="20" xr3:uid="{00000000-0010-0000-0F00-000014000000}" name="Colour"/>
    <tableColumn id="21" xr3:uid="{00000000-0010-0000-0F00-000015000000}" name="Indicator 8th EAP"/>
    <tableColumn id="22" xr3:uid="{00000000-0010-0000-0F00-000016000000}" name="Comments (data used by EAP/presence of gap analysis in EAP)"/>
    <tableColumn id="23" xr3:uid="{00000000-0010-0000-0F00-000017000000}" name="Subtopic"/>
    <tableColumn id="24" xr3:uid="{00000000-0010-0000-0F00-000018000000}" name="Other topics related"/>
    <tableColumn id="25" xr3:uid="{00000000-0010-0000-0F00-000019000000}" name="Main SDG Targets related (draft)"/>
    <tableColumn id="26" xr3:uid="{00000000-0010-0000-0F00-00001A000000}" name="SDG goal"/>
    <tableColumn id="27" xr3:uid="{00000000-0010-0000-0F00-00001B000000}" name="Origin of main dataset"/>
    <tableColumn id="28" xr3:uid="{00000000-0010-0000-0F00-00001C000000}" name="Link to main possible dataset"/>
    <tableColumn id="29" xr3:uid="{00000000-0010-0000-0F00-00001D000000}" name="Alternative / complementary dataset 1"/>
    <tableColumn id="30" xr3:uid="{00000000-0010-0000-0F00-00001E000000}" name="Alternative /complementary dataset 2"/>
    <tableColumn id="31" xr3:uid="{00000000-0010-0000-0F00-00001F000000}" name="PF2"/>
    <tableColumn id="32" xr3:uid="{00000000-0010-0000-0F00-000020000000}" name="PF3"/>
    <tableColumn id="33" xr3:uid="{00000000-0010-0000-0F00-000021000000}" name="PF4"/>
    <tableColumn id="34" xr3:uid="{00000000-0010-0000-0F00-000022000000}" name="PF5"/>
    <tableColumn id="35" xr3:uid="{00000000-0010-0000-0F00-000023000000}" name="PF6"/>
    <tableColumn id="36" xr3:uid="{00000000-0010-0000-0F00-000024000000}" name="PF7"/>
    <tableColumn id="37" xr3:uid="{00000000-0010-0000-0F00-000025000000}" name="PF8"/>
    <tableColumn id="38" xr3:uid="{00000000-0010-0000-0F00-000026000000}" name="PF9"/>
    <tableColumn id="39" xr3:uid="{00000000-0010-0000-0F00-000027000000}" name="PF10"/>
    <tableColumn id="40" xr3:uid="{00000000-0010-0000-0F00-000028000000}" name="PF11"/>
    <tableColumn id="41" xr3:uid="{00000000-0010-0000-0F00-000029000000}" name="PF12"/>
    <tableColumn id="42" xr3:uid="{00000000-0010-0000-0F00-00002A000000}" name="PF13"/>
    <tableColumn id="43" xr3:uid="{00000000-0010-0000-0F00-00002B000000}" name="PF14"/>
    <tableColumn id="44" xr3:uid="{00000000-0010-0000-0F00-00002C000000}" name="PF15"/>
    <tableColumn id="45" xr3:uid="{00000000-0010-0000-0F00-00002D000000}" name="PF16"/>
    <tableColumn id="46" xr3:uid="{00000000-0010-0000-0F00-00002E000000}" name="PF17"/>
    <tableColumn id="47" xr3:uid="{00000000-0010-0000-0F00-00002F000000}" name="PF18"/>
    <tableColumn id="48" xr3:uid="{00000000-0010-0000-0F00-000030000000}" name="PF19"/>
    <tableColumn id="49" xr3:uid="{00000000-0010-0000-0F00-000031000000}" name="PF20"/>
    <tableColumn id="50" xr3:uid="{00000000-0010-0000-0F00-000032000000}" name="PF21"/>
    <tableColumn id="51" xr3:uid="{00000000-0010-0000-0F00-000033000000}" name="PF22"/>
    <tableColumn id="52" xr3:uid="{00000000-0010-0000-0F00-000034000000}" name="PF23"/>
    <tableColumn id="53" xr3:uid="{00000000-0010-0000-0F00-000035000000}" name="PF24"/>
    <tableColumn id="54" xr3:uid="{00000000-0010-0000-0F00-000036000000}" name="PF25"/>
    <tableColumn id="55" xr3:uid="{00000000-0010-0000-0F00-000037000000}" name="PF26"/>
    <tableColumn id="56" xr3:uid="{00000000-0010-0000-0F00-000038000000}" name="PF27"/>
    <tableColumn id="57" xr3:uid="{00000000-0010-0000-0F00-000039000000}" name="PF28"/>
    <tableColumn id="58" xr3:uid="{00000000-0010-0000-0F00-00003A000000}" name="PF29"/>
    <tableColumn id="59" xr3:uid="{00000000-0010-0000-0F00-00003B000000}" name="PF30"/>
    <tableColumn id="60" xr3:uid="{00000000-0010-0000-0F00-00003C000000}" name="PF31"/>
    <tableColumn id="61" xr3:uid="{00000000-0010-0000-0F00-00003D000000}" name="PF32"/>
    <tableColumn id="62" xr3:uid="{00000000-0010-0000-0F00-00003E000000}" name="PF3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10000000}" name="Table1" displayName="Table1" ref="A3:BJ25" totalsRowShown="0">
  <autoFilter ref="A3:BJ25" xr:uid="{00000000-0009-0000-0100-000001000000}"/>
  <sortState xmlns:xlrd2="http://schemas.microsoft.com/office/spreadsheetml/2017/richdata2" ref="A4:BJ25">
    <sortCondition ref="J3:J25"/>
  </sortState>
  <tableColumns count="62">
    <tableColumn id="1" xr3:uid="{00000000-0010-0000-1000-000001000000}" name="Main thematic areas*_x000a_*referring to EGD Objectives set out in COM(2019) 640 final ANNEX"/>
    <tableColumn id="2" xr3:uid="{00000000-0010-0000-1000-000002000000}" name="Actions*_x000a_*referring to EGD Objectives set out in COM(2019) 640 ANNEX"/>
    <tableColumn id="3" xr3:uid="{00000000-0010-0000-1000-000003000000}" name="Key Policy documents "/>
    <tableColumn id="4" xr3:uid="{00000000-0010-0000-1000-000004000000}" name="Type of Document"/>
    <tableColumn id="5" xr3:uid="{00000000-0010-0000-1000-000005000000}" name="Year of publication"/>
    <tableColumn id="6" xr3:uid="{00000000-0010-0000-1000-000006000000}" name="Binding doc"/>
    <tableColumn id="7" xr3:uid="{00000000-0010-0000-1000-000007000000}" name="Type target"/>
    <tableColumn id="8" xr3:uid="{00000000-0010-0000-1000-000008000000}" name="Targets from legal acts"/>
    <tableColumn id="9" xr3:uid="{00000000-0010-0000-1000-000009000000}" name="Targets from Proposal"/>
    <tableColumn id="10" xr3:uid="{00000000-0010-0000-1000-00000A000000}" name="n"/>
    <tableColumn id="11" xr3:uid="{00000000-0010-0000-1000-00000B000000}" name="Targets"/>
    <tableColumn id="12" xr3:uid="{00000000-0010-0000-1000-00000C000000}" name="Timeline"/>
    <tableColumn id="13" xr3:uid="{00000000-0010-0000-1000-00000D000000}" name="Quantified"/>
    <tableColumn id="14" xr3:uid="{00000000-0010-0000-1000-00000E000000}" name="Comments"/>
    <tableColumn id="15" xr3:uid="{00000000-0010-0000-1000-00000F000000}" name="Fiche"/>
    <tableColumn id="16" xr3:uid="{00000000-0010-0000-1000-000010000000}" name="Indicator"/>
    <tableColumn id="17" xr3:uid="{00000000-0010-0000-1000-000011000000}" name="Quantitative Target"/>
    <tableColumn id="18" xr3:uid="{00000000-0010-0000-1000-000012000000}" name="Distance to Target (GAP)"/>
    <tableColumn id="19" xr3:uid="{00000000-0010-0000-1000-000013000000}" name="Trend"/>
    <tableColumn id="20" xr3:uid="{00000000-0010-0000-1000-000014000000}" name="Colour"/>
    <tableColumn id="21" xr3:uid="{00000000-0010-0000-1000-000015000000}" name="Indicator 8th EAP"/>
    <tableColumn id="22" xr3:uid="{00000000-0010-0000-1000-000016000000}" name="Comments (data used by EAP/presence of gap analysis in EAP)"/>
    <tableColumn id="23" xr3:uid="{00000000-0010-0000-1000-000017000000}" name="Subtopic"/>
    <tableColumn id="24" xr3:uid="{00000000-0010-0000-1000-000018000000}" name="Other topics related"/>
    <tableColumn id="25" xr3:uid="{00000000-0010-0000-1000-000019000000}" name="Main SDG Targets related (draft)"/>
    <tableColumn id="26" xr3:uid="{00000000-0010-0000-1000-00001A000000}" name="SDG goal"/>
    <tableColumn id="27" xr3:uid="{00000000-0010-0000-1000-00001B000000}" name="Origin of main dataset"/>
    <tableColumn id="28" xr3:uid="{00000000-0010-0000-1000-00001C000000}" name="Link to main possible dataset"/>
    <tableColumn id="29" xr3:uid="{00000000-0010-0000-1000-00001D000000}" name="Alternative / complementary dataset 1"/>
    <tableColumn id="30" xr3:uid="{00000000-0010-0000-1000-00001E000000}" name="Alternative /complementary dataset 2"/>
    <tableColumn id="31" xr3:uid="{00000000-0010-0000-1000-00001F000000}" name="PF2"/>
    <tableColumn id="32" xr3:uid="{00000000-0010-0000-1000-000020000000}" name="PF3"/>
    <tableColumn id="33" xr3:uid="{00000000-0010-0000-1000-000021000000}" name="PF4"/>
    <tableColumn id="34" xr3:uid="{00000000-0010-0000-1000-000022000000}" name="PF5"/>
    <tableColumn id="35" xr3:uid="{00000000-0010-0000-1000-000023000000}" name="PF6"/>
    <tableColumn id="36" xr3:uid="{00000000-0010-0000-1000-000024000000}" name="PF7"/>
    <tableColumn id="37" xr3:uid="{00000000-0010-0000-1000-000025000000}" name="PF8"/>
    <tableColumn id="38" xr3:uid="{00000000-0010-0000-1000-000026000000}" name="PF9"/>
    <tableColumn id="39" xr3:uid="{00000000-0010-0000-1000-000027000000}" name="PF10"/>
    <tableColumn id="40" xr3:uid="{00000000-0010-0000-1000-000028000000}" name="PF11"/>
    <tableColumn id="41" xr3:uid="{00000000-0010-0000-1000-000029000000}" name="PF12"/>
    <tableColumn id="42" xr3:uid="{00000000-0010-0000-1000-00002A000000}" name="PF13"/>
    <tableColumn id="43" xr3:uid="{00000000-0010-0000-1000-00002B000000}" name="PF14"/>
    <tableColumn id="44" xr3:uid="{00000000-0010-0000-1000-00002C000000}" name="PF15"/>
    <tableColumn id="45" xr3:uid="{00000000-0010-0000-1000-00002D000000}" name="PF16"/>
    <tableColumn id="46" xr3:uid="{00000000-0010-0000-1000-00002E000000}" name="PF17"/>
    <tableColumn id="47" xr3:uid="{00000000-0010-0000-1000-00002F000000}" name="PF18"/>
    <tableColumn id="48" xr3:uid="{00000000-0010-0000-1000-000030000000}" name="PF19"/>
    <tableColumn id="49" xr3:uid="{00000000-0010-0000-1000-000031000000}" name="PF20"/>
    <tableColumn id="50" xr3:uid="{00000000-0010-0000-1000-000032000000}" name="PF21"/>
    <tableColumn id="51" xr3:uid="{00000000-0010-0000-1000-000033000000}" name="PF22"/>
    <tableColumn id="52" xr3:uid="{00000000-0010-0000-1000-000034000000}" name="PF23"/>
    <tableColumn id="53" xr3:uid="{00000000-0010-0000-1000-000035000000}" name="PF24"/>
    <tableColumn id="54" xr3:uid="{00000000-0010-0000-1000-000036000000}" name="PF25"/>
    <tableColumn id="55" xr3:uid="{00000000-0010-0000-1000-000037000000}" name="PF26"/>
    <tableColumn id="56" xr3:uid="{00000000-0010-0000-1000-000038000000}" name="PF27"/>
    <tableColumn id="57" xr3:uid="{00000000-0010-0000-1000-000039000000}" name="PF28"/>
    <tableColumn id="58" xr3:uid="{00000000-0010-0000-1000-00003A000000}" name="PF29"/>
    <tableColumn id="59" xr3:uid="{00000000-0010-0000-1000-00003B000000}" name="PF30"/>
    <tableColumn id="60" xr3:uid="{00000000-0010-0000-1000-00003C000000}" name="PF31"/>
    <tableColumn id="61" xr3:uid="{00000000-0010-0000-1000-00003D000000}" name="PF32"/>
    <tableColumn id="62" xr3:uid="{00000000-0010-0000-1000-00003E000000}" name="PF3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11000000}" name="Table3" displayName="Table3" ref="A3:BJ27" totalsRowShown="0">
  <autoFilter ref="A3:BJ27" xr:uid="{00000000-0009-0000-0100-000003000000}"/>
  <sortState xmlns:xlrd2="http://schemas.microsoft.com/office/spreadsheetml/2017/richdata2" ref="A4:BJ27">
    <sortCondition ref="H3:H27"/>
  </sortState>
  <tableColumns count="62">
    <tableColumn id="1" xr3:uid="{00000000-0010-0000-1100-000001000000}" name="Main thematic areas*_x000a_*referring to EGD Objectives set out in COM(2019) 640 final ANNEX"/>
    <tableColumn id="2" xr3:uid="{00000000-0010-0000-1100-000002000000}" name="Actions*_x000a_*referring to EGD Objectives set out in COM(2019) 640 ANNEX"/>
    <tableColumn id="3" xr3:uid="{00000000-0010-0000-1100-000003000000}" name="Key Policy documents "/>
    <tableColumn id="4" xr3:uid="{00000000-0010-0000-1100-000004000000}" name="Type of Document"/>
    <tableColumn id="5" xr3:uid="{00000000-0010-0000-1100-000005000000}" name="Year of publication"/>
    <tableColumn id="6" xr3:uid="{00000000-0010-0000-1100-000006000000}" name="Binding doc"/>
    <tableColumn id="7" xr3:uid="{00000000-0010-0000-1100-000007000000}" name="Type target"/>
    <tableColumn id="8" xr3:uid="{00000000-0010-0000-1100-000008000000}" name="Targets from legal acts"/>
    <tableColumn id="9" xr3:uid="{00000000-0010-0000-1100-000009000000}" name="Targets from Proposal"/>
    <tableColumn id="10" xr3:uid="{00000000-0010-0000-1100-00000A000000}" name="n"/>
    <tableColumn id="11" xr3:uid="{00000000-0010-0000-1100-00000B000000}" name="Targets"/>
    <tableColumn id="12" xr3:uid="{00000000-0010-0000-1100-00000C000000}" name="Timeline"/>
    <tableColumn id="13" xr3:uid="{00000000-0010-0000-1100-00000D000000}" name="Quantified"/>
    <tableColumn id="14" xr3:uid="{00000000-0010-0000-1100-00000E000000}" name="Comments"/>
    <tableColumn id="15" xr3:uid="{00000000-0010-0000-1100-00000F000000}" name="Fiche"/>
    <tableColumn id="16" xr3:uid="{00000000-0010-0000-1100-000010000000}" name="Indicator"/>
    <tableColumn id="17" xr3:uid="{00000000-0010-0000-1100-000011000000}" name="Quantitative Target"/>
    <tableColumn id="18" xr3:uid="{00000000-0010-0000-1100-000012000000}" name="Distance to Target (GAP)"/>
    <tableColumn id="19" xr3:uid="{00000000-0010-0000-1100-000013000000}" name="Trend"/>
    <tableColumn id="20" xr3:uid="{00000000-0010-0000-1100-000014000000}" name="Colour"/>
    <tableColumn id="21" xr3:uid="{00000000-0010-0000-1100-000015000000}" name="Indicator 8th EAP"/>
    <tableColumn id="22" xr3:uid="{00000000-0010-0000-1100-000016000000}" name="Comments (data used by EAP/presence of gap analysis in EAP)"/>
    <tableColumn id="23" xr3:uid="{00000000-0010-0000-1100-000017000000}" name="Subtopic"/>
    <tableColumn id="24" xr3:uid="{00000000-0010-0000-1100-000018000000}" name="Other topics related"/>
    <tableColumn id="25" xr3:uid="{00000000-0010-0000-1100-000019000000}" name="Main SDG Targets related (draft)"/>
    <tableColumn id="26" xr3:uid="{00000000-0010-0000-1100-00001A000000}" name="SDG goal"/>
    <tableColumn id="27" xr3:uid="{00000000-0010-0000-1100-00001B000000}" name="Origin of main dataset"/>
    <tableColumn id="28" xr3:uid="{00000000-0010-0000-1100-00001C000000}" name="Link to main possible dataset"/>
    <tableColumn id="29" xr3:uid="{00000000-0010-0000-1100-00001D000000}" name="Alternative / complementary dataset 1"/>
    <tableColumn id="30" xr3:uid="{00000000-0010-0000-1100-00001E000000}" name="Alternative /complementary dataset 2"/>
    <tableColumn id="31" xr3:uid="{00000000-0010-0000-1100-00001F000000}" name="PF2"/>
    <tableColumn id="32" xr3:uid="{00000000-0010-0000-1100-000020000000}" name="PF3"/>
    <tableColumn id="33" xr3:uid="{00000000-0010-0000-1100-000021000000}" name="PF4"/>
    <tableColumn id="34" xr3:uid="{00000000-0010-0000-1100-000022000000}" name="PF5"/>
    <tableColumn id="35" xr3:uid="{00000000-0010-0000-1100-000023000000}" name="PF6"/>
    <tableColumn id="36" xr3:uid="{00000000-0010-0000-1100-000024000000}" name="PF7"/>
    <tableColumn id="37" xr3:uid="{00000000-0010-0000-1100-000025000000}" name="PF8"/>
    <tableColumn id="38" xr3:uid="{00000000-0010-0000-1100-000026000000}" name="PF9"/>
    <tableColumn id="39" xr3:uid="{00000000-0010-0000-1100-000027000000}" name="PF10"/>
    <tableColumn id="40" xr3:uid="{00000000-0010-0000-1100-000028000000}" name="PF11"/>
    <tableColumn id="41" xr3:uid="{00000000-0010-0000-1100-000029000000}" name="PF12"/>
    <tableColumn id="42" xr3:uid="{00000000-0010-0000-1100-00002A000000}" name="PF13"/>
    <tableColumn id="43" xr3:uid="{00000000-0010-0000-1100-00002B000000}" name="PF14"/>
    <tableColumn id="44" xr3:uid="{00000000-0010-0000-1100-00002C000000}" name="PF15"/>
    <tableColumn id="45" xr3:uid="{00000000-0010-0000-1100-00002D000000}" name="PF16"/>
    <tableColumn id="46" xr3:uid="{00000000-0010-0000-1100-00002E000000}" name="PF17"/>
    <tableColumn id="47" xr3:uid="{00000000-0010-0000-1100-00002F000000}" name="PF18"/>
    <tableColumn id="48" xr3:uid="{00000000-0010-0000-1100-000030000000}" name="PF19"/>
    <tableColumn id="49" xr3:uid="{00000000-0010-0000-1100-000031000000}" name="PF20"/>
    <tableColumn id="50" xr3:uid="{00000000-0010-0000-1100-000032000000}" name="PF21"/>
    <tableColumn id="51" xr3:uid="{00000000-0010-0000-1100-000033000000}" name="PF22"/>
    <tableColumn id="52" xr3:uid="{00000000-0010-0000-1100-000034000000}" name="PF23"/>
    <tableColumn id="53" xr3:uid="{00000000-0010-0000-1100-000035000000}" name="PF24"/>
    <tableColumn id="54" xr3:uid="{00000000-0010-0000-1100-000036000000}" name="PF25"/>
    <tableColumn id="55" xr3:uid="{00000000-0010-0000-1100-000037000000}" name="PF26"/>
    <tableColumn id="56" xr3:uid="{00000000-0010-0000-1100-000038000000}" name="PF27"/>
    <tableColumn id="57" xr3:uid="{00000000-0010-0000-1100-000039000000}" name="PF28"/>
    <tableColumn id="58" xr3:uid="{00000000-0010-0000-1100-00003A000000}" name="PF29"/>
    <tableColumn id="59" xr3:uid="{00000000-0010-0000-1100-00003B000000}" name="PF30"/>
    <tableColumn id="60" xr3:uid="{00000000-0010-0000-1100-00003C000000}" name="PF31"/>
    <tableColumn id="61" xr3:uid="{00000000-0010-0000-1100-00003D000000}" name="PF32"/>
    <tableColumn id="62" xr3:uid="{00000000-0010-0000-1100-00003E000000}" name="PF3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web/sdi/database" TargetMode="External"/><Relationship Id="rId2" Type="http://schemas.openxmlformats.org/officeDocument/2006/relationships/hyperlink" Target="https://ec.europa.eu/eurostat/cache/egd-statistics/" TargetMode="External"/><Relationship Id="rId1" Type="http://schemas.openxmlformats.org/officeDocument/2006/relationships/hyperlink" Target="https://dopa.jrc.ec.europa.eu/kcbd/dashboard/" TargetMode="External"/><Relationship Id="rId6" Type="http://schemas.openxmlformats.org/officeDocument/2006/relationships/printerSettings" Target="../printerSettings/printerSettings1.bin"/><Relationship Id="rId5" Type="http://schemas.openxmlformats.org/officeDocument/2006/relationships/hyperlink" Target="https://ec.europa.eu/eurostat/databrowser/explore/all/envir?lang=en&amp;subtheme=env.env_was&amp;display=list&amp;sort=category" TargetMode="External"/><Relationship Id="rId4" Type="http://schemas.openxmlformats.org/officeDocument/2006/relationships/hyperlink" Target="https://publications.jrc.ec.europa.eu/repository/bitstream/JRC129381/JRC129381_01.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17" Type="http://schemas.openxmlformats.org/officeDocument/2006/relationships/hyperlink" Target="https://environment.ec.europa.eu/system/files/2022-10/Proposal%20for%20a%20Directive%20concerning%20urban%20wastewater%20treatment%20%28recast%29.pdf" TargetMode="External"/><Relationship Id="rId21" Type="http://schemas.openxmlformats.org/officeDocument/2006/relationships/hyperlink" Target="https://eur-lex.europa.eu/legal-content/EN/TXT/?uri=CELEX%3A32013R1315" TargetMode="External"/><Relationship Id="rId42" Type="http://schemas.openxmlformats.org/officeDocument/2006/relationships/hyperlink" Target="https://eur-lex.europa.eu/legal-content/EN/TXT/PDF/?uri=CELEX:52021DC0560&amp;from=nl" TargetMode="External"/><Relationship Id="rId63" Type="http://schemas.openxmlformats.org/officeDocument/2006/relationships/hyperlink" Target="https://eur-lex.europa.eu/legal-content/EN/TXT/?uri=OJ%3AJOL_2023_231_R_0001&amp;qid=1695186598766" TargetMode="External"/><Relationship Id="rId84" Type="http://schemas.openxmlformats.org/officeDocument/2006/relationships/hyperlink" Target="https://eur-lex.europa.eu/legal-content/EN/TXT/?uri=CELEX%3A52021DC0699" TargetMode="External"/><Relationship Id="rId138" Type="http://schemas.openxmlformats.org/officeDocument/2006/relationships/hyperlink" Target="https://eur-lex.europa.eu/legal-content/EN/TXT/?qid=1590574123338&amp;uri=CELEX%3A52020DC0380" TargetMode="External"/><Relationship Id="rId159" Type="http://schemas.openxmlformats.org/officeDocument/2006/relationships/hyperlink" Target="https://eur-lex.europa.eu/eli/reg/2023/1804/oj" TargetMode="External"/><Relationship Id="rId170" Type="http://schemas.openxmlformats.org/officeDocument/2006/relationships/hyperlink" Target="https://eur-lex.europa.eu/legal-content/EN/TXT/?uri=CELEX%3A52020DC0301" TargetMode="External"/><Relationship Id="rId107" Type="http://schemas.openxmlformats.org/officeDocument/2006/relationships/hyperlink" Target="https://eur-lex.europa.eu/legal-content/EN/TXT/?uri=OJ:L_202302413" TargetMode="External"/><Relationship Id="rId11" Type="http://schemas.openxmlformats.org/officeDocument/2006/relationships/hyperlink" Target="https://commission.europa.eu/system/files/2023-02/COM_2023_62_2_EN_ACT_A%20Green%20Deal%20Industrial%20Plan%20for%20the%20Net-Zero%20Age.pdf" TargetMode="External"/><Relationship Id="rId32" Type="http://schemas.openxmlformats.org/officeDocument/2006/relationships/hyperlink" Target="https://eur-lex.europa.eu/legal-content/EN/TXT/?uri=CELEX%3A52023DC0103" TargetMode="External"/><Relationship Id="rId53" Type="http://schemas.openxmlformats.org/officeDocument/2006/relationships/hyperlink" Target="https://www.consilium.europa.eu/en/press/press-releases/2023/03/10/council-and-parliament-strike-deal-on-energy-efficiency-directive/" TargetMode="External"/><Relationship Id="rId74" Type="http://schemas.openxmlformats.org/officeDocument/2006/relationships/hyperlink" Target="https://eur-lex.europa.eu/legal-content/EN/TXT/?uri=OJ%3AJOL_2023_231_R_0001&amp;qid=1695186598766" TargetMode="External"/><Relationship Id="rId128" Type="http://schemas.openxmlformats.org/officeDocument/2006/relationships/hyperlink" Target="https://eur-lex.europa.eu/legal-content/EN/TXT/HTML/?uri=CELEX:52021DC0400" TargetMode="External"/><Relationship Id="rId149" Type="http://schemas.openxmlformats.org/officeDocument/2006/relationships/hyperlink" Target="https://environment.ec.europa.eu/publications/proposal-targeted-revision-waste-framework-directive_en" TargetMode="External"/><Relationship Id="rId5" Type="http://schemas.openxmlformats.org/officeDocument/2006/relationships/hyperlink" Target="https://eur-lex.europa.eu/legal-content/EN/TXT/?uri=CELEX%3A32022R2299&amp;qid=1669912064557" TargetMode="External"/><Relationship Id="rId95" Type="http://schemas.openxmlformats.org/officeDocument/2006/relationships/hyperlink" Target="https://eur-lex.europa.eu/legal-content/EN/TXT/?qid=1603122220757&amp;uri=CELEX:52020DC0662" TargetMode="External"/><Relationship Id="rId160" Type="http://schemas.openxmlformats.org/officeDocument/2006/relationships/hyperlink" Target="https://eur-lex.europa.eu/eli/reg/2023/1804/oj" TargetMode="External"/><Relationship Id="rId181" Type="http://schemas.openxmlformats.org/officeDocument/2006/relationships/hyperlink" Target="https://eur-lex.europa.eu/legal-content/EN/TXT/?uri=COM%3A2022%3A542%3AFIN" TargetMode="External"/><Relationship Id="rId22" Type="http://schemas.openxmlformats.org/officeDocument/2006/relationships/hyperlink" Target="https://eur-lex.europa.eu/legal-content/EN/TXT/?uri=celex%3A52022PC0586" TargetMode="External"/><Relationship Id="rId43" Type="http://schemas.openxmlformats.org/officeDocument/2006/relationships/hyperlink" Target="https://eur-lex.europa.eu/eli/dir/2023/959" TargetMode="External"/><Relationship Id="rId64" Type="http://schemas.openxmlformats.org/officeDocument/2006/relationships/hyperlink" Target="https://eur-lex.europa.eu/legal-content/EN/TXT/?uri=CELEX%3A32021R1119" TargetMode="External"/><Relationship Id="rId118" Type="http://schemas.openxmlformats.org/officeDocument/2006/relationships/hyperlink" Target="https://environment.ec.europa.eu/system/files/2022-10/Proposal%20for%20a%20Directive%20concerning%20urban%20wastewater%20treatment%20%28recast%29.pdf" TargetMode="External"/><Relationship Id="rId139" Type="http://schemas.openxmlformats.org/officeDocument/2006/relationships/hyperlink" Target="https://eur-lex.europa.eu/legal-content/EN/TXT/?qid=1590574123338&amp;uri=CELEX%3A52020DC0380" TargetMode="External"/><Relationship Id="rId85" Type="http://schemas.openxmlformats.org/officeDocument/2006/relationships/hyperlink" Target="https://eur-lex.europa.eu/legal-content/EN/TXT/?qid=1590574123338&amp;uri=CELEX%3A52020DC0380" TargetMode="External"/><Relationship Id="rId150" Type="http://schemas.openxmlformats.org/officeDocument/2006/relationships/hyperlink" Target="https://eur-lex.europa.eu/legal-content/EN/TXT/?uri=CELEX%3A32023R1805" TargetMode="External"/><Relationship Id="rId171" Type="http://schemas.openxmlformats.org/officeDocument/2006/relationships/hyperlink" Target="https://eur-lex.europa.eu/legal-content/en/TXT/?uri=CELEX%3A52020DC0575" TargetMode="External"/><Relationship Id="rId12" Type="http://schemas.openxmlformats.org/officeDocument/2006/relationships/hyperlink" Target="https://data.consilium.europa.eu/doc/document/PE-2-2023-INIT/en/pdf" TargetMode="External"/><Relationship Id="rId33" Type="http://schemas.openxmlformats.org/officeDocument/2006/relationships/hyperlink" Target="https://oceans-and-fisheries.ec.europa.eu/system/files/2023-02/COM-2023-102_en.pdf" TargetMode="External"/><Relationship Id="rId108" Type="http://schemas.openxmlformats.org/officeDocument/2006/relationships/hyperlink" Target="https://eur-lex.europa.eu/legal-content/EN/TXT/?uri=OJ:L_202302413" TargetMode="External"/><Relationship Id="rId129" Type="http://schemas.openxmlformats.org/officeDocument/2006/relationships/hyperlink" Target="https://eur-lex.europa.eu/legal-content/EN/TXT/HTML/?uri=CELEX:52021DC0400" TargetMode="External"/><Relationship Id="rId54" Type="http://schemas.openxmlformats.org/officeDocument/2006/relationships/hyperlink" Target="https://eur-lex.europa.eu/eli/dir/2023/958" TargetMode="External"/><Relationship Id="rId75" Type="http://schemas.openxmlformats.org/officeDocument/2006/relationships/hyperlink" Target="https://eur-lex.europa.eu/legal-content/EN/TXT/?uri=OJ%3AJOL_2023_231_R_0001&amp;qid=1695186598766" TargetMode="External"/><Relationship Id="rId96" Type="http://schemas.openxmlformats.org/officeDocument/2006/relationships/hyperlink" Target="https://eur-lex.europa.eu/legal-content/EN/TXT/?uri=celex%3A32018L0851" TargetMode="External"/><Relationship Id="rId140" Type="http://schemas.openxmlformats.org/officeDocument/2006/relationships/hyperlink" Target="https://eur-lex.europa.eu/legal-content/EN/TXT/?qid=1590574123338&amp;uri=CELEX%3A52020DC0380" TargetMode="External"/><Relationship Id="rId161" Type="http://schemas.openxmlformats.org/officeDocument/2006/relationships/hyperlink" Target="https://eur-lex.europa.eu/eli/reg/2023/1804/oj" TargetMode="External"/><Relationship Id="rId182" Type="http://schemas.openxmlformats.org/officeDocument/2006/relationships/hyperlink" Target="https://eur-lex.europa.eu/eli/reg/2023/1804/oj" TargetMode="External"/><Relationship Id="rId6" Type="http://schemas.openxmlformats.org/officeDocument/2006/relationships/hyperlink" Target="https://eur-lex.europa.eu/legal-content/EN/ALL/?uri=COM:2020:299:FIN" TargetMode="External"/><Relationship Id="rId23" Type="http://schemas.openxmlformats.org/officeDocument/2006/relationships/hyperlink" Target="https://ec.europa.eu/info/law/better-regulation/have-your-say/initiatives/12438-Sustainable-and-Smart-Mobility-Strategy_en" TargetMode="External"/><Relationship Id="rId119" Type="http://schemas.openxmlformats.org/officeDocument/2006/relationships/hyperlink" Target="https://eur-lex.europa.eu/legal-content/EN/TXT/?uri=CELEX%3A52023PC0148&amp;qid=1679410882233" TargetMode="External"/><Relationship Id="rId44" Type="http://schemas.openxmlformats.org/officeDocument/2006/relationships/hyperlink" Target="https://oceans-and-fisheries.ec.europa.eu/system/files/2023-02/COM-2023-100_en.pdf" TargetMode="External"/><Relationship Id="rId65" Type="http://schemas.openxmlformats.org/officeDocument/2006/relationships/hyperlink" Target="https://eur-lex.europa.eu/legal-content/EN/TXT/?qid=1603122220757&amp;uri=CELEX:52020DC0662" TargetMode="External"/><Relationship Id="rId86" Type="http://schemas.openxmlformats.org/officeDocument/2006/relationships/hyperlink" Target="https://eur-lex.europa.eu/legal-content/EN/TXT/?uri=CELEX%3A52021PC0802&amp;qid=1641802763889" TargetMode="External"/><Relationship Id="rId130" Type="http://schemas.openxmlformats.org/officeDocument/2006/relationships/hyperlink" Target="https://eur-lex.europa.eu/legal-content/EN/TXT/HTML/?uri=CELEX:52021DC0400" TargetMode="External"/><Relationship Id="rId151" Type="http://schemas.openxmlformats.org/officeDocument/2006/relationships/hyperlink" Target="https://eur-lex.europa.eu/legal-content/EN/TXT/?uri=CELEX%3A32023R1805" TargetMode="External"/><Relationship Id="rId172" Type="http://schemas.openxmlformats.org/officeDocument/2006/relationships/hyperlink" Target="https://eur-lex.europa.eu/legal-content/EN/TXT/?uri=CELEX%3A52020DC0663" TargetMode="External"/><Relationship Id="rId13" Type="http://schemas.openxmlformats.org/officeDocument/2006/relationships/hyperlink" Target="https://environment.ec.europa.eu/system/files/2022-11/Proposal%20for%20a%20Regulation%20on%20packaging%20and%20packaging%20waste.pdf" TargetMode="External"/><Relationship Id="rId18" Type="http://schemas.openxmlformats.org/officeDocument/2006/relationships/hyperlink" Target="https://eur-lex.europa.eu/legal-content/EN/TXT/?uri=CELEX%3A32013R1315" TargetMode="External"/><Relationship Id="rId39" Type="http://schemas.openxmlformats.org/officeDocument/2006/relationships/hyperlink" Target="https://ec.europa.eu/info/law/better-regulation/have-your-say/initiatives/12438-Sustainable-and-Smart-Mobility-Strategy_en" TargetMode="External"/><Relationship Id="rId109" Type="http://schemas.openxmlformats.org/officeDocument/2006/relationships/hyperlink" Target="https://eur-lex.europa.eu/legal-content/EN/TXT/?uri=OJ:L_202302413" TargetMode="External"/><Relationship Id="rId34" Type="http://schemas.openxmlformats.org/officeDocument/2006/relationships/hyperlink" Target="https://eur-lex.europa.eu/legal-content/EN/TXT/?uri=CELEX%3A52021DC0699" TargetMode="External"/><Relationship Id="rId50" Type="http://schemas.openxmlformats.org/officeDocument/2006/relationships/hyperlink" Target="https://www.europarl.europa.eu/news/en/press-room/20230424IPR82023/fit-for-55-parliament-and-council-reach-deal-on-greener-aviation-fuels" TargetMode="External"/><Relationship Id="rId55" Type="http://schemas.openxmlformats.org/officeDocument/2006/relationships/hyperlink" Target="https://commission.europa.eu/system/files/2023-07/Communication%20on%20Sustainable%20Use%20of%20Natural%20Resources.pdf" TargetMode="External"/><Relationship Id="rId76" Type="http://schemas.openxmlformats.org/officeDocument/2006/relationships/hyperlink" Target="https://eur-lex.europa.eu/legal-content/EN/TXT/?uri=OJ%3AJOL_2023_231_R_0001&amp;qid=1695186598766" TargetMode="External"/><Relationship Id="rId97" Type="http://schemas.openxmlformats.org/officeDocument/2006/relationships/hyperlink" Target="https://eur-lex.europa.eu/legal-content/EN/TXT/HTML/?uri=CELEX:32019R0631" TargetMode="External"/><Relationship Id="rId104" Type="http://schemas.openxmlformats.org/officeDocument/2006/relationships/hyperlink" Target="https://eur-lex.europa.eu/legal-content/EN/TXT/?uri=OJ:L_202302413" TargetMode="External"/><Relationship Id="rId120" Type="http://schemas.openxmlformats.org/officeDocument/2006/relationships/hyperlink" Target="https://environment.ec.europa.eu/system/files/2022-10/Proposal%20for%20a%20Directive%20amending%20the%20Water%20Framework%20Directive%2C%20the%20Groundwater%20Directive%20and%20the%20Environmental%20Quality%20Standards%20Directive.pdf" TargetMode="External"/><Relationship Id="rId125" Type="http://schemas.openxmlformats.org/officeDocument/2006/relationships/hyperlink" Target="https://eur-lex.europa.eu/legal-content/EN/TXT/HTML/?uri=CELEX:52021DC0400" TargetMode="External"/><Relationship Id="rId141" Type="http://schemas.openxmlformats.org/officeDocument/2006/relationships/hyperlink" Target="https://eur-lex.europa.eu/legal-content/EN/TXT/?qid=1590574123338&amp;uri=CELEX%3A52020DC0380" TargetMode="External"/><Relationship Id="rId146" Type="http://schemas.openxmlformats.org/officeDocument/2006/relationships/hyperlink" Target="https://eur-lex.europa.eu/legal-content/EN/TXT/?qid=1590574123338&amp;uri=CELEX%3A52020DC0380" TargetMode="External"/><Relationship Id="rId167" Type="http://schemas.openxmlformats.org/officeDocument/2006/relationships/hyperlink" Target="https://eur-lex.europa.eu/legal-content/EN/TXT/?uri=CELEX%3A52021PC0562" TargetMode="External"/><Relationship Id="rId188" Type="http://schemas.openxmlformats.org/officeDocument/2006/relationships/table" Target="../tables/table14.xml"/><Relationship Id="rId7" Type="http://schemas.openxmlformats.org/officeDocument/2006/relationships/hyperlink" Target="https://eur-lex.europa.eu/legal-content/EN/TXT/?qid=1603122220757&amp;uri=CELEX:52020DC0662" TargetMode="External"/><Relationship Id="rId71" Type="http://schemas.openxmlformats.org/officeDocument/2006/relationships/hyperlink" Target="https://eur-lex.europa.eu/eli/reg/2023/839/oj" TargetMode="External"/><Relationship Id="rId92" Type="http://schemas.openxmlformats.org/officeDocument/2006/relationships/hyperlink" Target="https://eur-lex.europa.eu/legal-content/EN/TXT/?uri=COM:2021:240:FIN" TargetMode="External"/><Relationship Id="rId162" Type="http://schemas.openxmlformats.org/officeDocument/2006/relationships/hyperlink" Target="https://eur-lex.europa.eu/eli/reg/2023/1804/oj" TargetMode="External"/><Relationship Id="rId183" Type="http://schemas.openxmlformats.org/officeDocument/2006/relationships/hyperlink" Target="https://eur-lex.europa.eu/eli/reg/2023/1804/oj" TargetMode="External"/><Relationship Id="rId2" Type="http://schemas.openxmlformats.org/officeDocument/2006/relationships/hyperlink" Target="https://ec.europa.eu/info/law/better-regulation/have-your-say/initiatives/12227-EU-Green-Deal-Revision-of-the-Energy-Taxation-Directive_en" TargetMode="External"/><Relationship Id="rId29" Type="http://schemas.openxmlformats.org/officeDocument/2006/relationships/hyperlink" Target="https://eur-lex.europa.eu/legal-content/EN/TXT/?uri=CELEX%3A52022PC0156R%2802%29&amp;qid=1651130627889" TargetMode="External"/><Relationship Id="rId24" Type="http://schemas.openxmlformats.org/officeDocument/2006/relationships/hyperlink" Target="https://eur-lex.europa.eu/legal-content/EN/TXT/PDF/?uri=CELEX:52021DC0550&amp;from=IT" TargetMode="External"/><Relationship Id="rId40" Type="http://schemas.openxmlformats.org/officeDocument/2006/relationships/hyperlink" Target="https://eur-lex.europa.eu/legal-content/EN/TXT/?uri=CELEX%3A52021DC0572" TargetMode="External"/><Relationship Id="rId45" Type="http://schemas.openxmlformats.org/officeDocument/2006/relationships/hyperlink" Target="https://eur-lex.europa.eu/legal-content/EN/TXT/?uri=COM%3A2023%3A35%3AFIN&amp;qid=1674555285177" TargetMode="External"/><Relationship Id="rId66" Type="http://schemas.openxmlformats.org/officeDocument/2006/relationships/hyperlink" Target="https://eur-lex.europa.eu/legal-content/EN/TXT/?uri=COM%3A2023%3A88%3AFIN" TargetMode="External"/><Relationship Id="rId87" Type="http://schemas.openxmlformats.org/officeDocument/2006/relationships/hyperlink" Target="https://eur-lex.europa.eu/legal-content/EN/TXT/?uri=CELEX%3A52021PC0802&amp;qid=1641802763889" TargetMode="External"/><Relationship Id="rId110" Type="http://schemas.openxmlformats.org/officeDocument/2006/relationships/hyperlink" Target="https://eur-lex.europa.eu/legal-content/EN/TXT/?uri=OJ:L_202302413" TargetMode="External"/><Relationship Id="rId115" Type="http://schemas.openxmlformats.org/officeDocument/2006/relationships/hyperlink" Target="https://environment.ec.europa.eu/system/files/2022-10/Proposal%20for%20a%20Directive%20concerning%20urban%20wastewater%20treatment%20%28recast%29.pdf" TargetMode="External"/><Relationship Id="rId131" Type="http://schemas.openxmlformats.org/officeDocument/2006/relationships/hyperlink" Target="https://eur-lex.europa.eu/legal-content/EN/TXT/HTML/?uri=CELEX:52021DC0400" TargetMode="External"/><Relationship Id="rId136" Type="http://schemas.openxmlformats.org/officeDocument/2006/relationships/hyperlink" Target="https://eur-lex.europa.eu/legal-content/EN/TXT/?qid=1590574123338&amp;uri=CELEX%3A52020DC0380" TargetMode="External"/><Relationship Id="rId157" Type="http://schemas.openxmlformats.org/officeDocument/2006/relationships/hyperlink" Target="https://eur-lex.europa.eu/eli/reg/2023/1804/oj" TargetMode="External"/><Relationship Id="rId178" Type="http://schemas.openxmlformats.org/officeDocument/2006/relationships/hyperlink" Target="https://eur-lex.europa.eu/legal-content/EN/TXT/?uri=CELEX%3A52021PC0802&amp;qid=1641802763889" TargetMode="External"/><Relationship Id="rId61" Type="http://schemas.openxmlformats.org/officeDocument/2006/relationships/hyperlink" Target="https://environment.ec.europa.eu/publications/proposal-targeted-revision-waste-framework-directive_en" TargetMode="External"/><Relationship Id="rId82" Type="http://schemas.openxmlformats.org/officeDocument/2006/relationships/hyperlink" Target="https://eur-lex.europa.eu/legal-content/EN/TXT/?uri=CELEX%3A52021DC0572" TargetMode="External"/><Relationship Id="rId152" Type="http://schemas.openxmlformats.org/officeDocument/2006/relationships/hyperlink" Target="https://eur-lex.europa.eu/legal-content/en/ALL/?uri=CELEX:52021DC0082" TargetMode="External"/><Relationship Id="rId173" Type="http://schemas.openxmlformats.org/officeDocument/2006/relationships/hyperlink" Target="https://eur-lex.europa.eu/eli/dir/2023/959" TargetMode="External"/><Relationship Id="rId19" Type="http://schemas.openxmlformats.org/officeDocument/2006/relationships/hyperlink" Target="https://ec.europa.eu/info/law/better-regulation/have-your-say/initiatives/12789-Inland-waterway-transport-NAIADES-III-action-plan-2021-2027_en" TargetMode="External"/><Relationship Id="rId14" Type="http://schemas.openxmlformats.org/officeDocument/2006/relationships/hyperlink" Target="https://eur-lex.europa.eu/eli/dir/2019/904/oj" TargetMode="External"/><Relationship Id="rId30" Type="http://schemas.openxmlformats.org/officeDocument/2006/relationships/hyperlink" Target="https://eur-lex.europa.eu/legal-content/EN/TXT/?uri=CELEX%3A52022PC0157" TargetMode="External"/><Relationship Id="rId35" Type="http://schemas.openxmlformats.org/officeDocument/2006/relationships/hyperlink" Target="https://eur-lex.europa.eu/legal-content/EN/TXT/?uri=CELEX:52020DC0381" TargetMode="External"/><Relationship Id="rId56" Type="http://schemas.openxmlformats.org/officeDocument/2006/relationships/hyperlink" Target="https://commission.europa.eu/system/files/2023-07/Communication%20on%20Sustainable%20Use%20of%20Natural%20Resources.pdf" TargetMode="External"/><Relationship Id="rId77" Type="http://schemas.openxmlformats.org/officeDocument/2006/relationships/hyperlink" Target="https://knowledge4policy.ec.europa.eu/news/european-commission-proposes-introduction-ecosystem-accounts_en" TargetMode="External"/><Relationship Id="rId100" Type="http://schemas.openxmlformats.org/officeDocument/2006/relationships/hyperlink" Target="https://energy.ec.europa.eu/system/files/2023-10/COM_2023_669_1_EN_ACT_part1_v8.pdf" TargetMode="External"/><Relationship Id="rId105" Type="http://schemas.openxmlformats.org/officeDocument/2006/relationships/hyperlink" Target="https://eur-lex.europa.eu/legal-content/EN/TXT/?uri=OJ:L_202302413" TargetMode="External"/><Relationship Id="rId126" Type="http://schemas.openxmlformats.org/officeDocument/2006/relationships/hyperlink" Target="https://eur-lex.europa.eu/legal-content/EN/TXT/HTML/?uri=CELEX:52021DC0400" TargetMode="External"/><Relationship Id="rId147" Type="http://schemas.openxmlformats.org/officeDocument/2006/relationships/hyperlink" Target="https://eur-lex.europa.eu/legal-content/EN/TXT/?qid=1590574123338&amp;uri=CELEX%3A52020DC0380" TargetMode="External"/><Relationship Id="rId168" Type="http://schemas.openxmlformats.org/officeDocument/2006/relationships/hyperlink" Target="https://eur-lex.europa.eu/legal-content/EN/TXT/PDF/?uri=CONSIL:ST_15907_2023_INIT" TargetMode="External"/><Relationship Id="rId8" Type="http://schemas.openxmlformats.org/officeDocument/2006/relationships/hyperlink" Target="https://eur-lex.europa.eu/eli/reg/2022/869/oj" TargetMode="External"/><Relationship Id="rId51" Type="http://schemas.openxmlformats.org/officeDocument/2006/relationships/hyperlink" Target="https://eur-lex.europa.eu/eli/reg/2023/857" TargetMode="External"/><Relationship Id="rId72" Type="http://schemas.openxmlformats.org/officeDocument/2006/relationships/hyperlink" Target="https://oceans-and-fisheries.ec.europa.eu/system/files/2023-02/COM-2023-100_en.pdf" TargetMode="External"/><Relationship Id="rId93" Type="http://schemas.openxmlformats.org/officeDocument/2006/relationships/hyperlink" Target="https://eur-lex.europa.eu/legal-content/EN/TXT/?uri=CELEX%3A52021DC0699" TargetMode="External"/><Relationship Id="rId98" Type="http://schemas.openxmlformats.org/officeDocument/2006/relationships/hyperlink" Target="https://eur-lex.europa.eu/legal-content/EN/TXT/HTML/?uri=CELEX:32019R0631" TargetMode="External"/><Relationship Id="rId121" Type="http://schemas.openxmlformats.org/officeDocument/2006/relationships/hyperlink" Target="https://eur-lex.europa.eu/legal-content/EN/TXT/?uri=CELEX%3A52023PC0702" TargetMode="External"/><Relationship Id="rId142" Type="http://schemas.openxmlformats.org/officeDocument/2006/relationships/hyperlink" Target="https://eur-lex.europa.eu/legal-content/EN/TXT/?qid=1590574123338&amp;uri=CELEX%3A52020DC0380" TargetMode="External"/><Relationship Id="rId163" Type="http://schemas.openxmlformats.org/officeDocument/2006/relationships/hyperlink" Target="https://eur-lex.europa.eu/legal-content/EN/TXT/?uri=COM%3A2023%3A88%3AFIN" TargetMode="External"/><Relationship Id="rId184" Type="http://schemas.openxmlformats.org/officeDocument/2006/relationships/hyperlink" Target="https://eur-lex.europa.eu/legal-content/EN/TXT/?uri=CELEX%3A52021DC0699" TargetMode="External"/><Relationship Id="rId189" Type="http://schemas.openxmlformats.org/officeDocument/2006/relationships/comments" Target="../comments1.xml"/><Relationship Id="rId3" Type="http://schemas.openxmlformats.org/officeDocument/2006/relationships/hyperlink" Target="https://eur-lex.europa.eu/eli/reg/2023/956" TargetMode="External"/><Relationship Id="rId25" Type="http://schemas.openxmlformats.org/officeDocument/2006/relationships/hyperlink" Target="https://eur-lex.europa.eu/legal-content/EN/TXT/?qid=1590574123338&amp;uri=CELEX%3A52020DC0380" TargetMode="External"/><Relationship Id="rId46" Type="http://schemas.openxmlformats.org/officeDocument/2006/relationships/hyperlink" Target="https://eur-lex.europa.eu/legal-content/EN/TXT/?uri=CELEX%3A52023PC0161" TargetMode="External"/><Relationship Id="rId67" Type="http://schemas.openxmlformats.org/officeDocument/2006/relationships/hyperlink" Target="https://eur-lex.europa.eu/legal-content/EN/TXT/HTML/?uri=CELEX:52021DC0400" TargetMode="External"/><Relationship Id="rId116" Type="http://schemas.openxmlformats.org/officeDocument/2006/relationships/hyperlink" Target="https://environment.ec.europa.eu/system/files/2022-10/Proposal%20for%20a%20Directive%20concerning%20urban%20wastewater%20treatment%20%28recast%29.pdf" TargetMode="External"/><Relationship Id="rId137" Type="http://schemas.openxmlformats.org/officeDocument/2006/relationships/hyperlink" Target="https://eur-lex.europa.eu/legal-content/EN/TXT/?qid=1590574123338&amp;uri=CELEX%3A52020DC0380" TargetMode="External"/><Relationship Id="rId158" Type="http://schemas.openxmlformats.org/officeDocument/2006/relationships/hyperlink" Target="https://eur-lex.europa.eu/eli/reg/2023/1804/oj" TargetMode="External"/><Relationship Id="rId20" Type="http://schemas.openxmlformats.org/officeDocument/2006/relationships/hyperlink" Target="https://ec.europa.eu/info/law/better-regulation/have-your-say/initiatives/12438-Sustainable-and-Smart-Mobility-Strategy_en" TargetMode="External"/><Relationship Id="rId41" Type="http://schemas.openxmlformats.org/officeDocument/2006/relationships/hyperlink" Target="https://eur-lex.europa.eu/legal-content/EN/TXT/?uri=CELEX%3A32019R1241" TargetMode="External"/><Relationship Id="rId62" Type="http://schemas.openxmlformats.org/officeDocument/2006/relationships/hyperlink" Target="https://environment.ec.europa.eu/system/files/2023-07/Proposal%20for%20a%20DIRECTIVE%20OF%20THE%20EUROPEAN%20PARLIAMENT%20AND%20OF%20THE%20COUNCIL%20on%20Soil%20Monitoring%20and%20Resilience_COM_2023_416_final.pdf" TargetMode="External"/><Relationship Id="rId83" Type="http://schemas.openxmlformats.org/officeDocument/2006/relationships/hyperlink" Target="https://eur-lex.europa.eu/legal-content/EN/TXT/?uri=CELEX%3A52021DC0699" TargetMode="External"/><Relationship Id="rId88" Type="http://schemas.openxmlformats.org/officeDocument/2006/relationships/hyperlink" Target="https://eur-lex.europa.eu/legal-content/EN/TXT/?uri=CELEX%3A52021PC0802&amp;qid=1641802763889" TargetMode="External"/><Relationship Id="rId111" Type="http://schemas.openxmlformats.org/officeDocument/2006/relationships/hyperlink" Target="https://eur-lex.europa.eu/legal-content/EN/TXT/?uri=OJ:L_202302413" TargetMode="External"/><Relationship Id="rId132" Type="http://schemas.openxmlformats.org/officeDocument/2006/relationships/hyperlink" Target="https://eur-lex.europa.eu/legal-content/EN/TXT/?qid=1590574123338&amp;uri=CELEX%3A52020DC0380" TargetMode="External"/><Relationship Id="rId153" Type="http://schemas.openxmlformats.org/officeDocument/2006/relationships/hyperlink" Target="https://eur-lex.europa.eu/legal-content/EN/TXT/?uri=COM%3A2022%3A230%3AFIN" TargetMode="External"/><Relationship Id="rId174" Type="http://schemas.openxmlformats.org/officeDocument/2006/relationships/hyperlink" Target="https://data.consilium.europa.eu/doc/document/PE-2-2023-INIT/en/pdf" TargetMode="External"/><Relationship Id="rId179" Type="http://schemas.openxmlformats.org/officeDocument/2006/relationships/hyperlink" Target="https://environment.ec.europa.eu/system/files/2022-10/Proposal%20for%20a%20Directive%20concerning%20urban%20wastewater%20treatment%20%28recast%29.pdf" TargetMode="External"/><Relationship Id="rId190" Type="http://schemas.microsoft.com/office/2019/04/relationships/namedSheetView" Target="../namedSheetViews/namedSheetView1.xml"/><Relationship Id="rId15" Type="http://schemas.openxmlformats.org/officeDocument/2006/relationships/hyperlink" Target="https://eur-lex.europa.eu/legal-content/EN/TXT/?uri=CELEX:02012L0019-20180704" TargetMode="External"/><Relationship Id="rId36" Type="http://schemas.openxmlformats.org/officeDocument/2006/relationships/hyperlink" Target="https://eur-lex.europa.eu/legal-content/EN/TXT/?uri=CELEX%3A52021PC0802&amp;qid=1641802763889" TargetMode="External"/><Relationship Id="rId57" Type="http://schemas.openxmlformats.org/officeDocument/2006/relationships/hyperlink" Target="https://commission.europa.eu/system/files/2023-07/Communication%20on%20Sustainable%20Use%20of%20Natural%20Resources.pdf" TargetMode="External"/><Relationship Id="rId106" Type="http://schemas.openxmlformats.org/officeDocument/2006/relationships/hyperlink" Target="https://eur-lex.europa.eu/legal-content/EN/TXT/?uri=OJ:L_202302413" TargetMode="External"/><Relationship Id="rId127" Type="http://schemas.openxmlformats.org/officeDocument/2006/relationships/hyperlink" Target="https://eur-lex.europa.eu/legal-content/EN/TXT/HTML/?uri=CELEX:52021DC0400" TargetMode="External"/><Relationship Id="rId10" Type="http://schemas.openxmlformats.org/officeDocument/2006/relationships/hyperlink" Target="https://eur-lex.europa.eu/legal-content/EN/TXT/?qid=1593086905382&amp;uri=CELEX%3A52020DC0102" TargetMode="External"/><Relationship Id="rId31" Type="http://schemas.openxmlformats.org/officeDocument/2006/relationships/hyperlink" Target="https://eur-lex.europa.eu/legal-content/EN/TXT/?uri=COM:2021:240:FIN" TargetMode="External"/><Relationship Id="rId52" Type="http://schemas.openxmlformats.org/officeDocument/2006/relationships/hyperlink" Target="https://www.consilium.europa.eu/en/press/press-releases/2023/03/10/council-and-parliament-strike-deal-on-energy-efficiency-directive/" TargetMode="External"/><Relationship Id="rId73" Type="http://schemas.openxmlformats.org/officeDocument/2006/relationships/hyperlink" Target="https://eur-lex.europa.eu/legal-content/EN/TXT/?uri=OJ%3AJOL_2023_231_R_0001&amp;qid=1695186598766" TargetMode="External"/><Relationship Id="rId78" Type="http://schemas.openxmlformats.org/officeDocument/2006/relationships/hyperlink" Target="https://eur-lex.europa.eu/legal-content/EN/TXT/?uri=CELEX%3A52021DC0572" TargetMode="External"/><Relationship Id="rId94" Type="http://schemas.openxmlformats.org/officeDocument/2006/relationships/hyperlink" Target="https://eur-lex.europa.eu/legal-content/EN/TXT/?uri=OJ:L_202302413" TargetMode="External"/><Relationship Id="rId99" Type="http://schemas.openxmlformats.org/officeDocument/2006/relationships/hyperlink" Target="https://eur-lex.europa.eu/legal-content/en/TXT/?uri=CELEX%3A52020DC0575" TargetMode="External"/><Relationship Id="rId101" Type="http://schemas.openxmlformats.org/officeDocument/2006/relationships/hyperlink" Target="https://energy.ec.europa.eu/system/files/2023-10/COM_2023_668_1_EN_ACT_part1_v7.pdf" TargetMode="External"/><Relationship Id="rId122" Type="http://schemas.openxmlformats.org/officeDocument/2006/relationships/hyperlink" Target="https://eur-lex.europa.eu/eli/reg/2022/869/oj" TargetMode="External"/><Relationship Id="rId143" Type="http://schemas.openxmlformats.org/officeDocument/2006/relationships/hyperlink" Target="https://eur-lex.europa.eu/legal-content/EN/TXT/?qid=1590574123338&amp;uri=CELEX%3A52020DC0380" TargetMode="External"/><Relationship Id="rId148" Type="http://schemas.openxmlformats.org/officeDocument/2006/relationships/hyperlink" Target="https://environment.ec.europa.eu/topics/nature-and-biodiversity/nature-restoration-law_en" TargetMode="External"/><Relationship Id="rId164" Type="http://schemas.openxmlformats.org/officeDocument/2006/relationships/hyperlink" Target="https://eur-lex.europa.eu/legal-content/EN/TXT/?uri=CELEX%3A32023R1805" TargetMode="External"/><Relationship Id="rId169" Type="http://schemas.openxmlformats.org/officeDocument/2006/relationships/hyperlink" Target="https://eur-lex.europa.eu/legal-content/EN/TXT/PDF/?uri=CONSIL:ST_15907_2023_INIT" TargetMode="External"/><Relationship Id="rId185" Type="http://schemas.openxmlformats.org/officeDocument/2006/relationships/hyperlink" Target="https://eur-lex.europa.eu/legal-content/EN/TXT/HTML/?uri=CELEX:52021DC0400" TargetMode="External"/><Relationship Id="rId4" Type="http://schemas.openxmlformats.org/officeDocument/2006/relationships/hyperlink" Target="https://eur-lex.europa.eu/legal-content/EN/TXT/?qid=1600339518571&amp;uri=COM%3A2020%3A564%3AFIN" TargetMode="External"/><Relationship Id="rId9" Type="http://schemas.openxmlformats.org/officeDocument/2006/relationships/hyperlink" Target="https://commission.europa.eu/system/files/2021-05/communication-industrial-strategy-update-2020_en.pdf" TargetMode="External"/><Relationship Id="rId180" Type="http://schemas.openxmlformats.org/officeDocument/2006/relationships/hyperlink" Target="https://eur-lex.europa.eu/legal-content/EN/TXT/?uri=COM%3A2022%3A542%3AFIN" TargetMode="External"/><Relationship Id="rId26" Type="http://schemas.openxmlformats.org/officeDocument/2006/relationships/hyperlink" Target="https://eur-lex.europa.eu/legal-content/EN/TXT/?uri=CELEX%3A52021DC0572" TargetMode="External"/><Relationship Id="rId47" Type="http://schemas.openxmlformats.org/officeDocument/2006/relationships/hyperlink" Target="https://eur-lex.europa.eu/legal-content/EN/TXT/?uri=CELEX%3A52023PC0160" TargetMode="External"/><Relationship Id="rId68" Type="http://schemas.openxmlformats.org/officeDocument/2006/relationships/hyperlink" Target="https://eur-lex.europa.eu/legal-content/EN/TXT/?uri=CELEX%3A52021DC0699" TargetMode="External"/><Relationship Id="rId89" Type="http://schemas.openxmlformats.org/officeDocument/2006/relationships/hyperlink" Target="https://eur-lex.europa.eu/legal-content/EN/TXT/?uri=CELEX%3A52021PC0802&amp;qid=1641802763889" TargetMode="External"/><Relationship Id="rId112" Type="http://schemas.openxmlformats.org/officeDocument/2006/relationships/hyperlink" Target="https://eur-lex.europa.eu/legal-content/EN/TXT/?uri=OJ:L_202302413" TargetMode="External"/><Relationship Id="rId133" Type="http://schemas.openxmlformats.org/officeDocument/2006/relationships/hyperlink" Target="https://eur-lex.europa.eu/legal-content/EN/TXT/?qid=1590574123338&amp;uri=CELEX%3A52020DC0380" TargetMode="External"/><Relationship Id="rId154" Type="http://schemas.openxmlformats.org/officeDocument/2006/relationships/hyperlink" Target="https://eur-lex.europa.eu/legal-content/EN/TXT/?uri=CELEX:52021PC0805R(01)&amp;qid=1700821417891" TargetMode="External"/><Relationship Id="rId175" Type="http://schemas.openxmlformats.org/officeDocument/2006/relationships/hyperlink" Target="https://eur-lex.europa.eu/legal-content/EN/TXT/?uri=OJ:L_202302413" TargetMode="External"/><Relationship Id="rId16" Type="http://schemas.openxmlformats.org/officeDocument/2006/relationships/hyperlink" Target="https://ec.europa.eu/info/law/better-regulation/have-your-say/initiatives/12438-Sustainable-and-Smart-Mobility-Strategy_en" TargetMode="External"/><Relationship Id="rId37" Type="http://schemas.openxmlformats.org/officeDocument/2006/relationships/hyperlink" Target="https://eur-lex.europa.eu/eli/reg/2023/839/oj" TargetMode="External"/><Relationship Id="rId58" Type="http://schemas.openxmlformats.org/officeDocument/2006/relationships/hyperlink" Target="https://food.ec.europa.eu/system/files/2023-07/prm_leg_future_reg_frm.pdf" TargetMode="External"/><Relationship Id="rId79" Type="http://schemas.openxmlformats.org/officeDocument/2006/relationships/hyperlink" Target="https://eur-lex.europa.eu/legal-content/EN/TXT/?uri=CELEX%3A52021DC0572" TargetMode="External"/><Relationship Id="rId102" Type="http://schemas.openxmlformats.org/officeDocument/2006/relationships/hyperlink" Target="https://eur-lex.europa.eu/legal-content/EN/TXT/?uri=OJ:L_202302413" TargetMode="External"/><Relationship Id="rId123" Type="http://schemas.openxmlformats.org/officeDocument/2006/relationships/hyperlink" Target="https://eur-lex.europa.eu/legal-content/EN/TXT/HTML/?uri=CELEX:32019R0631" TargetMode="External"/><Relationship Id="rId144" Type="http://schemas.openxmlformats.org/officeDocument/2006/relationships/hyperlink" Target="https://eur-lex.europa.eu/legal-content/EN/TXT/?qid=1590574123338&amp;uri=CELEX%3A52020DC0380" TargetMode="External"/><Relationship Id="rId90" Type="http://schemas.openxmlformats.org/officeDocument/2006/relationships/hyperlink" Target="https://eur-lex.europa.eu/legal-content/EN/TXT/?uri=CELEX%3A52021PC0802&amp;qid=1641802763889" TargetMode="External"/><Relationship Id="rId165" Type="http://schemas.openxmlformats.org/officeDocument/2006/relationships/hyperlink" Target="https://eur-lex.europa.eu/legal-content/en/ALL/?uri=CELEX%3A52021PC0561" TargetMode="External"/><Relationship Id="rId186" Type="http://schemas.openxmlformats.org/officeDocument/2006/relationships/printerSettings" Target="../printerSettings/printerSettings2.bin"/><Relationship Id="rId27" Type="http://schemas.openxmlformats.org/officeDocument/2006/relationships/hyperlink" Target="https://research-and-innovation.ec.europa.eu/system/files/2022-12/Commission%20recommendation%20-%20establishing%20a%20European%20assessment%20framework%20for%20safe%20and%20sustainable%20by%20design.PDF" TargetMode="External"/><Relationship Id="rId48" Type="http://schemas.openxmlformats.org/officeDocument/2006/relationships/hyperlink" Target="https://eur-lex.europa.eu/legal-content/EN/TXT/?qid=1590574123338&amp;uri=CELEX%3A52020DC0380" TargetMode="External"/><Relationship Id="rId69" Type="http://schemas.openxmlformats.org/officeDocument/2006/relationships/hyperlink" Target="https://eur-lex.europa.eu/legal-content/EN/TXT/?uri=CELEX%3A32019R1241" TargetMode="External"/><Relationship Id="rId113" Type="http://schemas.openxmlformats.org/officeDocument/2006/relationships/hyperlink" Target="https://eur-lex.europa.eu/legal-content/EN/TXT/?uri=OJ:L_202302413" TargetMode="External"/><Relationship Id="rId134" Type="http://schemas.openxmlformats.org/officeDocument/2006/relationships/hyperlink" Target="https://eur-lex.europa.eu/legal-content/EN/TXT/?qid=1590574123338&amp;uri=CELEX%3A52020DC0380" TargetMode="External"/><Relationship Id="rId80" Type="http://schemas.openxmlformats.org/officeDocument/2006/relationships/hyperlink" Target="https://eur-lex.europa.eu/legal-content/EN/TXT/?uri=CELEX%3A52021DC0572" TargetMode="External"/><Relationship Id="rId155" Type="http://schemas.openxmlformats.org/officeDocument/2006/relationships/hyperlink" Target="https://eur-lex.europa.eu/eli/reg/2023/1804/oj" TargetMode="External"/><Relationship Id="rId176" Type="http://schemas.openxmlformats.org/officeDocument/2006/relationships/hyperlink" Target="https://eur-lex.europa.eu/eli/dir/2020/2184/oj" TargetMode="External"/><Relationship Id="rId17" Type="http://schemas.openxmlformats.org/officeDocument/2006/relationships/hyperlink" Target="https://transport.ec.europa.eu/system/files/2021-12/com_2021_811_the-new-eu-urban-mobility.pdf" TargetMode="External"/><Relationship Id="rId38" Type="http://schemas.openxmlformats.org/officeDocument/2006/relationships/hyperlink" Target="https://eur-lex.europa.eu/legal-content/EN/TXT/?qid=1583933814386&amp;uri=COM:2020:98:FIN" TargetMode="External"/><Relationship Id="rId59" Type="http://schemas.openxmlformats.org/officeDocument/2006/relationships/hyperlink" Target="https://food.ec.europa.eu/system/files/2023-07/prm_leg_future_reg_prm.pdf" TargetMode="External"/><Relationship Id="rId103" Type="http://schemas.openxmlformats.org/officeDocument/2006/relationships/hyperlink" Target="https://eur-lex.europa.eu/legal-content/EN/TXT/?uri=OJ:L_202302413" TargetMode="External"/><Relationship Id="rId124" Type="http://schemas.openxmlformats.org/officeDocument/2006/relationships/hyperlink" Target="https://transport.ec.europa.eu/system/files/2023-11/COM_2023_702_1.pdf" TargetMode="External"/><Relationship Id="rId70" Type="http://schemas.openxmlformats.org/officeDocument/2006/relationships/hyperlink" Target="https://eur-lex.europa.eu/eli/reg/2023/839/oj" TargetMode="External"/><Relationship Id="rId91" Type="http://schemas.openxmlformats.org/officeDocument/2006/relationships/hyperlink" Target="https://eur-lex.europa.eu/legal-content/EN/TXT/?uri=COM:2021:240:FIN" TargetMode="External"/><Relationship Id="rId145" Type="http://schemas.openxmlformats.org/officeDocument/2006/relationships/hyperlink" Target="https://eur-lex.europa.eu/legal-content/EN/TXT/?qid=1590574123338&amp;uri=CELEX%3A52020DC0380" TargetMode="External"/><Relationship Id="rId166" Type="http://schemas.openxmlformats.org/officeDocument/2006/relationships/hyperlink" Target="https://eur-lex.europa.eu/legal-content/en/ALL/?uri=CELEX%3A52021PC0561" TargetMode="External"/><Relationship Id="rId187" Type="http://schemas.openxmlformats.org/officeDocument/2006/relationships/vmlDrawing" Target="../drawings/vmlDrawing1.vml"/><Relationship Id="rId1" Type="http://schemas.openxmlformats.org/officeDocument/2006/relationships/hyperlink" Target="https://eur-lex.europa.eu/legal-content/EN/TXT/?uri=CELEX%3A32021R1119" TargetMode="External"/><Relationship Id="rId28" Type="http://schemas.openxmlformats.org/officeDocument/2006/relationships/hyperlink" Target="https://eur-lex.europa.eu/legal-content/EN/TXT/?uri=CELEX%3A52021DC0699" TargetMode="External"/><Relationship Id="rId49" Type="http://schemas.openxmlformats.org/officeDocument/2006/relationships/hyperlink" Target="https://ec.europa.eu/commission/presscorner/detail/en/ip_23_1813" TargetMode="External"/><Relationship Id="rId114" Type="http://schemas.openxmlformats.org/officeDocument/2006/relationships/hyperlink" Target="https://eur-lex.europa.eu/legal-content/EN/TXT/?uri=CELEX%3A52022PC0541" TargetMode="External"/><Relationship Id="rId60" Type="http://schemas.openxmlformats.org/officeDocument/2006/relationships/hyperlink" Target="https://food.ec.europa.eu/system/files/2023-07/prm_leg_future_reg_frm.pdf" TargetMode="External"/><Relationship Id="rId81" Type="http://schemas.openxmlformats.org/officeDocument/2006/relationships/hyperlink" Target="https://eur-lex.europa.eu/legal-content/EN/TXT/?uri=CELEX%3A52021DC0572" TargetMode="External"/><Relationship Id="rId135" Type="http://schemas.openxmlformats.org/officeDocument/2006/relationships/hyperlink" Target="https://eur-lex.europa.eu/legal-content/EN/TXT/?qid=1590574123338&amp;uri=CELEX%3A52020DC0380" TargetMode="External"/><Relationship Id="rId156" Type="http://schemas.openxmlformats.org/officeDocument/2006/relationships/hyperlink" Target="https://eur-lex.europa.eu/eli/reg/2023/1804/oj" TargetMode="External"/><Relationship Id="rId177" Type="http://schemas.openxmlformats.org/officeDocument/2006/relationships/hyperlink" Target="https://eur-lex.europa.eu/legal-content/EN/TXT/?uri=CELEX%3A32021R1119"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https://environment.ec.europa.eu/system/files/2022-10/Proposal%20for%20a%20Directive%20concerning%20urban%20wastewater%20treatment%20%28recast%29.pdf" TargetMode="External"/><Relationship Id="rId21" Type="http://schemas.openxmlformats.org/officeDocument/2006/relationships/hyperlink" Target="https://eur-lex.europa.eu/legal-content/EN/TXT/?uri=CELEX%3A32013R1315" TargetMode="External"/><Relationship Id="rId42" Type="http://schemas.openxmlformats.org/officeDocument/2006/relationships/hyperlink" Target="https://eur-lex.europa.eu/legal-content/EN/TXT/PDF/?uri=CELEX:52021DC0560&amp;from=nl" TargetMode="External"/><Relationship Id="rId63" Type="http://schemas.openxmlformats.org/officeDocument/2006/relationships/hyperlink" Target="https://eur-lex.europa.eu/legal-content/EN/TXT/?uri=OJ%3AJOL_2023_231_R_0001&amp;qid=1695186598766" TargetMode="External"/><Relationship Id="rId84" Type="http://schemas.openxmlformats.org/officeDocument/2006/relationships/hyperlink" Target="https://eur-lex.europa.eu/legal-content/EN/TXT/?uri=CELEX%3A52021DC0699" TargetMode="External"/><Relationship Id="rId138" Type="http://schemas.openxmlformats.org/officeDocument/2006/relationships/hyperlink" Target="https://eur-lex.europa.eu/legal-content/EN/TXT/?qid=1590574123338&amp;uri=CELEX%3A52020DC0380" TargetMode="External"/><Relationship Id="rId159" Type="http://schemas.openxmlformats.org/officeDocument/2006/relationships/hyperlink" Target="https://eur-lex.europa.eu/eli/reg/2023/1804/oj" TargetMode="External"/><Relationship Id="rId170" Type="http://schemas.openxmlformats.org/officeDocument/2006/relationships/hyperlink" Target="https://eur-lex.europa.eu/legal-content/en/TXT/?uri=CELEX%3A52020DC0575" TargetMode="External"/><Relationship Id="rId107" Type="http://schemas.openxmlformats.org/officeDocument/2006/relationships/hyperlink" Target="https://eur-lex.europa.eu/legal-content/EN/TXT/?uri=OJ:L_202302413" TargetMode="External"/><Relationship Id="rId11" Type="http://schemas.openxmlformats.org/officeDocument/2006/relationships/hyperlink" Target="https://commission.europa.eu/system/files/2023-02/COM_2023_62_2_EN_ACT_A%20Green%20Deal%20Industrial%20Plan%20for%20the%20Net-Zero%20Age.pdf" TargetMode="External"/><Relationship Id="rId32" Type="http://schemas.openxmlformats.org/officeDocument/2006/relationships/hyperlink" Target="https://eur-lex.europa.eu/legal-content/EN/TXT/?uri=CELEX%3A52023DC0103" TargetMode="External"/><Relationship Id="rId53" Type="http://schemas.openxmlformats.org/officeDocument/2006/relationships/hyperlink" Target="https://www.consilium.europa.eu/en/press/press-releases/2023/03/10/council-and-parliament-strike-deal-on-energy-efficiency-directive/" TargetMode="External"/><Relationship Id="rId74" Type="http://schemas.openxmlformats.org/officeDocument/2006/relationships/hyperlink" Target="https://eur-lex.europa.eu/legal-content/EN/TXT/?uri=OJ%3AJOL_2023_231_R_0001&amp;qid=1695186598766" TargetMode="External"/><Relationship Id="rId128" Type="http://schemas.openxmlformats.org/officeDocument/2006/relationships/hyperlink" Target="https://eur-lex.europa.eu/legal-content/EN/TXT/HTML/?uri=CELEX:52021DC0400" TargetMode="External"/><Relationship Id="rId149" Type="http://schemas.openxmlformats.org/officeDocument/2006/relationships/hyperlink" Target="https://eur-lex.europa.eu/legal-content/EN/TXT/?uri=CELEX%3A32023R1805" TargetMode="External"/><Relationship Id="rId5" Type="http://schemas.openxmlformats.org/officeDocument/2006/relationships/hyperlink" Target="https://eur-lex.europa.eu/legal-content/EN/TXT/HTML/?uri=CELEX:32019R0631" TargetMode="External"/><Relationship Id="rId95" Type="http://schemas.openxmlformats.org/officeDocument/2006/relationships/hyperlink" Target="https://eur-lex.europa.eu/legal-content/EN/TXT/?qid=1603122220757&amp;uri=CELEX:52020DC0662" TargetMode="External"/><Relationship Id="rId160" Type="http://schemas.openxmlformats.org/officeDocument/2006/relationships/hyperlink" Target="https://eur-lex.europa.eu/eli/reg/2023/1804/oj" TargetMode="External"/><Relationship Id="rId181" Type="http://schemas.openxmlformats.org/officeDocument/2006/relationships/hyperlink" Target="https://eur-lex.europa.eu/eli/reg/2023/1804/oj" TargetMode="External"/><Relationship Id="rId22" Type="http://schemas.openxmlformats.org/officeDocument/2006/relationships/hyperlink" Target="https://eur-lex.europa.eu/legal-content/EN/TXT/?uri=celex%3A52022PC0586" TargetMode="External"/><Relationship Id="rId43" Type="http://schemas.openxmlformats.org/officeDocument/2006/relationships/hyperlink" Target="https://eur-lex.europa.eu/eli/dir/2023/959" TargetMode="External"/><Relationship Id="rId64" Type="http://schemas.openxmlformats.org/officeDocument/2006/relationships/hyperlink" Target="https://eur-lex.europa.eu/legal-content/EN/TXT/?uri=CELEX%3A32021R1119" TargetMode="External"/><Relationship Id="rId118" Type="http://schemas.openxmlformats.org/officeDocument/2006/relationships/hyperlink" Target="https://eur-lex.europa.eu/legal-content/EN/TXT/?uri=CELEX%3A52023PC0148&amp;qid=1679410882233" TargetMode="External"/><Relationship Id="rId139" Type="http://schemas.openxmlformats.org/officeDocument/2006/relationships/hyperlink" Target="https://eur-lex.europa.eu/legal-content/EN/TXT/?qid=1590574123338&amp;uri=CELEX%3A52020DC0380" TargetMode="External"/><Relationship Id="rId85" Type="http://schemas.openxmlformats.org/officeDocument/2006/relationships/hyperlink" Target="https://eur-lex.europa.eu/legal-content/EN/TXT/?qid=1590574123338&amp;uri=CELEX%3A52020DC0380" TargetMode="External"/><Relationship Id="rId150" Type="http://schemas.openxmlformats.org/officeDocument/2006/relationships/hyperlink" Target="https://eur-lex.europa.eu/legal-content/EN/TXT/?uri=CELEX%3A32023R1805" TargetMode="External"/><Relationship Id="rId171" Type="http://schemas.openxmlformats.org/officeDocument/2006/relationships/hyperlink" Target="https://eur-lex.europa.eu/legal-content/EN/TXT/?uri=CELEX%3A52020DC0663" TargetMode="External"/><Relationship Id="rId12" Type="http://schemas.openxmlformats.org/officeDocument/2006/relationships/hyperlink" Target="https://data.consilium.europa.eu/doc/document/PE-2-2023-INIT/en/pdf" TargetMode="External"/><Relationship Id="rId33" Type="http://schemas.openxmlformats.org/officeDocument/2006/relationships/hyperlink" Target="https://oceans-and-fisheries.ec.europa.eu/system/files/2023-02/COM-2023-102_en.pdf" TargetMode="External"/><Relationship Id="rId108" Type="http://schemas.openxmlformats.org/officeDocument/2006/relationships/hyperlink" Target="https://eur-lex.europa.eu/legal-content/EN/TXT/?uri=OJ:L_202302413" TargetMode="External"/><Relationship Id="rId129" Type="http://schemas.openxmlformats.org/officeDocument/2006/relationships/hyperlink" Target="https://eur-lex.europa.eu/legal-content/EN/TXT/HTML/?uri=CELEX:52021DC0400" TargetMode="External"/><Relationship Id="rId54" Type="http://schemas.openxmlformats.org/officeDocument/2006/relationships/hyperlink" Target="https://eur-lex.europa.eu/eli/dir/2023/958" TargetMode="External"/><Relationship Id="rId75" Type="http://schemas.openxmlformats.org/officeDocument/2006/relationships/hyperlink" Target="https://eur-lex.europa.eu/legal-content/EN/TXT/?uri=OJ%3AJOL_2023_231_R_0001&amp;qid=1695186598766" TargetMode="External"/><Relationship Id="rId96" Type="http://schemas.openxmlformats.org/officeDocument/2006/relationships/hyperlink" Target="https://eur-lex.europa.eu/legal-content/EN/TXT/?uri=celex%3A32018L0851" TargetMode="External"/><Relationship Id="rId140" Type="http://schemas.openxmlformats.org/officeDocument/2006/relationships/hyperlink" Target="https://eur-lex.europa.eu/legal-content/EN/TXT/?qid=1590574123338&amp;uri=CELEX%3A52020DC0380" TargetMode="External"/><Relationship Id="rId161" Type="http://schemas.openxmlformats.org/officeDocument/2006/relationships/hyperlink" Target="https://eur-lex.europa.eu/eli/reg/2023/1804/oj" TargetMode="External"/><Relationship Id="rId182" Type="http://schemas.openxmlformats.org/officeDocument/2006/relationships/hyperlink" Target="https://eur-lex.europa.eu/eli/reg/2023/1804/oj" TargetMode="External"/><Relationship Id="rId6" Type="http://schemas.openxmlformats.org/officeDocument/2006/relationships/hyperlink" Target="https://eur-lex.europa.eu/legal-content/EN/ALL/?uri=COM:2020:299:FIN" TargetMode="External"/><Relationship Id="rId23" Type="http://schemas.openxmlformats.org/officeDocument/2006/relationships/hyperlink" Target="https://ec.europa.eu/info/law/better-regulation/have-your-say/initiatives/12438-Sustainable-and-Smart-Mobility-Strategy_en" TargetMode="External"/><Relationship Id="rId119" Type="http://schemas.openxmlformats.org/officeDocument/2006/relationships/hyperlink" Target="https://environment.ec.europa.eu/system/files/2022-10/Proposal%20for%20a%20Directive%20amending%20the%20Water%20Framework%20Directive%2C%20the%20Groundwater%20Directive%20and%20the%20Environmental%20Quality%20Standards%20Directive.pdf" TargetMode="External"/><Relationship Id="rId44" Type="http://schemas.openxmlformats.org/officeDocument/2006/relationships/hyperlink" Target="https://oceans-and-fisheries.ec.europa.eu/system/files/2023-02/COM-2023-100_en.pdf" TargetMode="External"/><Relationship Id="rId65" Type="http://schemas.openxmlformats.org/officeDocument/2006/relationships/hyperlink" Target="https://eur-lex.europa.eu/legal-content/EN/TXT/?qid=1603122220757&amp;uri=CELEX:52020DC0662" TargetMode="External"/><Relationship Id="rId86" Type="http://schemas.openxmlformats.org/officeDocument/2006/relationships/hyperlink" Target="https://eur-lex.europa.eu/legal-content/EN/TXT/?uri=CELEX%3A52021PC0802&amp;qid=1641802763889" TargetMode="External"/><Relationship Id="rId130" Type="http://schemas.openxmlformats.org/officeDocument/2006/relationships/hyperlink" Target="https://eur-lex.europa.eu/legal-content/EN/TXT/HTML/?uri=CELEX:52021DC0400" TargetMode="External"/><Relationship Id="rId151" Type="http://schemas.openxmlformats.org/officeDocument/2006/relationships/hyperlink" Target="https://eur-lex.europa.eu/legal-content/en/ALL/?uri=CELEX:52021DC0082" TargetMode="External"/><Relationship Id="rId172" Type="http://schemas.openxmlformats.org/officeDocument/2006/relationships/hyperlink" Target="https://eur-lex.europa.eu/eli/dir/2023/959" TargetMode="External"/><Relationship Id="rId13" Type="http://schemas.openxmlformats.org/officeDocument/2006/relationships/hyperlink" Target="https://environment.ec.europa.eu/system/files/2022-11/Proposal%20for%20a%20Regulation%20on%20packaging%20and%20packaging%20waste.pdf" TargetMode="External"/><Relationship Id="rId18" Type="http://schemas.openxmlformats.org/officeDocument/2006/relationships/hyperlink" Target="https://eur-lex.europa.eu/legal-content/EN/TXT/?uri=CELEX%3A32013R1315" TargetMode="External"/><Relationship Id="rId39" Type="http://schemas.openxmlformats.org/officeDocument/2006/relationships/hyperlink" Target="https://ec.europa.eu/info/law/better-regulation/have-your-say/initiatives/12438-Sustainable-and-Smart-Mobility-Strategy_en" TargetMode="External"/><Relationship Id="rId109" Type="http://schemas.openxmlformats.org/officeDocument/2006/relationships/hyperlink" Target="https://eur-lex.europa.eu/legal-content/EN/TXT/?uri=OJ:L_202302413" TargetMode="External"/><Relationship Id="rId34" Type="http://schemas.openxmlformats.org/officeDocument/2006/relationships/hyperlink" Target="https://eur-lex.europa.eu/legal-content/EN/TXT/?uri=CELEX%3A52021DC0699" TargetMode="External"/><Relationship Id="rId50" Type="http://schemas.openxmlformats.org/officeDocument/2006/relationships/hyperlink" Target="https://www.europarl.europa.eu/news/en/press-room/20230424IPR82023/fit-for-55-parliament-and-council-reach-deal-on-greener-aviation-fuels" TargetMode="External"/><Relationship Id="rId55" Type="http://schemas.openxmlformats.org/officeDocument/2006/relationships/hyperlink" Target="https://commission.europa.eu/system/files/2023-07/Communication%20on%20Sustainable%20Use%20of%20Natural%20Resources.pdf" TargetMode="External"/><Relationship Id="rId76" Type="http://schemas.openxmlformats.org/officeDocument/2006/relationships/hyperlink" Target="https://eur-lex.europa.eu/legal-content/EN/TXT/?uri=OJ%3AJOL_2023_231_R_0001&amp;qid=1695186598766" TargetMode="External"/><Relationship Id="rId97" Type="http://schemas.openxmlformats.org/officeDocument/2006/relationships/hyperlink" Target="https://eur-lex.europa.eu/legal-content/EN/TXT/HTML/?uri=CELEX:32019R0631" TargetMode="External"/><Relationship Id="rId104" Type="http://schemas.openxmlformats.org/officeDocument/2006/relationships/hyperlink" Target="https://eur-lex.europa.eu/legal-content/EN/TXT/?uri=OJ:L_202302413" TargetMode="External"/><Relationship Id="rId120" Type="http://schemas.openxmlformats.org/officeDocument/2006/relationships/hyperlink" Target="https://eur-lex.europa.eu/legal-content/EN/TXT/?uri=CELEX%3A52023PC0702" TargetMode="External"/><Relationship Id="rId125" Type="http://schemas.openxmlformats.org/officeDocument/2006/relationships/hyperlink" Target="https://eur-lex.europa.eu/legal-content/EN/TXT/HTML/?uri=CELEX:52021DC0400" TargetMode="External"/><Relationship Id="rId141" Type="http://schemas.openxmlformats.org/officeDocument/2006/relationships/hyperlink" Target="https://eur-lex.europa.eu/legal-content/EN/TXT/?qid=1590574123338&amp;uri=CELEX%3A52020DC0380" TargetMode="External"/><Relationship Id="rId146" Type="http://schemas.openxmlformats.org/officeDocument/2006/relationships/hyperlink" Target="https://eur-lex.europa.eu/legal-content/EN/TXT/?qid=1590574123338&amp;uri=CELEX%3A52020DC0380" TargetMode="External"/><Relationship Id="rId167" Type="http://schemas.openxmlformats.org/officeDocument/2006/relationships/hyperlink" Target="https://eur-lex.europa.eu/legal-content/EN/TXT/PDF/?uri=CONSIL:ST_15907_2023_INIT" TargetMode="External"/><Relationship Id="rId7" Type="http://schemas.openxmlformats.org/officeDocument/2006/relationships/hyperlink" Target="https://eur-lex.europa.eu/legal-content/EN/TXT/?qid=1603122220757&amp;uri=CELEX:52020DC0662" TargetMode="External"/><Relationship Id="rId71" Type="http://schemas.openxmlformats.org/officeDocument/2006/relationships/hyperlink" Target="https://eur-lex.europa.eu/eli/reg/2023/839/oj" TargetMode="External"/><Relationship Id="rId92" Type="http://schemas.openxmlformats.org/officeDocument/2006/relationships/hyperlink" Target="https://eur-lex.europa.eu/legal-content/EN/TXT/?uri=COM:2021:240:FIN" TargetMode="External"/><Relationship Id="rId162" Type="http://schemas.openxmlformats.org/officeDocument/2006/relationships/hyperlink" Target="https://eur-lex.europa.eu/legal-content/EN/TXT/?uri=COM%3A2023%3A88%3AFIN" TargetMode="External"/><Relationship Id="rId183" Type="http://schemas.openxmlformats.org/officeDocument/2006/relationships/hyperlink" Target="https://eur-lex.europa.eu/legal-content/EN/TXT/?uri=CELEX%3A52021DC0699" TargetMode="External"/><Relationship Id="rId2" Type="http://schemas.openxmlformats.org/officeDocument/2006/relationships/hyperlink" Target="https://ec.europa.eu/info/law/better-regulation/have-your-say/initiatives/12227-EU-Green-Deal-Revision-of-the-Energy-Taxation-Directive_en" TargetMode="External"/><Relationship Id="rId29" Type="http://schemas.openxmlformats.org/officeDocument/2006/relationships/hyperlink" Target="https://eur-lex.europa.eu/legal-content/EN/TXT/?uri=CELEX%3A52022PC0156R%2802%29&amp;qid=1651130627889" TargetMode="External"/><Relationship Id="rId24" Type="http://schemas.openxmlformats.org/officeDocument/2006/relationships/hyperlink" Target="https://eur-lex.europa.eu/legal-content/EN/TXT/PDF/?uri=CELEX:52021DC0550&amp;from=IT" TargetMode="External"/><Relationship Id="rId40" Type="http://schemas.openxmlformats.org/officeDocument/2006/relationships/hyperlink" Target="https://eur-lex.europa.eu/legal-content/EN/TXT/?uri=CELEX%3A52021DC0572" TargetMode="External"/><Relationship Id="rId45" Type="http://schemas.openxmlformats.org/officeDocument/2006/relationships/hyperlink" Target="https://eur-lex.europa.eu/legal-content/EN/TXT/?uri=COM%3A2023%3A35%3AFIN&amp;qid=1674555285177" TargetMode="External"/><Relationship Id="rId66" Type="http://schemas.openxmlformats.org/officeDocument/2006/relationships/hyperlink" Target="https://eur-lex.europa.eu/legal-content/EN/TXT/?uri=COM%3A2023%3A88%3AFIN" TargetMode="External"/><Relationship Id="rId87" Type="http://schemas.openxmlformats.org/officeDocument/2006/relationships/hyperlink" Target="https://eur-lex.europa.eu/legal-content/EN/TXT/?uri=CELEX%3A52021PC0802&amp;qid=1641802763889" TargetMode="External"/><Relationship Id="rId110" Type="http://schemas.openxmlformats.org/officeDocument/2006/relationships/hyperlink" Target="https://eur-lex.europa.eu/legal-content/EN/TXT/?uri=OJ:L_202302413" TargetMode="External"/><Relationship Id="rId115" Type="http://schemas.openxmlformats.org/officeDocument/2006/relationships/hyperlink" Target="https://environment.ec.europa.eu/system/files/2022-10/Proposal%20for%20a%20Directive%20concerning%20urban%20wastewater%20treatment%20%28recast%29.pdf" TargetMode="External"/><Relationship Id="rId131" Type="http://schemas.openxmlformats.org/officeDocument/2006/relationships/hyperlink" Target="https://eur-lex.europa.eu/legal-content/EN/TXT/?qid=1590574123338&amp;uri=CELEX%3A52020DC0380" TargetMode="External"/><Relationship Id="rId136" Type="http://schemas.openxmlformats.org/officeDocument/2006/relationships/hyperlink" Target="https://eur-lex.europa.eu/legal-content/EN/TXT/?qid=1590574123338&amp;uri=CELEX%3A52020DC0380" TargetMode="External"/><Relationship Id="rId157" Type="http://schemas.openxmlformats.org/officeDocument/2006/relationships/hyperlink" Target="https://eur-lex.europa.eu/eli/reg/2023/1804/oj" TargetMode="External"/><Relationship Id="rId178" Type="http://schemas.openxmlformats.org/officeDocument/2006/relationships/hyperlink" Target="https://environment.ec.europa.eu/system/files/2022-10/Proposal%20for%20a%20Directive%20concerning%20urban%20wastewater%20treatment%20%28recast%29.pdf" TargetMode="External"/><Relationship Id="rId61" Type="http://schemas.openxmlformats.org/officeDocument/2006/relationships/hyperlink" Target="https://environment.ec.europa.eu/publications/proposal-targeted-revision-waste-framework-directive_en" TargetMode="External"/><Relationship Id="rId82" Type="http://schemas.openxmlformats.org/officeDocument/2006/relationships/hyperlink" Target="https://eur-lex.europa.eu/legal-content/EN/TXT/?uri=CELEX%3A52021DC0572" TargetMode="External"/><Relationship Id="rId152" Type="http://schemas.openxmlformats.org/officeDocument/2006/relationships/hyperlink" Target="https://eur-lex.europa.eu/legal-content/EN/TXT/?uri=COM%3A2022%3A230%3AFIN" TargetMode="External"/><Relationship Id="rId173" Type="http://schemas.openxmlformats.org/officeDocument/2006/relationships/hyperlink" Target="https://data.consilium.europa.eu/doc/document/PE-2-2023-INIT/en/pdf" TargetMode="External"/><Relationship Id="rId19" Type="http://schemas.openxmlformats.org/officeDocument/2006/relationships/hyperlink" Target="https://ec.europa.eu/info/law/better-regulation/have-your-say/initiatives/12789-Inland-waterway-transport-NAIADES-III-action-plan-2021-2027_en" TargetMode="External"/><Relationship Id="rId14" Type="http://schemas.openxmlformats.org/officeDocument/2006/relationships/hyperlink" Target="https://eur-lex.europa.eu/eli/dir/2019/904/oj" TargetMode="External"/><Relationship Id="rId30" Type="http://schemas.openxmlformats.org/officeDocument/2006/relationships/hyperlink" Target="https://eur-lex.europa.eu/legal-content/EN/TXT/?uri=CELEX%3A52022PC0157" TargetMode="External"/><Relationship Id="rId35" Type="http://schemas.openxmlformats.org/officeDocument/2006/relationships/hyperlink" Target="https://eur-lex.europa.eu/legal-content/EN/TXT/?uri=CELEX:52020DC0381" TargetMode="External"/><Relationship Id="rId56" Type="http://schemas.openxmlformats.org/officeDocument/2006/relationships/hyperlink" Target="https://commission.europa.eu/system/files/2023-07/Communication%20on%20Sustainable%20Use%20of%20Natural%20Resources.pdf" TargetMode="External"/><Relationship Id="rId77" Type="http://schemas.openxmlformats.org/officeDocument/2006/relationships/hyperlink" Target="https://knowledge4policy.ec.europa.eu/news/european-commission-proposes-introduction-ecosystem-accounts_en" TargetMode="External"/><Relationship Id="rId100" Type="http://schemas.openxmlformats.org/officeDocument/2006/relationships/hyperlink" Target="https://energy.ec.europa.eu/system/files/2023-10/COM_2023_668_1_EN_ACT_part1_v7.pdf" TargetMode="External"/><Relationship Id="rId105" Type="http://schemas.openxmlformats.org/officeDocument/2006/relationships/hyperlink" Target="https://eur-lex.europa.eu/legal-content/EN/TXT/?uri=OJ:L_202302413" TargetMode="External"/><Relationship Id="rId126" Type="http://schemas.openxmlformats.org/officeDocument/2006/relationships/hyperlink" Target="https://eur-lex.europa.eu/legal-content/EN/TXT/HTML/?uri=CELEX:52021DC0400" TargetMode="External"/><Relationship Id="rId147" Type="http://schemas.openxmlformats.org/officeDocument/2006/relationships/hyperlink" Target="https://environment.ec.europa.eu/topics/nature-and-biodiversity/nature-restoration-law_en" TargetMode="External"/><Relationship Id="rId168" Type="http://schemas.openxmlformats.org/officeDocument/2006/relationships/hyperlink" Target="https://eur-lex.europa.eu/legal-content/EN/TXT/PDF/?uri=CONSIL:ST_15907_2023_INIT" TargetMode="External"/><Relationship Id="rId8" Type="http://schemas.openxmlformats.org/officeDocument/2006/relationships/hyperlink" Target="https://eur-lex.europa.eu/eli/reg/2022/869/oj" TargetMode="External"/><Relationship Id="rId51" Type="http://schemas.openxmlformats.org/officeDocument/2006/relationships/hyperlink" Target="https://eur-lex.europa.eu/eli/reg/2023/857" TargetMode="External"/><Relationship Id="rId72" Type="http://schemas.openxmlformats.org/officeDocument/2006/relationships/hyperlink" Target="https://oceans-and-fisheries.ec.europa.eu/system/files/2023-02/COM-2023-100_en.pdf" TargetMode="External"/><Relationship Id="rId93" Type="http://schemas.openxmlformats.org/officeDocument/2006/relationships/hyperlink" Target="https://eur-lex.europa.eu/legal-content/EN/TXT/?uri=CELEX%3A52021DC0699" TargetMode="External"/><Relationship Id="rId98" Type="http://schemas.openxmlformats.org/officeDocument/2006/relationships/hyperlink" Target="https://eur-lex.europa.eu/legal-content/en/TXT/?uri=CELEX%3A52020DC0575" TargetMode="External"/><Relationship Id="rId121" Type="http://schemas.openxmlformats.org/officeDocument/2006/relationships/hyperlink" Target="https://eur-lex.europa.eu/eli/reg/2022/869/oj" TargetMode="External"/><Relationship Id="rId142" Type="http://schemas.openxmlformats.org/officeDocument/2006/relationships/hyperlink" Target="https://eur-lex.europa.eu/legal-content/EN/TXT/?qid=1590574123338&amp;uri=CELEX%3A52020DC0380" TargetMode="External"/><Relationship Id="rId163" Type="http://schemas.openxmlformats.org/officeDocument/2006/relationships/hyperlink" Target="https://eur-lex.europa.eu/legal-content/EN/TXT/?uri=CELEX%3A32023R1805" TargetMode="External"/><Relationship Id="rId184" Type="http://schemas.openxmlformats.org/officeDocument/2006/relationships/hyperlink" Target="https://eur-lex.europa.eu/legal-content/EN/TXT/HTML/?uri=CELEX:52021DC0400" TargetMode="External"/><Relationship Id="rId3" Type="http://schemas.openxmlformats.org/officeDocument/2006/relationships/hyperlink" Target="https://eur-lex.europa.eu/eli/reg/2023/956" TargetMode="External"/><Relationship Id="rId25" Type="http://schemas.openxmlformats.org/officeDocument/2006/relationships/hyperlink" Target="https://eur-lex.europa.eu/legal-content/EN/TXT/?qid=1590574123338&amp;uri=CELEX%3A52020DC0380" TargetMode="External"/><Relationship Id="rId46" Type="http://schemas.openxmlformats.org/officeDocument/2006/relationships/hyperlink" Target="https://eur-lex.europa.eu/legal-content/EN/TXT/?uri=CELEX%3A52023PC0161" TargetMode="External"/><Relationship Id="rId67" Type="http://schemas.openxmlformats.org/officeDocument/2006/relationships/hyperlink" Target="https://eur-lex.europa.eu/legal-content/EN/TXT/HTML/?uri=CELEX:52021DC0400" TargetMode="External"/><Relationship Id="rId116" Type="http://schemas.openxmlformats.org/officeDocument/2006/relationships/hyperlink" Target="https://environment.ec.europa.eu/system/files/2022-10/Proposal%20for%20a%20Directive%20concerning%20urban%20wastewater%20treatment%20%28recast%29.pdf" TargetMode="External"/><Relationship Id="rId137" Type="http://schemas.openxmlformats.org/officeDocument/2006/relationships/hyperlink" Target="https://eur-lex.europa.eu/legal-content/EN/TXT/?qid=1590574123338&amp;uri=CELEX%3A52020DC0380" TargetMode="External"/><Relationship Id="rId158" Type="http://schemas.openxmlformats.org/officeDocument/2006/relationships/hyperlink" Target="https://eur-lex.europa.eu/eli/reg/2023/1804/oj" TargetMode="External"/><Relationship Id="rId20" Type="http://schemas.openxmlformats.org/officeDocument/2006/relationships/hyperlink" Target="https://ec.europa.eu/info/law/better-regulation/have-your-say/initiatives/12438-Sustainable-and-Smart-Mobility-Strategy_en" TargetMode="External"/><Relationship Id="rId41" Type="http://schemas.openxmlformats.org/officeDocument/2006/relationships/hyperlink" Target="https://eur-lex.europa.eu/legal-content/EN/TXT/?uri=CELEX%3A32019R1241" TargetMode="External"/><Relationship Id="rId62" Type="http://schemas.openxmlformats.org/officeDocument/2006/relationships/hyperlink" Target="https://environment.ec.europa.eu/system/files/2023-07/Proposal%20for%20a%20DIRECTIVE%20OF%20THE%20EUROPEAN%20PARLIAMENT%20AND%20OF%20THE%20COUNCIL%20on%20Soil%20Monitoring%20and%20Resilience_COM_2023_416_final.pdf" TargetMode="External"/><Relationship Id="rId83" Type="http://schemas.openxmlformats.org/officeDocument/2006/relationships/hyperlink" Target="https://eur-lex.europa.eu/legal-content/EN/TXT/?uri=CELEX%3A52021DC0699" TargetMode="External"/><Relationship Id="rId88" Type="http://schemas.openxmlformats.org/officeDocument/2006/relationships/hyperlink" Target="https://eur-lex.europa.eu/legal-content/EN/TXT/?uri=CELEX%3A52021PC0802&amp;qid=1641802763889" TargetMode="External"/><Relationship Id="rId111" Type="http://schemas.openxmlformats.org/officeDocument/2006/relationships/hyperlink" Target="https://eur-lex.europa.eu/legal-content/EN/TXT/?uri=OJ:L_202302413" TargetMode="External"/><Relationship Id="rId132" Type="http://schemas.openxmlformats.org/officeDocument/2006/relationships/hyperlink" Target="https://eur-lex.europa.eu/legal-content/EN/TXT/?qid=1590574123338&amp;uri=CELEX%3A52020DC0380" TargetMode="External"/><Relationship Id="rId153" Type="http://schemas.openxmlformats.org/officeDocument/2006/relationships/hyperlink" Target="https://eur-lex.europa.eu/legal-content/EN/TXT/?uri=CELEX:52021PC0805R(01)&amp;qid=1700821417891" TargetMode="External"/><Relationship Id="rId174" Type="http://schemas.openxmlformats.org/officeDocument/2006/relationships/hyperlink" Target="https://eur-lex.europa.eu/legal-content/EN/TXT/?uri=OJ:L_202302413" TargetMode="External"/><Relationship Id="rId179" Type="http://schemas.openxmlformats.org/officeDocument/2006/relationships/hyperlink" Target="https://eur-lex.europa.eu/legal-content/EN/TXT/?uri=COM%3A2022%3A542%3AFIN" TargetMode="External"/><Relationship Id="rId15" Type="http://schemas.openxmlformats.org/officeDocument/2006/relationships/hyperlink" Target="https://eur-lex.europa.eu/legal-content/EN/TXT/?uri=CELEX:02012L0019-20180704" TargetMode="External"/><Relationship Id="rId36" Type="http://schemas.openxmlformats.org/officeDocument/2006/relationships/hyperlink" Target="https://eur-lex.europa.eu/legal-content/EN/TXT/?uri=CELEX%3A52021PC0802&amp;qid=1641802763889" TargetMode="External"/><Relationship Id="rId57" Type="http://schemas.openxmlformats.org/officeDocument/2006/relationships/hyperlink" Target="https://commission.europa.eu/system/files/2023-07/Communication%20on%20Sustainable%20Use%20of%20Natural%20Resources.pdf" TargetMode="External"/><Relationship Id="rId106" Type="http://schemas.openxmlformats.org/officeDocument/2006/relationships/hyperlink" Target="https://eur-lex.europa.eu/legal-content/EN/TXT/?uri=OJ:L_202302413" TargetMode="External"/><Relationship Id="rId127" Type="http://schemas.openxmlformats.org/officeDocument/2006/relationships/hyperlink" Target="https://eur-lex.europa.eu/legal-content/EN/TXT/HTML/?uri=CELEX:52021DC0400" TargetMode="External"/><Relationship Id="rId10" Type="http://schemas.openxmlformats.org/officeDocument/2006/relationships/hyperlink" Target="https://eur-lex.europa.eu/legal-content/EN/TXT/?qid=1593086905382&amp;uri=CELEX%3A52020DC0102" TargetMode="External"/><Relationship Id="rId31" Type="http://schemas.openxmlformats.org/officeDocument/2006/relationships/hyperlink" Target="https://eur-lex.europa.eu/legal-content/EN/TXT/?uri=COM:2021:240:FIN" TargetMode="External"/><Relationship Id="rId52" Type="http://schemas.openxmlformats.org/officeDocument/2006/relationships/hyperlink" Target="https://www.consilium.europa.eu/en/press/press-releases/2023/03/10/council-and-parliament-strike-deal-on-energy-efficiency-directive/" TargetMode="External"/><Relationship Id="rId73" Type="http://schemas.openxmlformats.org/officeDocument/2006/relationships/hyperlink" Target="https://eur-lex.europa.eu/legal-content/EN/TXT/?uri=OJ%3AJOL_2023_231_R_0001&amp;qid=1695186598766" TargetMode="External"/><Relationship Id="rId78" Type="http://schemas.openxmlformats.org/officeDocument/2006/relationships/hyperlink" Target="https://eur-lex.europa.eu/legal-content/EN/TXT/?uri=CELEX%3A52021DC0572" TargetMode="External"/><Relationship Id="rId94" Type="http://schemas.openxmlformats.org/officeDocument/2006/relationships/hyperlink" Target="https://eur-lex.europa.eu/legal-content/EN/TXT/?uri=OJ:L_202302413" TargetMode="External"/><Relationship Id="rId99" Type="http://schemas.openxmlformats.org/officeDocument/2006/relationships/hyperlink" Target="https://energy.ec.europa.eu/system/files/2023-10/COM_2023_669_1_EN_ACT_part1_v8.pdf" TargetMode="External"/><Relationship Id="rId101" Type="http://schemas.openxmlformats.org/officeDocument/2006/relationships/hyperlink" Target="https://eur-lex.europa.eu/legal-content/EN/TXT/?uri=OJ:L_202302413" TargetMode="External"/><Relationship Id="rId122" Type="http://schemas.openxmlformats.org/officeDocument/2006/relationships/hyperlink" Target="https://eur-lex.europa.eu/legal-content/EN/TXT/HTML/?uri=CELEX:32019R0631" TargetMode="External"/><Relationship Id="rId143" Type="http://schemas.openxmlformats.org/officeDocument/2006/relationships/hyperlink" Target="https://eur-lex.europa.eu/legal-content/EN/TXT/?qid=1590574123338&amp;uri=CELEX%3A52020DC0380" TargetMode="External"/><Relationship Id="rId148" Type="http://schemas.openxmlformats.org/officeDocument/2006/relationships/hyperlink" Target="https://environment.ec.europa.eu/publications/proposal-targeted-revision-waste-framework-directive_en" TargetMode="External"/><Relationship Id="rId164" Type="http://schemas.openxmlformats.org/officeDocument/2006/relationships/hyperlink" Target="https://eur-lex.europa.eu/legal-content/en/ALL/?uri=CELEX%3A52021PC0561" TargetMode="External"/><Relationship Id="rId169" Type="http://schemas.openxmlformats.org/officeDocument/2006/relationships/hyperlink" Target="https://eur-lex.europa.eu/legal-content/EN/TXT/?uri=CELEX%3A52020DC0301" TargetMode="External"/><Relationship Id="rId185" Type="http://schemas.openxmlformats.org/officeDocument/2006/relationships/vmlDrawing" Target="../drawings/vmlDrawing2.vml"/><Relationship Id="rId4" Type="http://schemas.openxmlformats.org/officeDocument/2006/relationships/hyperlink" Target="https://eur-lex.europa.eu/legal-content/EN/TXT/?qid=1600339518571&amp;uri=COM%3A2020%3A564%3AFIN" TargetMode="External"/><Relationship Id="rId9" Type="http://schemas.openxmlformats.org/officeDocument/2006/relationships/hyperlink" Target="https://commission.europa.eu/system/files/2021-05/communication-industrial-strategy-update-2020_en.pdf" TargetMode="External"/><Relationship Id="rId180" Type="http://schemas.openxmlformats.org/officeDocument/2006/relationships/hyperlink" Target="https://eur-lex.europa.eu/legal-content/EN/TXT/?uri=COM%3A2022%3A542%3AFIN" TargetMode="External"/><Relationship Id="rId26" Type="http://schemas.openxmlformats.org/officeDocument/2006/relationships/hyperlink" Target="https://eur-lex.europa.eu/legal-content/EN/TXT/?uri=CELEX%3A52021DC0572" TargetMode="External"/><Relationship Id="rId47" Type="http://schemas.openxmlformats.org/officeDocument/2006/relationships/hyperlink" Target="https://eur-lex.europa.eu/legal-content/EN/TXT/?uri=CELEX%3A52023PC0160" TargetMode="External"/><Relationship Id="rId68" Type="http://schemas.openxmlformats.org/officeDocument/2006/relationships/hyperlink" Target="https://eur-lex.europa.eu/legal-content/EN/TXT/?uri=CELEX%3A52021DC0699" TargetMode="External"/><Relationship Id="rId89" Type="http://schemas.openxmlformats.org/officeDocument/2006/relationships/hyperlink" Target="https://eur-lex.europa.eu/legal-content/EN/TXT/?uri=CELEX%3A52021PC0802&amp;qid=1641802763889" TargetMode="External"/><Relationship Id="rId112" Type="http://schemas.openxmlformats.org/officeDocument/2006/relationships/hyperlink" Target="https://eur-lex.europa.eu/legal-content/EN/TXT/?uri=OJ:L_202302413" TargetMode="External"/><Relationship Id="rId133" Type="http://schemas.openxmlformats.org/officeDocument/2006/relationships/hyperlink" Target="https://eur-lex.europa.eu/legal-content/EN/TXT/?qid=1590574123338&amp;uri=CELEX%3A52020DC0380" TargetMode="External"/><Relationship Id="rId154" Type="http://schemas.openxmlformats.org/officeDocument/2006/relationships/hyperlink" Target="https://eur-lex.europa.eu/eli/reg/2023/1804/oj" TargetMode="External"/><Relationship Id="rId175" Type="http://schemas.openxmlformats.org/officeDocument/2006/relationships/hyperlink" Target="https://eur-lex.europa.eu/eli/dir/2020/2184/oj" TargetMode="External"/><Relationship Id="rId16" Type="http://schemas.openxmlformats.org/officeDocument/2006/relationships/hyperlink" Target="https://ec.europa.eu/info/law/better-regulation/have-your-say/initiatives/12438-Sustainable-and-Smart-Mobility-Strategy_en" TargetMode="External"/><Relationship Id="rId37" Type="http://schemas.openxmlformats.org/officeDocument/2006/relationships/hyperlink" Target="https://eur-lex.europa.eu/eli/reg/2023/839/oj" TargetMode="External"/><Relationship Id="rId58" Type="http://schemas.openxmlformats.org/officeDocument/2006/relationships/hyperlink" Target="https://food.ec.europa.eu/system/files/2023-07/prm_leg_future_reg_frm.pdf" TargetMode="External"/><Relationship Id="rId79" Type="http://schemas.openxmlformats.org/officeDocument/2006/relationships/hyperlink" Target="https://eur-lex.europa.eu/legal-content/EN/TXT/?uri=CELEX%3A52021DC0572" TargetMode="External"/><Relationship Id="rId102" Type="http://schemas.openxmlformats.org/officeDocument/2006/relationships/hyperlink" Target="https://eur-lex.europa.eu/legal-content/EN/TXT/?uri=OJ:L_202302413" TargetMode="External"/><Relationship Id="rId123" Type="http://schemas.openxmlformats.org/officeDocument/2006/relationships/hyperlink" Target="https://transport.ec.europa.eu/system/files/2023-11/COM_2023_702_1.pdf" TargetMode="External"/><Relationship Id="rId144" Type="http://schemas.openxmlformats.org/officeDocument/2006/relationships/hyperlink" Target="https://eur-lex.europa.eu/legal-content/EN/TXT/?qid=1590574123338&amp;uri=CELEX%3A52020DC0380" TargetMode="External"/><Relationship Id="rId90" Type="http://schemas.openxmlformats.org/officeDocument/2006/relationships/hyperlink" Target="https://eur-lex.europa.eu/legal-content/EN/TXT/?uri=CELEX%3A52021PC0802&amp;qid=1641802763889" TargetMode="External"/><Relationship Id="rId165" Type="http://schemas.openxmlformats.org/officeDocument/2006/relationships/hyperlink" Target="https://eur-lex.europa.eu/legal-content/en/ALL/?uri=CELEX%3A52021PC0561" TargetMode="External"/><Relationship Id="rId186" Type="http://schemas.openxmlformats.org/officeDocument/2006/relationships/comments" Target="../comments2.xml"/><Relationship Id="rId27" Type="http://schemas.openxmlformats.org/officeDocument/2006/relationships/hyperlink" Target="https://research-and-innovation.ec.europa.eu/system/files/2022-12/Commission%20recommendation%20-%20establishing%20a%20European%20assessment%20framework%20for%20safe%20and%20sustainable%20by%20design.PDF" TargetMode="External"/><Relationship Id="rId48" Type="http://schemas.openxmlformats.org/officeDocument/2006/relationships/hyperlink" Target="https://eur-lex.europa.eu/legal-content/EN/TXT/?qid=1590574123338&amp;uri=CELEX%3A52020DC0380" TargetMode="External"/><Relationship Id="rId69" Type="http://schemas.openxmlformats.org/officeDocument/2006/relationships/hyperlink" Target="https://eur-lex.europa.eu/legal-content/EN/TXT/?uri=CELEX%3A32019R1241" TargetMode="External"/><Relationship Id="rId113" Type="http://schemas.openxmlformats.org/officeDocument/2006/relationships/hyperlink" Target="https://eur-lex.europa.eu/legal-content/EN/TXT/?uri=CELEX%3A52022PC0541" TargetMode="External"/><Relationship Id="rId134" Type="http://schemas.openxmlformats.org/officeDocument/2006/relationships/hyperlink" Target="https://eur-lex.europa.eu/legal-content/EN/TXT/?qid=1590574123338&amp;uri=CELEX%3A52020DC0380" TargetMode="External"/><Relationship Id="rId80" Type="http://schemas.openxmlformats.org/officeDocument/2006/relationships/hyperlink" Target="https://eur-lex.europa.eu/legal-content/EN/TXT/?uri=CELEX%3A52021DC0572" TargetMode="External"/><Relationship Id="rId155" Type="http://schemas.openxmlformats.org/officeDocument/2006/relationships/hyperlink" Target="https://eur-lex.europa.eu/eli/reg/2023/1804/oj" TargetMode="External"/><Relationship Id="rId176" Type="http://schemas.openxmlformats.org/officeDocument/2006/relationships/hyperlink" Target="https://eur-lex.europa.eu/legal-content/EN/TXT/?uri=CELEX%3A32021R1119" TargetMode="External"/><Relationship Id="rId17" Type="http://schemas.openxmlformats.org/officeDocument/2006/relationships/hyperlink" Target="https://transport.ec.europa.eu/system/files/2021-12/com_2021_811_the-new-eu-urban-mobility.pdf" TargetMode="External"/><Relationship Id="rId38" Type="http://schemas.openxmlformats.org/officeDocument/2006/relationships/hyperlink" Target="https://eur-lex.europa.eu/legal-content/EN/TXT/?qid=1583933814386&amp;uri=COM:2020:98:FIN" TargetMode="External"/><Relationship Id="rId59" Type="http://schemas.openxmlformats.org/officeDocument/2006/relationships/hyperlink" Target="https://food.ec.europa.eu/system/files/2023-07/prm_leg_future_reg_prm.pdf" TargetMode="External"/><Relationship Id="rId103" Type="http://schemas.openxmlformats.org/officeDocument/2006/relationships/hyperlink" Target="https://eur-lex.europa.eu/legal-content/EN/TXT/?uri=OJ:L_202302413" TargetMode="External"/><Relationship Id="rId124" Type="http://schemas.openxmlformats.org/officeDocument/2006/relationships/hyperlink" Target="https://eur-lex.europa.eu/legal-content/EN/TXT/HTML/?uri=CELEX:52021DC0400" TargetMode="External"/><Relationship Id="rId70" Type="http://schemas.openxmlformats.org/officeDocument/2006/relationships/hyperlink" Target="https://eur-lex.europa.eu/eli/reg/2023/839/oj" TargetMode="External"/><Relationship Id="rId91" Type="http://schemas.openxmlformats.org/officeDocument/2006/relationships/hyperlink" Target="https://eur-lex.europa.eu/legal-content/EN/TXT/?uri=COM:2021:240:FIN" TargetMode="External"/><Relationship Id="rId145" Type="http://schemas.openxmlformats.org/officeDocument/2006/relationships/hyperlink" Target="https://eur-lex.europa.eu/legal-content/EN/TXT/?qid=1590574123338&amp;uri=CELEX%3A52020DC0380" TargetMode="External"/><Relationship Id="rId166" Type="http://schemas.openxmlformats.org/officeDocument/2006/relationships/hyperlink" Target="https://eur-lex.europa.eu/legal-content/EN/TXT/?uri=CELEX%3A52021PC0562" TargetMode="External"/><Relationship Id="rId1" Type="http://schemas.openxmlformats.org/officeDocument/2006/relationships/hyperlink" Target="https://eur-lex.europa.eu/legal-content/EN/TXT/?uri=CELEX%3A32021R1119" TargetMode="External"/><Relationship Id="rId28" Type="http://schemas.openxmlformats.org/officeDocument/2006/relationships/hyperlink" Target="https://eur-lex.europa.eu/legal-content/EN/TXT/?uri=CELEX%3A52021DC0699" TargetMode="External"/><Relationship Id="rId49" Type="http://schemas.openxmlformats.org/officeDocument/2006/relationships/hyperlink" Target="https://ec.europa.eu/commission/presscorner/detail/en/ip_23_1813" TargetMode="External"/><Relationship Id="rId114" Type="http://schemas.openxmlformats.org/officeDocument/2006/relationships/hyperlink" Target="https://environment.ec.europa.eu/system/files/2022-10/Proposal%20for%20a%20Directive%20concerning%20urban%20wastewater%20treatment%20%28recast%29.pdf" TargetMode="External"/><Relationship Id="rId60" Type="http://schemas.openxmlformats.org/officeDocument/2006/relationships/hyperlink" Target="https://food.ec.europa.eu/system/files/2023-07/prm_leg_future_reg_frm.pdf" TargetMode="External"/><Relationship Id="rId81" Type="http://schemas.openxmlformats.org/officeDocument/2006/relationships/hyperlink" Target="https://eur-lex.europa.eu/legal-content/EN/TXT/?uri=CELEX%3A52021DC0572" TargetMode="External"/><Relationship Id="rId135" Type="http://schemas.openxmlformats.org/officeDocument/2006/relationships/hyperlink" Target="https://eur-lex.europa.eu/legal-content/EN/TXT/?qid=1590574123338&amp;uri=CELEX%3A52020DC0380" TargetMode="External"/><Relationship Id="rId156" Type="http://schemas.openxmlformats.org/officeDocument/2006/relationships/hyperlink" Target="https://eur-lex.europa.eu/eli/reg/2023/1804/oj" TargetMode="External"/><Relationship Id="rId177" Type="http://schemas.openxmlformats.org/officeDocument/2006/relationships/hyperlink" Target="https://eur-lex.europa.eu/legal-content/EN/TXT/?uri=CELEX%3A52021PC0802&amp;qid=1641802763889" TargetMode="Externa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4.xml.rels><?xml version="1.0" encoding="UTF-8" standalone="yes"?>
<Relationships xmlns="http://schemas.openxmlformats.org/package/2006/relationships"><Relationship Id="rId13" Type="http://schemas.openxmlformats.org/officeDocument/2006/relationships/hyperlink" Target="https://joint-research-centre.ec.europa.eu/jrc-research-portfolios/industrial-transformations_en" TargetMode="External"/><Relationship Id="rId18" Type="http://schemas.openxmlformats.org/officeDocument/2006/relationships/hyperlink" Target="https://joint-research-centre.ec.europa.eu/jrc-research-portfolios/earth-observation_en" TargetMode="External"/><Relationship Id="rId26" Type="http://schemas.openxmlformats.org/officeDocument/2006/relationships/hyperlink" Target="https://joint-research-centre.ec.europa.eu/jrc-research-portfolios/risks-and-opportunities-future_en" TargetMode="External"/><Relationship Id="rId3" Type="http://schemas.openxmlformats.org/officeDocument/2006/relationships/hyperlink" Target="https://joint-research-centre.ec.europa.eu/jrc-research-portfolios/hydrogen_en" TargetMode="External"/><Relationship Id="rId21" Type="http://schemas.openxmlformats.org/officeDocument/2006/relationships/hyperlink" Target="https://joint-research-centre.ec.europa.eu/jrc-research-portfolios/education-skills-and-jobs_en" TargetMode="External"/><Relationship Id="rId34" Type="http://schemas.openxmlformats.org/officeDocument/2006/relationships/printerSettings" Target="../printerSettings/printerSettings3.bin"/><Relationship Id="rId7" Type="http://schemas.openxmlformats.org/officeDocument/2006/relationships/hyperlink" Target="https://joint-research-centre.ec.europa.eu/jrc-research-portfolios/cities-and-buildings_en" TargetMode="External"/><Relationship Id="rId12" Type="http://schemas.openxmlformats.org/officeDocument/2006/relationships/hyperlink" Target="https://joint-research-centre.ec.europa.eu/jrc-research-portfolios/sustainable-materials_en" TargetMode="External"/><Relationship Id="rId17" Type="http://schemas.openxmlformats.org/officeDocument/2006/relationships/hyperlink" Target="https://joint-research-centre.ec.europa.eu/jrc-research-portfolios/data-science-and-policy_en" TargetMode="External"/><Relationship Id="rId25" Type="http://schemas.openxmlformats.org/officeDocument/2006/relationships/hyperlink" Target="https://joint-research-centre.ec.europa.eu/jrc-research-portfolios/climate-neutrality_en" TargetMode="External"/><Relationship Id="rId33" Type="http://schemas.openxmlformats.org/officeDocument/2006/relationships/hyperlink" Target="https://joint-research-centre.ec.europa.eu/jrc-research-portfolios/innovative-policymaking_en" TargetMode="External"/><Relationship Id="rId2" Type="http://schemas.openxmlformats.org/officeDocument/2006/relationships/hyperlink" Target="https://joint-research-centre.ec.europa.eu/jrc-research-portfolios/energy-solutions_en" TargetMode="External"/><Relationship Id="rId16" Type="http://schemas.openxmlformats.org/officeDocument/2006/relationships/hyperlink" Target="https://joint-research-centre.ec.europa.eu/jrc-research-portfolios/cybersecurity_en" TargetMode="External"/><Relationship Id="rId20" Type="http://schemas.openxmlformats.org/officeDocument/2006/relationships/hyperlink" Target="https://joint-research-centre.ec.europa.eu/jrc-research-portfolios/inclusive-and-resilient-society_en" TargetMode="External"/><Relationship Id="rId29" Type="http://schemas.openxmlformats.org/officeDocument/2006/relationships/hyperlink" Target="https://joint-research-centre.ec.europa.eu/jrc-research-portfolios/cancer-and-non-communicable-diseases_en" TargetMode="External"/><Relationship Id="rId1" Type="http://schemas.openxmlformats.org/officeDocument/2006/relationships/hyperlink" Target="https://joint-research-centre.ec.europa.eu/jrc-research-portfolios/green-transitions_en" TargetMode="External"/><Relationship Id="rId6" Type="http://schemas.openxmlformats.org/officeDocument/2006/relationships/hyperlink" Target="https://joint-research-centre.ec.europa.eu/jrc-research-portfolios/mobility_en" TargetMode="External"/><Relationship Id="rId11" Type="http://schemas.openxmlformats.org/officeDocument/2006/relationships/hyperlink" Target="https://joint-research-centre.ec.europa.eu/jrc-research-portfolios/sustainable-food-systems_en" TargetMode="External"/><Relationship Id="rId24" Type="http://schemas.openxmlformats.org/officeDocument/2006/relationships/hyperlink" Target="https://joint-research-centre.ec.europa.eu/jrc-research-portfolios/international-cooperation-sustainable-and-trusted-connections_en" TargetMode="External"/><Relationship Id="rId32" Type="http://schemas.openxmlformats.org/officeDocument/2006/relationships/hyperlink" Target="https://joint-research-centre.ec.europa.eu/jrc-research-portfolios/population-dynamics-and-migration_en" TargetMode="External"/><Relationship Id="rId5" Type="http://schemas.openxmlformats.org/officeDocument/2006/relationships/hyperlink" Target="https://joint-research-centre.ec.europa.eu/jrc-research-portfolios/small-modular-reactors_en" TargetMode="External"/><Relationship Id="rId15" Type="http://schemas.openxmlformats.org/officeDocument/2006/relationships/hyperlink" Target="https://joint-research-centre.ec.europa.eu/jrc-research-portfolios/trustworthy-ai_en" TargetMode="External"/><Relationship Id="rId23" Type="http://schemas.openxmlformats.org/officeDocument/2006/relationships/hyperlink" Target="https://joint-research-centre.ec.europa.eu/jrc-research-portfolios/territorial-intelligence_en" TargetMode="External"/><Relationship Id="rId28" Type="http://schemas.openxmlformats.org/officeDocument/2006/relationships/hyperlink" Target="https://joint-research-centre.ec.europa.eu/jrc-research-portfolios/life-and-health-sciences_en" TargetMode="External"/><Relationship Id="rId10" Type="http://schemas.openxmlformats.org/officeDocument/2006/relationships/hyperlink" Target="https://joint-research-centre.ec.europa.eu/jrc-research-portfolios/healthy-biodiversity_en" TargetMode="External"/><Relationship Id="rId19" Type="http://schemas.openxmlformats.org/officeDocument/2006/relationships/hyperlink" Target="https://joint-research-centre.ec.europa.eu/jrc-research-portfolios/global-satellite-navigation-galileo_en" TargetMode="External"/><Relationship Id="rId31" Type="http://schemas.openxmlformats.org/officeDocument/2006/relationships/hyperlink" Target="https://joint-research-centre.ec.europa.eu/jrc-research-portfolios/nuclear-compliance-assurance_en" TargetMode="External"/><Relationship Id="rId4" Type="http://schemas.openxmlformats.org/officeDocument/2006/relationships/hyperlink" Target="https://joint-research-centre.ec.europa.eu/jrc-research-portfolios/safe-nuclear-technology_en" TargetMode="External"/><Relationship Id="rId9" Type="http://schemas.openxmlformats.org/officeDocument/2006/relationships/hyperlink" Target="https://joint-research-centre.ec.europa.eu/jrc-research-portfolios/zero-pollution_en" TargetMode="External"/><Relationship Id="rId14" Type="http://schemas.openxmlformats.org/officeDocument/2006/relationships/hyperlink" Target="https://joint-research-centre.ec.europa.eu/jrc-research-portfolios/digital-transition_en" TargetMode="External"/><Relationship Id="rId22" Type="http://schemas.openxmlformats.org/officeDocument/2006/relationships/hyperlink" Target="https://joint-research-centre.ec.europa.eu/jrc-research-portfolios/economic-governance_en" TargetMode="External"/><Relationship Id="rId27" Type="http://schemas.openxmlformats.org/officeDocument/2006/relationships/hyperlink" Target="https://joint-research-centre.ec.europa.eu/jrc-research-portfolios/health-crises-response_en" TargetMode="External"/><Relationship Id="rId30" Type="http://schemas.openxmlformats.org/officeDocument/2006/relationships/hyperlink" Target="https://joint-research-centre.ec.europa.eu/jrc-research-portfolios/science-security_en" TargetMode="External"/><Relationship Id="rId8" Type="http://schemas.openxmlformats.org/officeDocument/2006/relationships/hyperlink" Target="https://joint-research-centre.ec.europa.eu/jrc-research-portfolios/climate-neutrality_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Z257"/>
  <sheetViews>
    <sheetView topLeftCell="A83" zoomScale="98" zoomScaleNormal="98" workbookViewId="0">
      <selection activeCell="A83" sqref="A83"/>
    </sheetView>
  </sheetViews>
  <sheetFormatPr baseColWidth="10" defaultColWidth="8.6640625" defaultRowHeight="14"/>
  <cols>
    <col min="1" max="1" width="115.83203125" style="3" customWidth="1"/>
    <col min="2" max="2" width="15.6640625" style="2" customWidth="1"/>
    <col min="3" max="3" width="33.33203125" style="1" customWidth="1"/>
    <col min="4" max="4" width="37.5" style="1" customWidth="1"/>
    <col min="5" max="5" width="33.6640625" style="1" customWidth="1"/>
    <col min="6" max="6" width="26.5" style="1" customWidth="1"/>
    <col min="7" max="16384" width="8.6640625" style="1"/>
  </cols>
  <sheetData>
    <row r="1" spans="1:5" ht="17" thickBot="1">
      <c r="A1" s="7" t="s">
        <v>0</v>
      </c>
    </row>
    <row r="2" spans="1:5" ht="16" thickTop="1">
      <c r="A2" s="3" t="s">
        <v>1</v>
      </c>
    </row>
    <row r="3" spans="1:5" ht="15">
      <c r="A3" s="3" t="s">
        <v>2</v>
      </c>
    </row>
    <row r="4" spans="1:5" ht="15">
      <c r="A4" s="3" t="s">
        <v>3</v>
      </c>
    </row>
    <row r="5" spans="1:5" ht="15">
      <c r="A5" s="3" t="s">
        <v>4</v>
      </c>
    </row>
    <row r="6" spans="1:5" ht="15">
      <c r="A6" s="3" t="s">
        <v>5</v>
      </c>
    </row>
    <row r="7" spans="1:5" ht="15">
      <c r="A7" s="3" t="s">
        <v>6</v>
      </c>
    </row>
    <row r="8" spans="1:5" ht="15">
      <c r="A8" s="3" t="s">
        <v>7</v>
      </c>
    </row>
    <row r="9" spans="1:5" ht="15">
      <c r="A9" s="3" t="s">
        <v>8</v>
      </c>
    </row>
    <row r="10" spans="1:5" ht="15">
      <c r="A10" s="3" t="s">
        <v>9</v>
      </c>
    </row>
    <row r="11" spans="1:5" ht="15">
      <c r="A11" s="3" t="s">
        <v>10</v>
      </c>
    </row>
    <row r="12" spans="1:5" ht="15">
      <c r="A12" s="3" t="s">
        <v>11</v>
      </c>
    </row>
    <row r="13" spans="1:5">
      <c r="A13" s="519"/>
      <c r="B13" s="519"/>
      <c r="C13" s="519"/>
      <c r="D13" s="519"/>
      <c r="E13" s="519"/>
    </row>
    <row r="14" spans="1:5">
      <c r="A14" s="519"/>
      <c r="B14" s="519"/>
      <c r="C14" s="519"/>
      <c r="D14" s="519"/>
      <c r="E14" s="519"/>
    </row>
    <row r="15" spans="1:5" ht="17" thickBot="1">
      <c r="A15" s="7" t="s">
        <v>12</v>
      </c>
    </row>
    <row r="16" spans="1:5" ht="17" thickTop="1">
      <c r="A16" s="6" t="str">
        <f>A2</f>
        <v>01_Agriculture</v>
      </c>
    </row>
    <row r="17" spans="1:1" ht="15">
      <c r="A17" s="3" t="s">
        <v>13</v>
      </c>
    </row>
    <row r="18" spans="1:1" ht="15">
      <c r="A18" s="3" t="s">
        <v>14</v>
      </c>
    </row>
    <row r="19" spans="1:1" ht="15">
      <c r="A19" s="3" t="s">
        <v>15</v>
      </c>
    </row>
    <row r="20" spans="1:1" ht="15">
      <c r="A20" s="3" t="s">
        <v>16</v>
      </c>
    </row>
    <row r="21" spans="1:1" ht="15">
      <c r="A21" s="3" t="s">
        <v>17</v>
      </c>
    </row>
    <row r="22" spans="1:1" ht="15">
      <c r="A22" s="3" t="s">
        <v>18</v>
      </c>
    </row>
    <row r="23" spans="1:1" ht="15">
      <c r="A23" s="3" t="s">
        <v>19</v>
      </c>
    </row>
    <row r="24" spans="1:1" ht="15">
      <c r="A24" s="3" t="s">
        <v>20</v>
      </c>
    </row>
    <row r="26" spans="1:1" ht="16">
      <c r="A26" s="6" t="str">
        <f>A3</f>
        <v>02_Climate</v>
      </c>
    </row>
    <row r="27" spans="1:1" ht="15">
      <c r="A27" s="3" t="s">
        <v>21</v>
      </c>
    </row>
    <row r="28" spans="1:1" ht="15">
      <c r="A28" s="3" t="s">
        <v>22</v>
      </c>
    </row>
    <row r="29" spans="1:1" ht="15">
      <c r="A29" s="3" t="s">
        <v>23</v>
      </c>
    </row>
    <row r="30" spans="1:1" ht="15">
      <c r="A30" s="3" t="s">
        <v>24</v>
      </c>
    </row>
    <row r="31" spans="1:1" ht="15">
      <c r="A31" s="3" t="s">
        <v>25</v>
      </c>
    </row>
    <row r="32" spans="1:1" ht="15">
      <c r="A32" s="3" t="s">
        <v>26</v>
      </c>
    </row>
    <row r="33" spans="1:1" ht="15">
      <c r="A33" s="3" t="s">
        <v>27</v>
      </c>
    </row>
    <row r="35" spans="1:1" ht="16">
      <c r="A35" s="6" t="str">
        <f>A4</f>
        <v>03_Energy</v>
      </c>
    </row>
    <row r="36" spans="1:1" ht="15">
      <c r="A36" s="3" t="s">
        <v>28</v>
      </c>
    </row>
    <row r="37" spans="1:1" ht="15">
      <c r="A37" s="3" t="s">
        <v>29</v>
      </c>
    </row>
    <row r="38" spans="1:1" ht="15">
      <c r="A38" s="3" t="s">
        <v>30</v>
      </c>
    </row>
    <row r="39" spans="1:1" ht="15">
      <c r="A39" s="3" t="s">
        <v>31</v>
      </c>
    </row>
    <row r="40" spans="1:1" ht="15">
      <c r="A40" s="3" t="s">
        <v>32</v>
      </c>
    </row>
    <row r="41" spans="1:1" ht="15">
      <c r="A41" s="3" t="s">
        <v>33</v>
      </c>
    </row>
    <row r="42" spans="1:1" ht="15">
      <c r="A42" s="3" t="s">
        <v>34</v>
      </c>
    </row>
    <row r="44" spans="1:1" ht="16">
      <c r="A44" s="6" t="str">
        <f>A5</f>
        <v>04_Environment and Oceans</v>
      </c>
    </row>
    <row r="45" spans="1:1" ht="15">
      <c r="A45" s="3" t="s">
        <v>35</v>
      </c>
    </row>
    <row r="46" spans="1:1" ht="15">
      <c r="A46" s="3" t="s">
        <v>36</v>
      </c>
    </row>
    <row r="47" spans="1:1" ht="15">
      <c r="A47" s="3" t="s">
        <v>37</v>
      </c>
    </row>
    <row r="48" spans="1:1" ht="15">
      <c r="A48" s="3" t="s">
        <v>38</v>
      </c>
    </row>
    <row r="49" spans="1:1" ht="15">
      <c r="A49" s="3" t="s">
        <v>39</v>
      </c>
    </row>
    <row r="50" spans="1:1" ht="15">
      <c r="A50" s="3" t="s">
        <v>40</v>
      </c>
    </row>
    <row r="51" spans="1:1" ht="15">
      <c r="A51" s="3" t="s">
        <v>41</v>
      </c>
    </row>
    <row r="52" spans="1:1" ht="15">
      <c r="A52" s="3" t="s">
        <v>42</v>
      </c>
    </row>
    <row r="53" spans="1:1" ht="15">
      <c r="A53" s="3" t="s">
        <v>43</v>
      </c>
    </row>
    <row r="54" spans="1:1" ht="15">
      <c r="A54" s="3" t="s">
        <v>44</v>
      </c>
    </row>
    <row r="55" spans="1:1" ht="15">
      <c r="A55" s="3" t="s">
        <v>45</v>
      </c>
    </row>
    <row r="56" spans="1:1" ht="15">
      <c r="A56" s="3" t="s">
        <v>46</v>
      </c>
    </row>
    <row r="58" spans="1:1" ht="16">
      <c r="A58" s="6" t="str">
        <f>A6</f>
        <v>05_Finance and Regional Development</v>
      </c>
    </row>
    <row r="59" spans="1:1" ht="15">
      <c r="A59" s="3" t="s">
        <v>47</v>
      </c>
    </row>
    <row r="60" spans="1:1" ht="15">
      <c r="A60" s="3" t="s">
        <v>48</v>
      </c>
    </row>
    <row r="61" spans="1:1" ht="15">
      <c r="A61" s="3" t="s">
        <v>49</v>
      </c>
    </row>
    <row r="62" spans="1:1" ht="15">
      <c r="A62" s="3" t="s">
        <v>50</v>
      </c>
    </row>
    <row r="63" spans="1:1" ht="15">
      <c r="A63" s="3" t="s">
        <v>51</v>
      </c>
    </row>
    <row r="64" spans="1:1" ht="15">
      <c r="A64" s="3" t="s">
        <v>52</v>
      </c>
    </row>
    <row r="65" spans="1:1" ht="15">
      <c r="A65" s="3" t="s">
        <v>53</v>
      </c>
    </row>
    <row r="67" spans="1:1" ht="16">
      <c r="A67" s="6" t="str">
        <f>A7</f>
        <v>06_Industry</v>
      </c>
    </row>
    <row r="68" spans="1:1" ht="15">
      <c r="A68" s="3" t="s">
        <v>54</v>
      </c>
    </row>
    <row r="69" spans="1:1" ht="15">
      <c r="A69" s="3" t="s">
        <v>55</v>
      </c>
    </row>
    <row r="70" spans="1:1" ht="15">
      <c r="A70" s="3" t="s">
        <v>56</v>
      </c>
    </row>
    <row r="71" spans="1:1" ht="15">
      <c r="A71" s="3" t="s">
        <v>57</v>
      </c>
    </row>
    <row r="72" spans="1:1" ht="15">
      <c r="A72" s="3" t="s">
        <v>58</v>
      </c>
    </row>
    <row r="73" spans="1:1" ht="15">
      <c r="A73" s="3" t="s">
        <v>59</v>
      </c>
    </row>
    <row r="74" spans="1:1" ht="15">
      <c r="A74" s="3" t="s">
        <v>60</v>
      </c>
    </row>
    <row r="76" spans="1:1" ht="16">
      <c r="A76" s="6" t="str">
        <f>A8</f>
        <v>07_REPowerEU Plan</v>
      </c>
    </row>
    <row r="77" spans="1:1" ht="15">
      <c r="A77" s="3" t="s">
        <v>61</v>
      </c>
    </row>
    <row r="79" spans="1:1" ht="16">
      <c r="A79" s="6" t="str">
        <f>A9</f>
        <v>08_Research and Innovation</v>
      </c>
    </row>
    <row r="80" spans="1:1" ht="15">
      <c r="A80" s="3" t="s">
        <v>62</v>
      </c>
    </row>
    <row r="82" spans="1:26" ht="16">
      <c r="A82" s="6" t="str">
        <f>A10</f>
        <v>09_Transport</v>
      </c>
    </row>
    <row r="83" spans="1:26" ht="15">
      <c r="A83" s="3" t="s">
        <v>63</v>
      </c>
    </row>
    <row r="84" spans="1:26" ht="15">
      <c r="A84" s="3" t="s">
        <v>64</v>
      </c>
    </row>
    <row r="85" spans="1:26">
      <c r="A85" s="519"/>
      <c r="B85" s="519"/>
      <c r="C85" s="519"/>
      <c r="D85" s="519"/>
      <c r="E85" s="519"/>
      <c r="F85" s="519"/>
      <c r="G85" s="519"/>
      <c r="H85" s="519"/>
      <c r="I85" s="519"/>
      <c r="J85" s="519"/>
      <c r="K85" s="519"/>
      <c r="L85" s="519"/>
      <c r="M85" s="519"/>
      <c r="N85" s="519"/>
      <c r="O85" s="519"/>
      <c r="P85" s="519"/>
      <c r="Q85" s="519"/>
      <c r="R85" s="519"/>
      <c r="S85" s="519"/>
      <c r="T85" s="519"/>
      <c r="U85" s="519"/>
      <c r="V85" s="519"/>
      <c r="W85" s="519"/>
      <c r="X85" s="519"/>
      <c r="Y85" s="519"/>
      <c r="Z85" s="519"/>
    </row>
    <row r="86" spans="1:26">
      <c r="A86" s="519"/>
      <c r="B86" s="519"/>
      <c r="C86" s="519"/>
      <c r="D86" s="519"/>
      <c r="E86" s="519"/>
      <c r="F86" s="519"/>
      <c r="G86" s="519"/>
      <c r="H86" s="519"/>
      <c r="I86" s="519"/>
      <c r="J86" s="519"/>
      <c r="K86" s="519"/>
      <c r="L86" s="519"/>
      <c r="M86" s="519"/>
      <c r="N86" s="519"/>
      <c r="O86" s="519"/>
      <c r="P86" s="519"/>
      <c r="Q86" s="519"/>
      <c r="R86" s="519"/>
      <c r="S86" s="519"/>
      <c r="T86" s="519"/>
      <c r="U86" s="519"/>
      <c r="V86" s="519"/>
      <c r="W86" s="519"/>
      <c r="X86" s="519"/>
      <c r="Y86" s="519"/>
      <c r="Z86" s="519"/>
    </row>
    <row r="87" spans="1:26" ht="17" thickBot="1">
      <c r="A87" s="7" t="s">
        <v>65</v>
      </c>
    </row>
    <row r="88" spans="1:26" ht="17" thickTop="1">
      <c r="A88" s="6" t="str">
        <f>A54</f>
        <v>04_J_Waste and Recycling</v>
      </c>
    </row>
    <row r="89" spans="1:26" ht="15">
      <c r="A89" s="3" t="s">
        <v>66</v>
      </c>
    </row>
    <row r="90" spans="1:26" ht="15">
      <c r="A90" s="3" t="s">
        <v>67</v>
      </c>
    </row>
    <row r="91" spans="1:26" ht="15">
      <c r="A91" s="3" t="s">
        <v>68</v>
      </c>
    </row>
    <row r="92" spans="1:26" ht="15">
      <c r="A92" s="3" t="s">
        <v>69</v>
      </c>
    </row>
    <row r="93" spans="1:26" ht="15">
      <c r="A93" s="3" t="s">
        <v>70</v>
      </c>
    </row>
    <row r="94" spans="1:26" ht="15">
      <c r="A94" s="3" t="s">
        <v>71</v>
      </c>
    </row>
    <row r="95" spans="1:26" ht="15">
      <c r="A95" s="3" t="s">
        <v>72</v>
      </c>
    </row>
    <row r="96" spans="1:26" ht="15">
      <c r="A96" s="3" t="s">
        <v>73</v>
      </c>
    </row>
    <row r="97" spans="1:26" ht="15">
      <c r="A97" s="3" t="s">
        <v>74</v>
      </c>
    </row>
    <row r="98" spans="1:26" ht="15">
      <c r="A98" s="3" t="s">
        <v>75</v>
      </c>
    </row>
    <row r="99" spans="1:26" ht="15">
      <c r="A99" s="3" t="s">
        <v>76</v>
      </c>
    </row>
    <row r="100" spans="1:26" ht="15">
      <c r="A100" s="3" t="s">
        <v>77</v>
      </c>
    </row>
    <row r="101" spans="1:26" ht="15">
      <c r="A101" s="3" t="s">
        <v>78</v>
      </c>
    </row>
    <row r="102" spans="1:26" ht="15">
      <c r="A102" s="3" t="s">
        <v>79</v>
      </c>
    </row>
    <row r="103" spans="1:26" ht="15">
      <c r="A103" s="3" t="s">
        <v>80</v>
      </c>
    </row>
    <row r="104" spans="1:26">
      <c r="A104" s="519"/>
      <c r="B104" s="519"/>
      <c r="C104" s="519"/>
      <c r="D104" s="519"/>
      <c r="E104" s="519"/>
      <c r="F104" s="519"/>
      <c r="G104" s="519"/>
      <c r="H104" s="519"/>
      <c r="I104" s="519"/>
      <c r="J104" s="519"/>
      <c r="K104" s="519"/>
      <c r="L104" s="519"/>
      <c r="M104" s="519"/>
      <c r="N104" s="519"/>
      <c r="O104" s="519"/>
      <c r="P104" s="519"/>
      <c r="Q104" s="519"/>
      <c r="R104" s="519"/>
      <c r="S104" s="519"/>
      <c r="T104" s="519"/>
      <c r="U104" s="519"/>
      <c r="V104" s="519"/>
      <c r="W104" s="519"/>
      <c r="X104" s="519"/>
      <c r="Y104" s="519"/>
      <c r="Z104" s="519"/>
    </row>
    <row r="105" spans="1:26">
      <c r="A105" s="519"/>
      <c r="B105" s="519"/>
      <c r="C105" s="519"/>
      <c r="D105" s="519"/>
      <c r="E105" s="519"/>
      <c r="F105" s="519"/>
      <c r="G105" s="519"/>
      <c r="H105" s="519"/>
      <c r="I105" s="519"/>
      <c r="J105" s="519"/>
      <c r="K105" s="519"/>
      <c r="L105" s="519"/>
      <c r="M105" s="519"/>
      <c r="N105" s="519"/>
      <c r="O105" s="519"/>
      <c r="P105" s="519"/>
      <c r="Q105" s="519"/>
      <c r="R105" s="519"/>
      <c r="S105" s="519"/>
      <c r="T105" s="519"/>
      <c r="U105" s="519"/>
      <c r="V105" s="519"/>
      <c r="W105" s="519"/>
      <c r="X105" s="519"/>
      <c r="Y105" s="519"/>
      <c r="Z105" s="519"/>
    </row>
    <row r="106" spans="1:26" ht="17" thickBot="1">
      <c r="A106" s="7" t="s">
        <v>81</v>
      </c>
    </row>
    <row r="107" spans="1:26" ht="31" thickTop="1">
      <c r="A107" s="3" t="s">
        <v>82</v>
      </c>
    </row>
    <row r="108" spans="1:26" ht="30">
      <c r="A108" s="3" t="s">
        <v>83</v>
      </c>
    </row>
    <row r="109" spans="1:26" ht="15">
      <c r="A109" s="3" t="s">
        <v>84</v>
      </c>
    </row>
    <row r="110" spans="1:26" ht="15">
      <c r="A110" s="3" t="s">
        <v>85</v>
      </c>
    </row>
    <row r="111" spans="1:26" ht="15">
      <c r="A111" s="3" t="s">
        <v>86</v>
      </c>
    </row>
    <row r="112" spans="1:26" ht="15">
      <c r="A112" s="3" t="s">
        <v>87</v>
      </c>
    </row>
    <row r="113" spans="1:1" ht="15">
      <c r="A113" s="3" t="s">
        <v>88</v>
      </c>
    </row>
    <row r="114" spans="1:1" ht="15">
      <c r="A114" s="3" t="s">
        <v>89</v>
      </c>
    </row>
    <row r="115" spans="1:1" ht="15">
      <c r="A115" s="3" t="s">
        <v>90</v>
      </c>
    </row>
    <row r="116" spans="1:1" ht="15">
      <c r="A116" s="3" t="s">
        <v>91</v>
      </c>
    </row>
    <row r="117" spans="1:1" ht="15">
      <c r="A117" s="3" t="s">
        <v>92</v>
      </c>
    </row>
    <row r="118" spans="1:1" ht="15">
      <c r="A118" s="3" t="s">
        <v>93</v>
      </c>
    </row>
    <row r="119" spans="1:1" ht="15">
      <c r="A119" s="3" t="s">
        <v>94</v>
      </c>
    </row>
    <row r="120" spans="1:1" ht="15">
      <c r="A120" s="3" t="s">
        <v>95</v>
      </c>
    </row>
    <row r="121" spans="1:1" ht="15">
      <c r="A121" s="3" t="s">
        <v>96</v>
      </c>
    </row>
    <row r="122" spans="1:1" ht="15">
      <c r="A122" s="3" t="s">
        <v>97</v>
      </c>
    </row>
    <row r="123" spans="1:1" ht="15">
      <c r="A123" s="3" t="s">
        <v>98</v>
      </c>
    </row>
    <row r="124" spans="1:1" ht="15">
      <c r="A124" s="3" t="s">
        <v>99</v>
      </c>
    </row>
    <row r="125" spans="1:1" ht="15">
      <c r="A125" s="3" t="s">
        <v>100</v>
      </c>
    </row>
    <row r="126" spans="1:1" ht="15">
      <c r="A126" s="3" t="s">
        <v>101</v>
      </c>
    </row>
    <row r="127" spans="1:1" ht="15">
      <c r="A127" s="3" t="s">
        <v>102</v>
      </c>
    </row>
    <row r="128" spans="1:1" ht="15">
      <c r="A128" s="3" t="s">
        <v>103</v>
      </c>
    </row>
    <row r="129" spans="1:1" ht="15">
      <c r="A129" s="3" t="s">
        <v>104</v>
      </c>
    </row>
    <row r="130" spans="1:1" ht="15">
      <c r="A130" s="3" t="s">
        <v>105</v>
      </c>
    </row>
    <row r="131" spans="1:1" ht="15">
      <c r="A131" s="3" t="s">
        <v>106</v>
      </c>
    </row>
    <row r="132" spans="1:1" ht="15">
      <c r="A132" s="3" t="s">
        <v>107</v>
      </c>
    </row>
    <row r="133" spans="1:1" ht="15">
      <c r="A133" s="3" t="s">
        <v>108</v>
      </c>
    </row>
    <row r="134" spans="1:1" ht="15">
      <c r="A134" s="3" t="s">
        <v>109</v>
      </c>
    </row>
    <row r="135" spans="1:1" ht="15">
      <c r="A135" s="3" t="s">
        <v>110</v>
      </c>
    </row>
    <row r="136" spans="1:1" ht="15">
      <c r="A136" s="3" t="s">
        <v>111</v>
      </c>
    </row>
    <row r="137" spans="1:1" ht="15">
      <c r="A137" s="3" t="s">
        <v>112</v>
      </c>
    </row>
    <row r="138" spans="1:1" ht="15">
      <c r="A138" s="3" t="s">
        <v>113</v>
      </c>
    </row>
    <row r="139" spans="1:1" ht="15">
      <c r="A139" s="3" t="s">
        <v>114</v>
      </c>
    </row>
    <row r="140" spans="1:1" ht="15">
      <c r="A140" s="3" t="s">
        <v>115</v>
      </c>
    </row>
    <row r="141" spans="1:1" ht="15">
      <c r="A141" s="3" t="s">
        <v>116</v>
      </c>
    </row>
    <row r="142" spans="1:1" ht="15">
      <c r="A142" s="3" t="s">
        <v>117</v>
      </c>
    </row>
    <row r="143" spans="1:1" ht="30">
      <c r="A143" s="3" t="s">
        <v>118</v>
      </c>
    </row>
    <row r="144" spans="1:1" ht="30">
      <c r="A144" s="3" t="s">
        <v>119</v>
      </c>
    </row>
    <row r="145" spans="1:26" ht="15">
      <c r="A145" s="3" t="s">
        <v>120</v>
      </c>
    </row>
    <row r="146" spans="1:26" ht="15">
      <c r="A146" s="3" t="s">
        <v>121</v>
      </c>
    </row>
    <row r="147" spans="1:26" ht="15">
      <c r="A147" s="3" t="s">
        <v>122</v>
      </c>
    </row>
    <row r="148" spans="1:26" ht="15">
      <c r="A148" s="3" t="s">
        <v>123</v>
      </c>
    </row>
    <row r="149" spans="1:26">
      <c r="A149" s="519"/>
      <c r="B149" s="519"/>
      <c r="C149" s="519"/>
      <c r="D149" s="519"/>
      <c r="E149" s="519"/>
      <c r="F149" s="519"/>
      <c r="G149" s="519"/>
      <c r="H149" s="519"/>
      <c r="I149" s="519"/>
      <c r="J149" s="519"/>
      <c r="K149" s="519"/>
      <c r="L149" s="519"/>
      <c r="M149" s="519"/>
      <c r="N149" s="519"/>
      <c r="O149" s="519"/>
      <c r="P149" s="519"/>
      <c r="Q149" s="519"/>
      <c r="R149" s="519"/>
      <c r="S149" s="519"/>
      <c r="T149" s="519"/>
      <c r="U149" s="519"/>
      <c r="V149" s="519"/>
      <c r="W149" s="519"/>
      <c r="X149" s="519"/>
      <c r="Y149" s="519"/>
      <c r="Z149" s="519"/>
    </row>
    <row r="150" spans="1:26">
      <c r="A150" s="519"/>
      <c r="B150" s="519"/>
      <c r="C150" s="519"/>
      <c r="D150" s="519"/>
      <c r="E150" s="519"/>
      <c r="F150" s="519"/>
      <c r="G150" s="519"/>
      <c r="H150" s="519"/>
      <c r="I150" s="519"/>
      <c r="J150" s="519"/>
      <c r="K150" s="519"/>
      <c r="L150" s="519"/>
      <c r="M150" s="519"/>
      <c r="N150" s="519"/>
      <c r="O150" s="519"/>
      <c r="P150" s="519"/>
      <c r="Q150" s="519"/>
      <c r="R150" s="519"/>
      <c r="S150" s="519"/>
      <c r="T150" s="519"/>
      <c r="U150" s="519"/>
      <c r="V150" s="519"/>
      <c r="W150" s="519"/>
      <c r="X150" s="519"/>
      <c r="Y150" s="519"/>
      <c r="Z150" s="519"/>
    </row>
    <row r="151" spans="1:26" ht="17" thickBot="1">
      <c r="A151" s="7" t="s">
        <v>124</v>
      </c>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6" thickTop="1">
      <c r="A152" s="3" t="s">
        <v>125</v>
      </c>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
      <c r="A153" s="3" t="s">
        <v>126</v>
      </c>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
      <c r="A154" s="3" t="s">
        <v>127</v>
      </c>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
      <c r="A155" s="3" t="s">
        <v>128</v>
      </c>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
      <c r="A156" s="3" t="s">
        <v>129</v>
      </c>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5"/>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7" thickBot="1">
      <c r="A158" s="7" t="s">
        <v>130</v>
      </c>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6" thickTop="1">
      <c r="A159" s="3" t="s">
        <v>131</v>
      </c>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
      <c r="A160" s="3" t="s">
        <v>132</v>
      </c>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
      <c r="A161" s="3" t="s">
        <v>133</v>
      </c>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
      <c r="A162" s="3" t="s">
        <v>134</v>
      </c>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
      <c r="A163" s="3" t="s">
        <v>135</v>
      </c>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
      <c r="A164" s="3" t="s">
        <v>136</v>
      </c>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
      <c r="A165" s="3" t="s">
        <v>137</v>
      </c>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
      <c r="A166" s="3" t="s">
        <v>138</v>
      </c>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
      <c r="A167" s="3" t="s">
        <v>139</v>
      </c>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
      <c r="A168" s="3" t="s">
        <v>140</v>
      </c>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
      <c r="A169" s="3" t="s">
        <v>141</v>
      </c>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
      <c r="A170" s="3" t="s">
        <v>142</v>
      </c>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
      <c r="A171" s="3" t="s">
        <v>143</v>
      </c>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
      <c r="A172" t="s">
        <v>144</v>
      </c>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
      <c r="A173" s="3" t="s">
        <v>145</v>
      </c>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
      <c r="A174" s="3" t="s">
        <v>146</v>
      </c>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
      <c r="A175" s="3" t="s">
        <v>147</v>
      </c>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
      <c r="A176" s="3" t="s">
        <v>148</v>
      </c>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
      <c r="A177" s="3" t="s">
        <v>149</v>
      </c>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
      <c r="A178" s="3" t="s">
        <v>150</v>
      </c>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
      <c r="A179" s="3" t="s">
        <v>151</v>
      </c>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
      <c r="A180" s="3" t="s">
        <v>152</v>
      </c>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
      <c r="A181" s="3" t="s">
        <v>153</v>
      </c>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
      <c r="A182" s="3" t="s">
        <v>154</v>
      </c>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
      <c r="A183" s="3" t="s">
        <v>155</v>
      </c>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
      <c r="A184" s="3" t="s">
        <v>156</v>
      </c>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
      <c r="A185" s="3" t="s">
        <v>157</v>
      </c>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
      <c r="A186" s="3" t="s">
        <v>158</v>
      </c>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
      <c r="A187" s="3" t="s">
        <v>159</v>
      </c>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
      <c r="A188" s="3" t="s">
        <v>160</v>
      </c>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
      <c r="A189" s="3" t="s">
        <v>161</v>
      </c>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
      <c r="A190" s="3" t="s">
        <v>162</v>
      </c>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
      <c r="A191" s="3" t="s">
        <v>163</v>
      </c>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
      <c r="A192" s="3" t="s">
        <v>164</v>
      </c>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
      <c r="A193" s="3" t="s">
        <v>165</v>
      </c>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
      <c r="A194" s="3" t="s">
        <v>166</v>
      </c>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
      <c r="A195" s="3" t="s">
        <v>167</v>
      </c>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
      <c r="A196" s="3" t="s">
        <v>168</v>
      </c>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
      <c r="A197" s="3" t="s">
        <v>169</v>
      </c>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
      <c r="A198" s="3" t="s">
        <v>170</v>
      </c>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
      <c r="A199" s="3" t="s">
        <v>171</v>
      </c>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
      <c r="A200" s="3" t="s">
        <v>172</v>
      </c>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
      <c r="A201" s="3" t="s">
        <v>173</v>
      </c>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
      <c r="A202" s="3" t="s">
        <v>174</v>
      </c>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
      <c r="A203" s="3" t="s">
        <v>175</v>
      </c>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
      <c r="A204" s="3" t="s">
        <v>176</v>
      </c>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
      <c r="A205" s="3" t="s">
        <v>177</v>
      </c>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
      <c r="A206" s="3" t="s">
        <v>178</v>
      </c>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
      <c r="A207" s="3" t="s">
        <v>179</v>
      </c>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
      <c r="A208" s="3" t="s">
        <v>180</v>
      </c>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
      <c r="A209" s="3" t="s">
        <v>181</v>
      </c>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
      <c r="A210" s="3" t="s">
        <v>181</v>
      </c>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
      <c r="A211" s="3" t="s">
        <v>182</v>
      </c>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
      <c r="A212" s="3" t="s">
        <v>183</v>
      </c>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
      <c r="A213" s="3" t="s">
        <v>184</v>
      </c>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
      <c r="A214" s="3" t="s">
        <v>185</v>
      </c>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
      <c r="A215" s="3" t="s">
        <v>186</v>
      </c>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7" thickBot="1">
      <c r="A217" s="7" t="s">
        <v>187</v>
      </c>
    </row>
    <row r="218" spans="1:26" ht="16" thickTop="1">
      <c r="A218" s="3" t="s">
        <v>188</v>
      </c>
    </row>
    <row r="219" spans="1:26" ht="15">
      <c r="A219" s="3" t="s">
        <v>189</v>
      </c>
    </row>
    <row r="220" spans="1:26" ht="15">
      <c r="A220" s="3" t="s">
        <v>190</v>
      </c>
    </row>
    <row r="221" spans="1:26" ht="15">
      <c r="A221" s="3" t="s">
        <v>191</v>
      </c>
    </row>
    <row r="222" spans="1:26" ht="15">
      <c r="A222" s="3" t="s">
        <v>192</v>
      </c>
      <c r="B222" s="2" t="s">
        <v>193</v>
      </c>
    </row>
    <row r="223" spans="1:26" ht="15">
      <c r="A223" s="3" t="s">
        <v>194</v>
      </c>
    </row>
    <row r="224" spans="1:26" ht="15">
      <c r="A224" s="3" t="s">
        <v>195</v>
      </c>
    </row>
    <row r="225" spans="1:2" ht="15">
      <c r="A225" s="3" t="s">
        <v>196</v>
      </c>
    </row>
    <row r="226" spans="1:2" ht="16">
      <c r="A226" s="3" t="s">
        <v>197</v>
      </c>
      <c r="B226" s="8" t="s">
        <v>198</v>
      </c>
    </row>
    <row r="227" spans="1:2" ht="16">
      <c r="A227" s="3" t="s">
        <v>199</v>
      </c>
      <c r="B227" s="8"/>
    </row>
    <row r="228" spans="1:2" ht="16">
      <c r="A228" s="3" t="s">
        <v>200</v>
      </c>
      <c r="B228" s="8"/>
    </row>
    <row r="229" spans="1:2" ht="16">
      <c r="A229" s="3" t="s">
        <v>201</v>
      </c>
      <c r="B229" s="8" t="s">
        <v>202</v>
      </c>
    </row>
    <row r="230" spans="1:2" ht="16">
      <c r="A230" s="3" t="s">
        <v>203</v>
      </c>
      <c r="B230" s="8" t="s">
        <v>204</v>
      </c>
    </row>
    <row r="231" spans="1:2" ht="16">
      <c r="A231" s="3" t="s">
        <v>205</v>
      </c>
      <c r="B231" s="8"/>
    </row>
    <row r="232" spans="1:2" ht="16">
      <c r="A232" s="3" t="s">
        <v>206</v>
      </c>
      <c r="B232" s="8"/>
    </row>
    <row r="233" spans="1:2" ht="16">
      <c r="A233" s="3" t="s">
        <v>207</v>
      </c>
      <c r="B233" s="8" t="s">
        <v>208</v>
      </c>
    </row>
    <row r="234" spans="1:2" ht="16">
      <c r="A234" s="3" t="s">
        <v>209</v>
      </c>
      <c r="B234" s="8"/>
    </row>
    <row r="235" spans="1:2" ht="16">
      <c r="A235" s="3" t="s">
        <v>210</v>
      </c>
      <c r="B235" s="8" t="s">
        <v>211</v>
      </c>
    </row>
    <row r="236" spans="1:2" ht="16">
      <c r="A236" s="3" t="s">
        <v>212</v>
      </c>
      <c r="B236" s="8" t="s">
        <v>213</v>
      </c>
    </row>
    <row r="237" spans="1:2" ht="16">
      <c r="A237" s="3" t="s">
        <v>214</v>
      </c>
      <c r="B237" s="8"/>
    </row>
    <row r="238" spans="1:2" ht="16">
      <c r="A238" s="3" t="s">
        <v>215</v>
      </c>
      <c r="B238" s="8"/>
    </row>
    <row r="239" spans="1:2" ht="16">
      <c r="A239" s="3" t="s">
        <v>216</v>
      </c>
      <c r="B239" s="8"/>
    </row>
    <row r="240" spans="1:2" ht="16">
      <c r="A240" s="3" t="s">
        <v>217</v>
      </c>
      <c r="B240" s="8"/>
    </row>
    <row r="241" spans="1:2" ht="16">
      <c r="A241" s="3" t="s">
        <v>218</v>
      </c>
      <c r="B241" s="8" t="s">
        <v>219</v>
      </c>
    </row>
    <row r="243" spans="1:2" ht="17" thickBot="1">
      <c r="A243" s="7" t="s">
        <v>220</v>
      </c>
    </row>
    <row r="244" spans="1:2" ht="16" thickTop="1">
      <c r="A244" s="3" t="s">
        <v>221</v>
      </c>
    </row>
    <row r="245" spans="1:2" ht="15">
      <c r="A245" s="3" t="s">
        <v>222</v>
      </c>
    </row>
    <row r="246" spans="1:2" ht="15">
      <c r="A246" s="3" t="s">
        <v>223</v>
      </c>
    </row>
    <row r="247" spans="1:2" ht="15">
      <c r="A247" s="3" t="s">
        <v>224</v>
      </c>
      <c r="B247" s="1"/>
    </row>
    <row r="249" spans="1:2" ht="17" thickBot="1">
      <c r="A249" s="7" t="s">
        <v>225</v>
      </c>
    </row>
    <row r="250" spans="1:2" ht="16" thickTop="1">
      <c r="A250" s="3" t="s">
        <v>226</v>
      </c>
    </row>
    <row r="251" spans="1:2" ht="15">
      <c r="A251" s="3" t="s">
        <v>227</v>
      </c>
    </row>
    <row r="252" spans="1:2" ht="15">
      <c r="A252" s="3" t="s">
        <v>228</v>
      </c>
    </row>
    <row r="253" spans="1:2" ht="15">
      <c r="A253" s="3" t="s">
        <v>229</v>
      </c>
    </row>
    <row r="254" spans="1:2" ht="15">
      <c r="A254" s="3" t="s">
        <v>230</v>
      </c>
    </row>
    <row r="255" spans="1:2" ht="15">
      <c r="A255" s="3" t="s">
        <v>231</v>
      </c>
    </row>
    <row r="256" spans="1:2" ht="15">
      <c r="A256" s="3" t="s">
        <v>232</v>
      </c>
    </row>
    <row r="257" spans="1:1" ht="15">
      <c r="A257" s="3" t="s">
        <v>233</v>
      </c>
    </row>
  </sheetData>
  <sortState xmlns:xlrd2="http://schemas.microsoft.com/office/spreadsheetml/2017/richdata2" ref="A154:A191">
    <sortCondition ref="A154"/>
  </sortState>
  <mergeCells count="4">
    <mergeCell ref="A13:E14"/>
    <mergeCell ref="A85:Z86"/>
    <mergeCell ref="A104:Z105"/>
    <mergeCell ref="A149:Z150"/>
  </mergeCells>
  <hyperlinks>
    <hyperlink ref="B236" r:id="rId1" xr:uid="{00000000-0004-0000-0000-000000000000}"/>
    <hyperlink ref="B233" r:id="rId2" xr:uid="{00000000-0004-0000-0000-000001000000}"/>
    <hyperlink ref="B229" r:id="rId3" xr:uid="{00000000-0004-0000-0000-000002000000}"/>
    <hyperlink ref="B241" r:id="rId4" xr:uid="{00000000-0004-0000-0000-000003000000}"/>
    <hyperlink ref="B226" r:id="rId5" xr:uid="{00000000-0004-0000-0000-000004000000}"/>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18"/>
  <sheetViews>
    <sheetView workbookViewId="0"/>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c r="A2" t="s">
        <v>295</v>
      </c>
      <c r="B2" t="s">
        <v>296</v>
      </c>
      <c r="C2" t="s">
        <v>297</v>
      </c>
      <c r="D2" t="s">
        <v>298</v>
      </c>
      <c r="E2">
        <v>2021</v>
      </c>
      <c r="F2">
        <v>1</v>
      </c>
      <c r="G2">
        <v>3</v>
      </c>
      <c r="H2">
        <v>1</v>
      </c>
      <c r="J2">
        <v>1</v>
      </c>
      <c r="K2" t="s">
        <v>299</v>
      </c>
      <c r="L2">
        <v>2050</v>
      </c>
      <c r="M2">
        <v>1</v>
      </c>
      <c r="O2" t="s">
        <v>300</v>
      </c>
      <c r="P2" t="s">
        <v>301</v>
      </c>
      <c r="Q2" t="s">
        <v>302</v>
      </c>
      <c r="S2" t="s">
        <v>303</v>
      </c>
      <c r="T2">
        <v>2</v>
      </c>
      <c r="U2" t="s">
        <v>304</v>
      </c>
      <c r="V2" t="s">
        <v>305</v>
      </c>
      <c r="W2" t="s">
        <v>306</v>
      </c>
      <c r="Y2">
        <v>13.2</v>
      </c>
      <c r="Z2" t="s">
        <v>307</v>
      </c>
      <c r="AA2" t="s">
        <v>190</v>
      </c>
      <c r="AB2" t="s">
        <v>308</v>
      </c>
      <c r="AK2" t="s">
        <v>309</v>
      </c>
      <c r="BA2" t="s">
        <v>310</v>
      </c>
      <c r="BB2" t="s">
        <v>310</v>
      </c>
      <c r="BC2" t="s">
        <v>310</v>
      </c>
      <c r="BI2" t="s">
        <v>310</v>
      </c>
    </row>
    <row r="3" spans="1:62" ht="409.6">
      <c r="A3" t="s">
        <v>295</v>
      </c>
      <c r="B3" t="s">
        <v>296</v>
      </c>
      <c r="C3" t="s">
        <v>297</v>
      </c>
      <c r="D3" t="s">
        <v>298</v>
      </c>
      <c r="E3">
        <v>2021</v>
      </c>
      <c r="F3">
        <v>1</v>
      </c>
      <c r="G3">
        <v>3</v>
      </c>
      <c r="H3">
        <v>1</v>
      </c>
      <c r="J3">
        <v>1</v>
      </c>
      <c r="K3" t="s">
        <v>311</v>
      </c>
      <c r="L3">
        <v>2030</v>
      </c>
      <c r="M3">
        <v>1</v>
      </c>
      <c r="O3" t="s">
        <v>300</v>
      </c>
      <c r="P3" t="s">
        <v>312</v>
      </c>
      <c r="Q3" t="s">
        <v>313</v>
      </c>
      <c r="R3" s="234" t="s">
        <v>314</v>
      </c>
      <c r="S3" t="s">
        <v>303</v>
      </c>
      <c r="T3">
        <v>2</v>
      </c>
      <c r="U3" t="s">
        <v>304</v>
      </c>
      <c r="V3" t="s">
        <v>305</v>
      </c>
      <c r="W3" t="s">
        <v>306</v>
      </c>
      <c r="X3" t="s">
        <v>315</v>
      </c>
      <c r="Y3">
        <v>13.2</v>
      </c>
      <c r="Z3" t="s">
        <v>307</v>
      </c>
      <c r="AA3" t="s">
        <v>190</v>
      </c>
      <c r="AB3" t="s">
        <v>308</v>
      </c>
      <c r="AK3" t="s">
        <v>309</v>
      </c>
      <c r="BA3" t="s">
        <v>310</v>
      </c>
      <c r="BB3" t="s">
        <v>310</v>
      </c>
      <c r="BC3" t="s">
        <v>310</v>
      </c>
      <c r="BI3" t="s">
        <v>310</v>
      </c>
    </row>
    <row r="4" spans="1:62">
      <c r="A4" t="s">
        <v>295</v>
      </c>
      <c r="C4" t="s">
        <v>316</v>
      </c>
      <c r="D4" t="s">
        <v>110</v>
      </c>
      <c r="E4">
        <v>2022</v>
      </c>
      <c r="F4">
        <v>0</v>
      </c>
      <c r="G4">
        <v>2</v>
      </c>
      <c r="H4">
        <v>0</v>
      </c>
      <c r="I4">
        <v>1</v>
      </c>
      <c r="J4">
        <v>1</v>
      </c>
      <c r="K4" t="s">
        <v>317</v>
      </c>
      <c r="L4">
        <v>2030</v>
      </c>
      <c r="M4">
        <v>1</v>
      </c>
      <c r="O4" t="s">
        <v>300</v>
      </c>
      <c r="R4" t="s">
        <v>318</v>
      </c>
      <c r="T4">
        <v>2</v>
      </c>
      <c r="W4" t="s">
        <v>315</v>
      </c>
      <c r="Y4">
        <v>13.2</v>
      </c>
      <c r="Z4" t="s">
        <v>307</v>
      </c>
      <c r="AA4" t="s">
        <v>190</v>
      </c>
      <c r="AB4" t="s">
        <v>319</v>
      </c>
      <c r="AK4" t="s">
        <v>310</v>
      </c>
      <c r="AL4" t="s">
        <v>309</v>
      </c>
    </row>
    <row r="5" spans="1:62">
      <c r="A5" t="s">
        <v>295</v>
      </c>
      <c r="C5" t="s">
        <v>320</v>
      </c>
      <c r="D5" t="s">
        <v>321</v>
      </c>
      <c r="E5">
        <v>2020</v>
      </c>
      <c r="F5">
        <v>0</v>
      </c>
      <c r="K5" t="s">
        <v>322</v>
      </c>
      <c r="L5">
        <v>2030</v>
      </c>
      <c r="N5" t="s">
        <v>323</v>
      </c>
      <c r="W5" t="s">
        <v>315</v>
      </c>
      <c r="Z5" t="e">
        <v>#N/A</v>
      </c>
      <c r="AA5" t="s">
        <v>190</v>
      </c>
      <c r="AB5" t="s">
        <v>319</v>
      </c>
      <c r="AK5" t="s">
        <v>310</v>
      </c>
      <c r="AL5" t="s">
        <v>309</v>
      </c>
    </row>
    <row r="6" spans="1:62">
      <c r="A6" t="s">
        <v>295</v>
      </c>
      <c r="C6" t="s">
        <v>324</v>
      </c>
      <c r="D6" t="s">
        <v>321</v>
      </c>
      <c r="E6">
        <v>2020</v>
      </c>
      <c r="F6">
        <v>0</v>
      </c>
      <c r="G6">
        <v>1</v>
      </c>
      <c r="H6">
        <v>0</v>
      </c>
      <c r="I6">
        <v>0</v>
      </c>
      <c r="J6">
        <v>1</v>
      </c>
      <c r="K6" t="s">
        <v>325</v>
      </c>
      <c r="L6">
        <v>2030</v>
      </c>
      <c r="M6">
        <v>1</v>
      </c>
      <c r="O6" t="s">
        <v>326</v>
      </c>
      <c r="P6" t="s">
        <v>327</v>
      </c>
      <c r="Q6" t="s">
        <v>328</v>
      </c>
      <c r="R6" t="s">
        <v>329</v>
      </c>
      <c r="S6" t="s">
        <v>330</v>
      </c>
      <c r="T6">
        <v>2</v>
      </c>
      <c r="U6" t="s">
        <v>331</v>
      </c>
      <c r="W6" t="s">
        <v>332</v>
      </c>
      <c r="X6" t="s">
        <v>315</v>
      </c>
      <c r="Y6">
        <v>13.2</v>
      </c>
      <c r="Z6" t="s">
        <v>307</v>
      </c>
      <c r="AA6" t="s">
        <v>197</v>
      </c>
      <c r="AB6" t="s">
        <v>333</v>
      </c>
      <c r="AE6" t="s">
        <v>310</v>
      </c>
      <c r="AJ6" t="s">
        <v>309</v>
      </c>
    </row>
    <row r="7" spans="1:62">
      <c r="A7" t="s">
        <v>295</v>
      </c>
      <c r="B7" t="s">
        <v>334</v>
      </c>
      <c r="C7" t="s">
        <v>335</v>
      </c>
      <c r="D7" t="s">
        <v>298</v>
      </c>
      <c r="E7">
        <v>2023</v>
      </c>
      <c r="F7">
        <v>1</v>
      </c>
      <c r="G7">
        <v>3</v>
      </c>
      <c r="H7">
        <v>1</v>
      </c>
      <c r="J7">
        <v>1</v>
      </c>
      <c r="K7" t="s">
        <v>336</v>
      </c>
      <c r="L7">
        <v>2030</v>
      </c>
      <c r="M7">
        <v>1</v>
      </c>
      <c r="O7" t="s">
        <v>337</v>
      </c>
      <c r="P7" t="s">
        <v>338</v>
      </c>
      <c r="Q7" t="s">
        <v>339</v>
      </c>
      <c r="R7" t="s">
        <v>340</v>
      </c>
      <c r="S7" t="s">
        <v>341</v>
      </c>
      <c r="T7">
        <v>2</v>
      </c>
      <c r="U7" t="s">
        <v>342</v>
      </c>
      <c r="V7" t="s">
        <v>343</v>
      </c>
      <c r="W7" t="s">
        <v>344</v>
      </c>
      <c r="X7" t="s">
        <v>345</v>
      </c>
      <c r="Y7">
        <v>13.2</v>
      </c>
      <c r="Z7" t="s">
        <v>307</v>
      </c>
      <c r="AA7" t="s">
        <v>189</v>
      </c>
      <c r="AB7" t="s">
        <v>346</v>
      </c>
      <c r="AK7" t="s">
        <v>309</v>
      </c>
    </row>
    <row r="8" spans="1:62" ht="350">
      <c r="A8" t="s">
        <v>295</v>
      </c>
      <c r="B8" t="s">
        <v>334</v>
      </c>
      <c r="C8" t="s">
        <v>335</v>
      </c>
      <c r="D8" t="s">
        <v>298</v>
      </c>
      <c r="E8">
        <v>2023</v>
      </c>
      <c r="F8">
        <v>1</v>
      </c>
      <c r="G8">
        <v>3</v>
      </c>
      <c r="H8">
        <v>1</v>
      </c>
      <c r="J8">
        <v>1</v>
      </c>
      <c r="K8" t="s">
        <v>347</v>
      </c>
      <c r="L8">
        <v>2025</v>
      </c>
      <c r="M8">
        <v>1</v>
      </c>
      <c r="O8" t="s">
        <v>337</v>
      </c>
      <c r="P8" t="s">
        <v>338</v>
      </c>
      <c r="Q8" t="s">
        <v>348</v>
      </c>
      <c r="R8" s="234" t="s">
        <v>349</v>
      </c>
      <c r="S8" t="s">
        <v>350</v>
      </c>
      <c r="T8">
        <v>2</v>
      </c>
      <c r="U8" t="s">
        <v>342</v>
      </c>
      <c r="V8" t="s">
        <v>343</v>
      </c>
      <c r="W8" t="s">
        <v>344</v>
      </c>
      <c r="X8" t="s">
        <v>345</v>
      </c>
      <c r="Y8">
        <v>13.2</v>
      </c>
      <c r="Z8" t="s">
        <v>307</v>
      </c>
      <c r="AA8" t="s">
        <v>189</v>
      </c>
      <c r="AB8" t="s">
        <v>346</v>
      </c>
      <c r="AK8" t="s">
        <v>309</v>
      </c>
    </row>
    <row r="9" spans="1:62" ht="80">
      <c r="A9" t="s">
        <v>295</v>
      </c>
      <c r="B9" t="s">
        <v>334</v>
      </c>
      <c r="C9" t="s">
        <v>335</v>
      </c>
      <c r="D9" t="s">
        <v>298</v>
      </c>
      <c r="E9">
        <v>2023</v>
      </c>
      <c r="F9">
        <v>1</v>
      </c>
      <c r="G9">
        <v>3</v>
      </c>
      <c r="H9">
        <v>1</v>
      </c>
      <c r="J9">
        <v>1</v>
      </c>
      <c r="K9" t="s">
        <v>351</v>
      </c>
      <c r="L9">
        <v>2030</v>
      </c>
      <c r="M9">
        <v>1</v>
      </c>
      <c r="N9" t="s">
        <v>352</v>
      </c>
      <c r="O9" t="s">
        <v>337</v>
      </c>
      <c r="P9" t="s">
        <v>353</v>
      </c>
      <c r="Q9" t="s">
        <v>354</v>
      </c>
      <c r="R9" t="s">
        <v>355</v>
      </c>
      <c r="S9" t="s">
        <v>356</v>
      </c>
      <c r="T9">
        <v>1</v>
      </c>
      <c r="U9" t="s">
        <v>342</v>
      </c>
      <c r="V9" s="234" t="s">
        <v>357</v>
      </c>
      <c r="W9" t="s">
        <v>344</v>
      </c>
      <c r="X9" t="s">
        <v>345</v>
      </c>
      <c r="Y9">
        <v>13.2</v>
      </c>
      <c r="Z9" t="s">
        <v>307</v>
      </c>
      <c r="AA9" t="s">
        <v>201</v>
      </c>
      <c r="AB9" t="s">
        <v>346</v>
      </c>
      <c r="AK9" t="s">
        <v>309</v>
      </c>
    </row>
    <row r="10" spans="1:62" ht="208">
      <c r="A10" t="s">
        <v>295</v>
      </c>
      <c r="B10" t="s">
        <v>334</v>
      </c>
      <c r="C10" t="s">
        <v>358</v>
      </c>
      <c r="D10" t="s">
        <v>298</v>
      </c>
      <c r="E10">
        <v>2023</v>
      </c>
      <c r="F10">
        <v>1</v>
      </c>
      <c r="G10">
        <v>3</v>
      </c>
      <c r="H10">
        <v>1</v>
      </c>
      <c r="J10">
        <v>1</v>
      </c>
      <c r="K10" t="s">
        <v>359</v>
      </c>
      <c r="L10">
        <v>2030</v>
      </c>
      <c r="M10">
        <v>1</v>
      </c>
      <c r="O10" t="s">
        <v>300</v>
      </c>
      <c r="P10" t="s">
        <v>360</v>
      </c>
      <c r="Q10" t="s">
        <v>361</v>
      </c>
      <c r="R10" s="234" t="s">
        <v>362</v>
      </c>
      <c r="S10" t="s">
        <v>363</v>
      </c>
      <c r="T10">
        <v>3</v>
      </c>
      <c r="W10" t="s">
        <v>306</v>
      </c>
      <c r="Y10">
        <v>13.2</v>
      </c>
      <c r="Z10" t="s">
        <v>307</v>
      </c>
      <c r="AK10" t="s">
        <v>309</v>
      </c>
    </row>
    <row r="11" spans="1:62">
      <c r="A11" t="s">
        <v>295</v>
      </c>
      <c r="B11" t="s">
        <v>364</v>
      </c>
      <c r="C11" t="s">
        <v>365</v>
      </c>
      <c r="D11" t="s">
        <v>321</v>
      </c>
      <c r="E11">
        <v>2021</v>
      </c>
      <c r="F11">
        <v>0</v>
      </c>
      <c r="G11">
        <v>0</v>
      </c>
      <c r="H11">
        <v>0</v>
      </c>
      <c r="I11">
        <v>0</v>
      </c>
      <c r="J11">
        <v>1</v>
      </c>
      <c r="K11" t="s">
        <v>366</v>
      </c>
      <c r="L11">
        <v>2050</v>
      </c>
      <c r="M11">
        <v>0</v>
      </c>
      <c r="O11" t="s">
        <v>367</v>
      </c>
      <c r="R11" t="s">
        <v>368</v>
      </c>
      <c r="W11" t="s">
        <v>369</v>
      </c>
      <c r="Y11">
        <v>13.1</v>
      </c>
      <c r="Z11" t="s">
        <v>307</v>
      </c>
      <c r="AB11" t="s">
        <v>370</v>
      </c>
      <c r="AK11" t="s">
        <v>309</v>
      </c>
    </row>
    <row r="12" spans="1:62">
      <c r="A12" t="s">
        <v>295</v>
      </c>
      <c r="B12" t="s">
        <v>371</v>
      </c>
      <c r="C12" t="s">
        <v>372</v>
      </c>
      <c r="D12" t="s">
        <v>298</v>
      </c>
      <c r="E12">
        <v>2023</v>
      </c>
      <c r="F12">
        <v>1</v>
      </c>
      <c r="Z12" t="e">
        <v>#N/A</v>
      </c>
    </row>
    <row r="13" spans="1:62">
      <c r="A13" t="s">
        <v>295</v>
      </c>
      <c r="B13" t="s">
        <v>373</v>
      </c>
      <c r="C13" t="s">
        <v>374</v>
      </c>
      <c r="D13" t="s">
        <v>103</v>
      </c>
      <c r="E13">
        <v>2021</v>
      </c>
      <c r="F13">
        <v>0</v>
      </c>
      <c r="N13" t="s">
        <v>375</v>
      </c>
    </row>
    <row r="14" spans="1:62" ht="409.6">
      <c r="A14" t="s">
        <v>295</v>
      </c>
      <c r="B14" t="s">
        <v>334</v>
      </c>
      <c r="C14" t="s">
        <v>376</v>
      </c>
      <c r="D14" t="s">
        <v>102</v>
      </c>
      <c r="E14">
        <v>2023</v>
      </c>
      <c r="F14">
        <v>1</v>
      </c>
      <c r="G14">
        <v>3</v>
      </c>
      <c r="H14">
        <v>1</v>
      </c>
      <c r="J14">
        <v>1</v>
      </c>
      <c r="K14" t="s">
        <v>377</v>
      </c>
      <c r="L14">
        <v>2030</v>
      </c>
      <c r="M14">
        <v>1</v>
      </c>
      <c r="N14" t="s">
        <v>378</v>
      </c>
      <c r="O14" t="s">
        <v>300</v>
      </c>
      <c r="R14" s="234" t="s">
        <v>379</v>
      </c>
      <c r="T14">
        <v>2</v>
      </c>
      <c r="Z14" t="e">
        <v>#N/A</v>
      </c>
    </row>
    <row r="15" spans="1:62">
      <c r="A15" t="s">
        <v>295</v>
      </c>
      <c r="B15" t="s">
        <v>334</v>
      </c>
      <c r="C15" t="s">
        <v>376</v>
      </c>
      <c r="D15" t="s">
        <v>102</v>
      </c>
      <c r="E15">
        <v>2023</v>
      </c>
      <c r="F15">
        <v>1</v>
      </c>
      <c r="G15">
        <v>3</v>
      </c>
      <c r="H15">
        <v>1</v>
      </c>
      <c r="J15">
        <v>1</v>
      </c>
      <c r="K15" t="s">
        <v>380</v>
      </c>
      <c r="L15">
        <v>2030</v>
      </c>
      <c r="M15">
        <v>1</v>
      </c>
      <c r="O15" t="s">
        <v>300</v>
      </c>
      <c r="R15" t="s">
        <v>381</v>
      </c>
      <c r="T15">
        <v>2</v>
      </c>
      <c r="U15" t="s">
        <v>382</v>
      </c>
      <c r="V15" t="s">
        <v>383</v>
      </c>
      <c r="W15" t="s">
        <v>315</v>
      </c>
      <c r="Y15">
        <v>13.2</v>
      </c>
      <c r="Z15" t="s">
        <v>307</v>
      </c>
      <c r="AK15" t="s">
        <v>309</v>
      </c>
    </row>
    <row r="16" spans="1:62" ht="409.6">
      <c r="A16" t="s">
        <v>295</v>
      </c>
      <c r="B16" t="s">
        <v>334</v>
      </c>
      <c r="C16" t="s">
        <v>320</v>
      </c>
      <c r="D16" t="s">
        <v>321</v>
      </c>
      <c r="E16">
        <v>2020</v>
      </c>
      <c r="F16">
        <v>0</v>
      </c>
      <c r="G16">
        <v>1</v>
      </c>
      <c r="H16">
        <v>0</v>
      </c>
      <c r="I16">
        <v>0</v>
      </c>
      <c r="J16">
        <v>1</v>
      </c>
      <c r="K16" s="234" t="s">
        <v>384</v>
      </c>
      <c r="L16">
        <v>2030</v>
      </c>
      <c r="M16">
        <v>1</v>
      </c>
      <c r="O16" t="s">
        <v>300</v>
      </c>
      <c r="P16" t="s">
        <v>385</v>
      </c>
      <c r="Q16" t="s">
        <v>386</v>
      </c>
      <c r="R16" t="s">
        <v>387</v>
      </c>
      <c r="S16" t="s">
        <v>330</v>
      </c>
      <c r="T16">
        <v>2</v>
      </c>
      <c r="Y16">
        <v>7.2</v>
      </c>
      <c r="Z16" t="s">
        <v>388</v>
      </c>
    </row>
    <row r="17" spans="1:42">
      <c r="A17" t="s">
        <v>295</v>
      </c>
      <c r="B17" t="s">
        <v>334</v>
      </c>
      <c r="C17" t="s">
        <v>389</v>
      </c>
      <c r="D17" t="s">
        <v>101</v>
      </c>
      <c r="E17">
        <v>2022</v>
      </c>
      <c r="F17">
        <v>0</v>
      </c>
      <c r="G17">
        <v>2</v>
      </c>
      <c r="H17">
        <v>0</v>
      </c>
      <c r="I17">
        <v>1</v>
      </c>
      <c r="J17">
        <v>1</v>
      </c>
      <c r="K17" t="s">
        <v>390</v>
      </c>
      <c r="L17">
        <v>2040</v>
      </c>
      <c r="M17">
        <v>1</v>
      </c>
      <c r="N17" t="s">
        <v>391</v>
      </c>
      <c r="O17" t="s">
        <v>392</v>
      </c>
      <c r="R17" t="s">
        <v>393</v>
      </c>
      <c r="S17" t="s">
        <v>394</v>
      </c>
      <c r="T17">
        <v>3</v>
      </c>
      <c r="U17" t="s">
        <v>331</v>
      </c>
      <c r="W17" t="s">
        <v>395</v>
      </c>
      <c r="Y17">
        <v>13.2</v>
      </c>
      <c r="Z17" t="s">
        <v>307</v>
      </c>
      <c r="AE17" t="s">
        <v>309</v>
      </c>
    </row>
    <row r="18" spans="1:42">
      <c r="A18" t="s">
        <v>295</v>
      </c>
      <c r="B18" t="s">
        <v>334</v>
      </c>
      <c r="C18" t="s">
        <v>396</v>
      </c>
      <c r="D18" t="s">
        <v>102</v>
      </c>
      <c r="E18">
        <v>2023</v>
      </c>
      <c r="F18" t="s">
        <v>397</v>
      </c>
      <c r="K18" t="s">
        <v>398</v>
      </c>
      <c r="L18">
        <v>2030</v>
      </c>
      <c r="N18" t="s">
        <v>399</v>
      </c>
      <c r="W18" t="s">
        <v>400</v>
      </c>
      <c r="X18" t="s">
        <v>401</v>
      </c>
      <c r="Y18">
        <v>9.4</v>
      </c>
      <c r="Z18" t="s">
        <v>402</v>
      </c>
      <c r="AF18" t="s">
        <v>309</v>
      </c>
      <c r="AP18" t="s">
        <v>310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55"/>
  <sheetViews>
    <sheetView workbookViewId="0">
      <selection activeCell="J1" sqref="J1"/>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c r="A2" t="s">
        <v>403</v>
      </c>
      <c r="B2" t="s">
        <v>404</v>
      </c>
      <c r="C2" t="s">
        <v>405</v>
      </c>
      <c r="D2" t="s">
        <v>321</v>
      </c>
      <c r="E2">
        <v>2022</v>
      </c>
      <c r="F2">
        <v>0</v>
      </c>
      <c r="G2">
        <v>1</v>
      </c>
      <c r="H2">
        <v>0</v>
      </c>
      <c r="I2">
        <v>0</v>
      </c>
      <c r="J2">
        <v>1</v>
      </c>
      <c r="K2" t="s">
        <v>406</v>
      </c>
      <c r="L2">
        <v>2030</v>
      </c>
      <c r="M2">
        <v>1</v>
      </c>
      <c r="O2" t="s">
        <v>407</v>
      </c>
      <c r="R2" t="s">
        <v>408</v>
      </c>
      <c r="T2">
        <v>1</v>
      </c>
      <c r="U2" t="s">
        <v>331</v>
      </c>
      <c r="W2" t="s">
        <v>400</v>
      </c>
      <c r="X2" t="s">
        <v>401</v>
      </c>
      <c r="Y2">
        <v>9.4</v>
      </c>
      <c r="Z2" t="s">
        <v>402</v>
      </c>
      <c r="AF2" t="s">
        <v>309</v>
      </c>
      <c r="AP2" t="s">
        <v>310</v>
      </c>
    </row>
    <row r="3" spans="1:62">
      <c r="A3" t="s">
        <v>403</v>
      </c>
      <c r="B3" t="s">
        <v>409</v>
      </c>
      <c r="C3" t="s">
        <v>410</v>
      </c>
      <c r="D3" t="s">
        <v>321</v>
      </c>
      <c r="E3">
        <v>2020</v>
      </c>
      <c r="F3">
        <v>0</v>
      </c>
      <c r="G3">
        <v>1</v>
      </c>
      <c r="H3">
        <v>0</v>
      </c>
      <c r="I3">
        <v>0</v>
      </c>
      <c r="J3">
        <v>1</v>
      </c>
      <c r="K3" t="s">
        <v>411</v>
      </c>
      <c r="L3">
        <v>2030</v>
      </c>
      <c r="M3">
        <v>1</v>
      </c>
      <c r="O3" t="s">
        <v>412</v>
      </c>
      <c r="P3" t="s">
        <v>413</v>
      </c>
      <c r="Q3" t="s">
        <v>414</v>
      </c>
      <c r="R3" t="s">
        <v>415</v>
      </c>
      <c r="T3">
        <v>2</v>
      </c>
      <c r="W3" t="s">
        <v>416</v>
      </c>
      <c r="Y3">
        <v>7.2</v>
      </c>
      <c r="Z3" t="s">
        <v>388</v>
      </c>
      <c r="AA3" t="s">
        <v>417</v>
      </c>
      <c r="AB3" t="s">
        <v>418</v>
      </c>
      <c r="AE3" t="s">
        <v>309</v>
      </c>
    </row>
    <row r="4" spans="1:62">
      <c r="A4" t="s">
        <v>403</v>
      </c>
      <c r="B4" t="s">
        <v>409</v>
      </c>
      <c r="C4" t="s">
        <v>410</v>
      </c>
      <c r="D4" t="s">
        <v>321</v>
      </c>
      <c r="E4">
        <v>2020</v>
      </c>
      <c r="F4">
        <v>0</v>
      </c>
      <c r="G4">
        <v>1</v>
      </c>
      <c r="H4">
        <v>0</v>
      </c>
      <c r="I4">
        <v>0</v>
      </c>
      <c r="J4">
        <v>1</v>
      </c>
      <c r="K4" t="s">
        <v>419</v>
      </c>
      <c r="L4">
        <v>2030</v>
      </c>
      <c r="M4">
        <v>1</v>
      </c>
      <c r="O4" t="s">
        <v>412</v>
      </c>
      <c r="P4" t="s">
        <v>420</v>
      </c>
      <c r="Q4" t="s">
        <v>421</v>
      </c>
      <c r="R4" t="s">
        <v>422</v>
      </c>
      <c r="T4">
        <v>2</v>
      </c>
      <c r="W4" t="s">
        <v>416</v>
      </c>
      <c r="Y4">
        <v>7.2</v>
      </c>
      <c r="Z4" t="s">
        <v>388</v>
      </c>
      <c r="AA4" t="s">
        <v>417</v>
      </c>
      <c r="AB4" t="s">
        <v>418</v>
      </c>
      <c r="AE4" t="s">
        <v>309</v>
      </c>
    </row>
    <row r="5" spans="1:62">
      <c r="A5" t="s">
        <v>403</v>
      </c>
      <c r="B5" t="s">
        <v>409</v>
      </c>
      <c r="C5" t="s">
        <v>423</v>
      </c>
      <c r="D5" t="s">
        <v>321</v>
      </c>
      <c r="E5">
        <v>2023</v>
      </c>
      <c r="F5">
        <v>0</v>
      </c>
      <c r="M5" t="s">
        <v>424</v>
      </c>
    </row>
    <row r="6" spans="1:62">
      <c r="A6" t="s">
        <v>403</v>
      </c>
      <c r="B6" t="s">
        <v>409</v>
      </c>
      <c r="C6" t="s">
        <v>425</v>
      </c>
      <c r="D6" t="s">
        <v>321</v>
      </c>
      <c r="E6">
        <v>2023</v>
      </c>
      <c r="F6">
        <v>0</v>
      </c>
      <c r="M6" t="s">
        <v>424</v>
      </c>
    </row>
    <row r="7" spans="1:62">
      <c r="A7" t="s">
        <v>403</v>
      </c>
      <c r="B7" t="s">
        <v>426</v>
      </c>
      <c r="C7" t="s">
        <v>427</v>
      </c>
      <c r="D7" t="s">
        <v>321</v>
      </c>
      <c r="E7">
        <v>2020</v>
      </c>
      <c r="F7">
        <v>0</v>
      </c>
      <c r="G7">
        <v>1</v>
      </c>
      <c r="H7">
        <v>0</v>
      </c>
      <c r="I7">
        <v>0</v>
      </c>
      <c r="J7">
        <v>1</v>
      </c>
      <c r="K7" t="s">
        <v>428</v>
      </c>
      <c r="L7">
        <v>2030</v>
      </c>
      <c r="M7">
        <v>1</v>
      </c>
      <c r="O7" t="s">
        <v>429</v>
      </c>
      <c r="P7" t="s">
        <v>430</v>
      </c>
      <c r="Q7" t="s">
        <v>431</v>
      </c>
      <c r="R7" t="s">
        <v>432</v>
      </c>
      <c r="S7" t="s">
        <v>363</v>
      </c>
      <c r="T7">
        <v>3</v>
      </c>
      <c r="U7" t="s">
        <v>433</v>
      </c>
      <c r="V7" t="s">
        <v>434</v>
      </c>
      <c r="W7" t="s">
        <v>416</v>
      </c>
      <c r="Y7">
        <v>7.2</v>
      </c>
      <c r="Z7" t="s">
        <v>388</v>
      </c>
      <c r="AE7" t="s">
        <v>309</v>
      </c>
    </row>
    <row r="8" spans="1:62">
      <c r="A8" t="s">
        <v>403</v>
      </c>
      <c r="B8" t="s">
        <v>435</v>
      </c>
      <c r="C8" t="s">
        <v>436</v>
      </c>
      <c r="D8" t="s">
        <v>298</v>
      </c>
      <c r="E8">
        <v>2022</v>
      </c>
      <c r="F8">
        <v>1</v>
      </c>
      <c r="M8" t="s">
        <v>424</v>
      </c>
    </row>
    <row r="9" spans="1:62">
      <c r="A9" t="s">
        <v>403</v>
      </c>
      <c r="C9" t="s">
        <v>405</v>
      </c>
      <c r="D9" t="s">
        <v>321</v>
      </c>
      <c r="E9">
        <v>2022</v>
      </c>
      <c r="F9">
        <v>0</v>
      </c>
      <c r="G9">
        <v>1</v>
      </c>
      <c r="H9">
        <v>0</v>
      </c>
      <c r="I9">
        <v>0</v>
      </c>
      <c r="J9">
        <v>1</v>
      </c>
      <c r="K9" t="s">
        <v>437</v>
      </c>
      <c r="L9">
        <v>2030</v>
      </c>
      <c r="M9">
        <v>1</v>
      </c>
      <c r="N9" t="s">
        <v>438</v>
      </c>
      <c r="O9" t="s">
        <v>407</v>
      </c>
      <c r="R9" t="s">
        <v>439</v>
      </c>
      <c r="S9" t="s">
        <v>440</v>
      </c>
      <c r="T9">
        <v>3</v>
      </c>
      <c r="U9" t="s">
        <v>331</v>
      </c>
      <c r="W9" t="s">
        <v>400</v>
      </c>
      <c r="X9" t="s">
        <v>401</v>
      </c>
      <c r="Y9">
        <v>9.4</v>
      </c>
      <c r="Z9" t="s">
        <v>402</v>
      </c>
      <c r="AA9" t="s">
        <v>216</v>
      </c>
      <c r="AB9" t="s">
        <v>441</v>
      </c>
      <c r="AE9" t="s">
        <v>310</v>
      </c>
      <c r="AF9" t="s">
        <v>309</v>
      </c>
    </row>
    <row r="10" spans="1:62" ht="409.6">
      <c r="A10" t="s">
        <v>403</v>
      </c>
      <c r="C10" t="s">
        <v>405</v>
      </c>
      <c r="D10" t="s">
        <v>321</v>
      </c>
      <c r="E10">
        <v>2022</v>
      </c>
      <c r="F10">
        <v>0</v>
      </c>
      <c r="G10">
        <v>1</v>
      </c>
      <c r="H10">
        <v>0</v>
      </c>
      <c r="I10">
        <v>0</v>
      </c>
      <c r="J10">
        <v>1</v>
      </c>
      <c r="K10" t="s">
        <v>442</v>
      </c>
      <c r="L10">
        <v>2030</v>
      </c>
      <c r="M10">
        <v>1</v>
      </c>
      <c r="N10" s="234" t="s">
        <v>443</v>
      </c>
      <c r="O10" t="s">
        <v>407</v>
      </c>
      <c r="R10" t="s">
        <v>444</v>
      </c>
      <c r="S10" t="s">
        <v>445</v>
      </c>
      <c r="T10">
        <v>0</v>
      </c>
      <c r="U10" t="s">
        <v>331</v>
      </c>
      <c r="W10" t="s">
        <v>400</v>
      </c>
      <c r="Y10">
        <v>9.1</v>
      </c>
      <c r="Z10" t="s">
        <v>402</v>
      </c>
      <c r="AA10" t="s">
        <v>216</v>
      </c>
      <c r="AB10" t="s">
        <v>441</v>
      </c>
      <c r="AE10" t="s">
        <v>310</v>
      </c>
      <c r="AF10" t="s">
        <v>309</v>
      </c>
    </row>
    <row r="11" spans="1:62">
      <c r="A11" t="s">
        <v>403</v>
      </c>
      <c r="B11" t="s">
        <v>446</v>
      </c>
      <c r="C11" t="s">
        <v>447</v>
      </c>
      <c r="D11" t="s">
        <v>298</v>
      </c>
      <c r="E11">
        <v>2018</v>
      </c>
      <c r="F11">
        <v>1</v>
      </c>
      <c r="G11">
        <v>3</v>
      </c>
      <c r="H11">
        <v>1</v>
      </c>
      <c r="J11">
        <v>1</v>
      </c>
      <c r="K11" t="s">
        <v>448</v>
      </c>
      <c r="L11">
        <v>2030</v>
      </c>
      <c r="M11">
        <v>1</v>
      </c>
      <c r="N11" t="s">
        <v>449</v>
      </c>
      <c r="O11" t="s">
        <v>450</v>
      </c>
      <c r="W11" t="s">
        <v>451</v>
      </c>
      <c r="Y11">
        <v>9.1</v>
      </c>
      <c r="Z11" t="s">
        <v>402</v>
      </c>
      <c r="AE11" t="s">
        <v>309</v>
      </c>
    </row>
    <row r="12" spans="1:62">
      <c r="A12" t="s">
        <v>403</v>
      </c>
      <c r="B12" t="s">
        <v>446</v>
      </c>
      <c r="C12" t="s">
        <v>452</v>
      </c>
      <c r="D12" t="s">
        <v>453</v>
      </c>
      <c r="E12">
        <v>2022</v>
      </c>
      <c r="F12">
        <v>1</v>
      </c>
    </row>
    <row r="13" spans="1:62">
      <c r="A13" t="s">
        <v>403</v>
      </c>
      <c r="B13" t="s">
        <v>446</v>
      </c>
      <c r="C13" t="s">
        <v>454</v>
      </c>
      <c r="D13" t="s">
        <v>321</v>
      </c>
      <c r="E13">
        <v>2020</v>
      </c>
      <c r="F13">
        <v>0</v>
      </c>
    </row>
    <row r="14" spans="1:62">
      <c r="A14" t="s">
        <v>403</v>
      </c>
      <c r="B14" t="s">
        <v>334</v>
      </c>
      <c r="C14" t="s">
        <v>150</v>
      </c>
      <c r="D14" t="s">
        <v>321</v>
      </c>
      <c r="E14">
        <v>2022</v>
      </c>
      <c r="F14">
        <v>0</v>
      </c>
      <c r="G14">
        <v>1</v>
      </c>
      <c r="H14">
        <v>0</v>
      </c>
      <c r="I14">
        <v>0</v>
      </c>
      <c r="J14">
        <v>1</v>
      </c>
      <c r="K14" t="s">
        <v>455</v>
      </c>
      <c r="L14">
        <v>2025</v>
      </c>
      <c r="M14">
        <v>1</v>
      </c>
      <c r="N14" t="s">
        <v>456</v>
      </c>
      <c r="O14" t="s">
        <v>457</v>
      </c>
      <c r="R14" t="s">
        <v>458</v>
      </c>
      <c r="T14">
        <v>2</v>
      </c>
      <c r="W14" t="s">
        <v>416</v>
      </c>
      <c r="Y14">
        <v>7.2</v>
      </c>
      <c r="Z14" t="s">
        <v>388</v>
      </c>
      <c r="AB14" t="s">
        <v>459</v>
      </c>
      <c r="AC14" t="s">
        <v>460</v>
      </c>
      <c r="AD14" t="s">
        <v>461</v>
      </c>
      <c r="AE14" t="s">
        <v>310</v>
      </c>
      <c r="AJ14" t="s">
        <v>309</v>
      </c>
    </row>
    <row r="15" spans="1:62">
      <c r="A15" t="s">
        <v>403</v>
      </c>
      <c r="B15" t="s">
        <v>462</v>
      </c>
      <c r="C15" t="s">
        <v>463</v>
      </c>
      <c r="D15" t="s">
        <v>101</v>
      </c>
      <c r="E15">
        <v>2021</v>
      </c>
      <c r="F15">
        <v>0</v>
      </c>
      <c r="G15">
        <v>2</v>
      </c>
      <c r="H15">
        <v>0</v>
      </c>
      <c r="I15">
        <v>1</v>
      </c>
      <c r="J15">
        <v>1</v>
      </c>
      <c r="K15" t="s">
        <v>464</v>
      </c>
      <c r="L15">
        <v>2030</v>
      </c>
      <c r="M15">
        <v>1</v>
      </c>
      <c r="O15" t="s">
        <v>465</v>
      </c>
      <c r="P15" t="s">
        <v>466</v>
      </c>
      <c r="R15" t="s">
        <v>467</v>
      </c>
      <c r="W15" t="s">
        <v>332</v>
      </c>
      <c r="X15" t="s">
        <v>468</v>
      </c>
      <c r="Y15">
        <v>7.3</v>
      </c>
      <c r="Z15" t="s">
        <v>388</v>
      </c>
      <c r="AE15" t="s">
        <v>310</v>
      </c>
      <c r="AJ15" t="s">
        <v>309</v>
      </c>
    </row>
    <row r="16" spans="1:62">
      <c r="A16" t="s">
        <v>403</v>
      </c>
      <c r="B16" t="s">
        <v>462</v>
      </c>
      <c r="C16" t="s">
        <v>463</v>
      </c>
      <c r="D16" t="s">
        <v>101</v>
      </c>
      <c r="E16">
        <v>2021</v>
      </c>
      <c r="F16">
        <v>0</v>
      </c>
      <c r="H16">
        <v>0</v>
      </c>
      <c r="I16">
        <v>1</v>
      </c>
      <c r="K16" t="s">
        <v>469</v>
      </c>
      <c r="L16">
        <v>2030</v>
      </c>
      <c r="M16">
        <v>1</v>
      </c>
      <c r="N16" t="s">
        <v>470</v>
      </c>
      <c r="O16" t="s">
        <v>465</v>
      </c>
      <c r="P16" t="s">
        <v>471</v>
      </c>
      <c r="Q16">
        <v>1</v>
      </c>
      <c r="R16" t="s">
        <v>472</v>
      </c>
      <c r="W16" t="s">
        <v>332</v>
      </c>
      <c r="X16" t="s">
        <v>468</v>
      </c>
      <c r="Z16" t="e">
        <v>#N/A</v>
      </c>
      <c r="AE16" t="s">
        <v>310</v>
      </c>
      <c r="AJ16" t="s">
        <v>309</v>
      </c>
    </row>
    <row r="17" spans="1:36">
      <c r="A17" t="s">
        <v>403</v>
      </c>
      <c r="C17" t="s">
        <v>396</v>
      </c>
      <c r="D17" t="s">
        <v>102</v>
      </c>
      <c r="E17">
        <v>2023</v>
      </c>
      <c r="F17">
        <v>1</v>
      </c>
      <c r="G17">
        <v>3</v>
      </c>
      <c r="H17">
        <v>1</v>
      </c>
      <c r="J17">
        <v>1</v>
      </c>
      <c r="K17" t="s">
        <v>398</v>
      </c>
      <c r="L17">
        <v>2030</v>
      </c>
      <c r="M17">
        <v>1</v>
      </c>
      <c r="N17" t="s">
        <v>438</v>
      </c>
      <c r="O17" t="s">
        <v>407</v>
      </c>
      <c r="R17" t="s">
        <v>408</v>
      </c>
      <c r="S17" t="s">
        <v>473</v>
      </c>
      <c r="T17">
        <v>1</v>
      </c>
      <c r="Y17">
        <v>7.2</v>
      </c>
      <c r="Z17" t="s">
        <v>388</v>
      </c>
    </row>
    <row r="18" spans="1:36">
      <c r="A18" t="s">
        <v>403</v>
      </c>
      <c r="C18" t="s">
        <v>396</v>
      </c>
      <c r="D18" t="s">
        <v>102</v>
      </c>
      <c r="E18">
        <v>2023</v>
      </c>
      <c r="F18">
        <v>1</v>
      </c>
      <c r="G18">
        <v>3</v>
      </c>
      <c r="H18">
        <v>1</v>
      </c>
      <c r="J18">
        <v>1</v>
      </c>
      <c r="K18" t="s">
        <v>474</v>
      </c>
      <c r="L18">
        <v>2030</v>
      </c>
      <c r="M18">
        <v>1</v>
      </c>
      <c r="N18" t="s">
        <v>438</v>
      </c>
      <c r="O18" t="s">
        <v>407</v>
      </c>
      <c r="R18" t="s">
        <v>408</v>
      </c>
      <c r="S18" t="s">
        <v>473</v>
      </c>
      <c r="T18">
        <v>1</v>
      </c>
      <c r="W18" t="s">
        <v>416</v>
      </c>
      <c r="Y18">
        <v>9.1</v>
      </c>
      <c r="Z18" t="s">
        <v>402</v>
      </c>
      <c r="AE18" t="s">
        <v>309</v>
      </c>
    </row>
    <row r="19" spans="1:36">
      <c r="A19" t="s">
        <v>403</v>
      </c>
      <c r="B19" t="s">
        <v>462</v>
      </c>
      <c r="C19" t="s">
        <v>463</v>
      </c>
      <c r="D19" t="s">
        <v>101</v>
      </c>
      <c r="E19">
        <v>2021</v>
      </c>
      <c r="F19">
        <v>0</v>
      </c>
      <c r="G19">
        <v>2</v>
      </c>
      <c r="H19">
        <v>0</v>
      </c>
      <c r="I19">
        <v>1</v>
      </c>
      <c r="J19">
        <v>1</v>
      </c>
      <c r="K19" t="s">
        <v>475</v>
      </c>
      <c r="L19">
        <v>2030</v>
      </c>
      <c r="M19">
        <v>1</v>
      </c>
      <c r="O19" t="s">
        <v>465</v>
      </c>
      <c r="P19" t="s">
        <v>476</v>
      </c>
      <c r="Q19">
        <v>1</v>
      </c>
      <c r="R19" t="s">
        <v>467</v>
      </c>
      <c r="W19" t="s">
        <v>332</v>
      </c>
      <c r="X19" t="s">
        <v>468</v>
      </c>
      <c r="Y19">
        <v>7.2</v>
      </c>
      <c r="Z19" t="s">
        <v>388</v>
      </c>
      <c r="AE19" t="s">
        <v>310</v>
      </c>
      <c r="AJ19" t="s">
        <v>309</v>
      </c>
    </row>
    <row r="20" spans="1:36">
      <c r="A20" t="s">
        <v>403</v>
      </c>
      <c r="B20" t="s">
        <v>462</v>
      </c>
      <c r="C20" t="s">
        <v>463</v>
      </c>
      <c r="D20" t="s">
        <v>101</v>
      </c>
      <c r="E20">
        <v>2021</v>
      </c>
      <c r="F20">
        <v>0</v>
      </c>
      <c r="G20">
        <v>2</v>
      </c>
      <c r="H20">
        <v>0</v>
      </c>
      <c r="I20">
        <v>1</v>
      </c>
      <c r="J20">
        <v>1</v>
      </c>
      <c r="K20" t="s">
        <v>477</v>
      </c>
      <c r="L20">
        <v>2050</v>
      </c>
      <c r="M20">
        <v>1</v>
      </c>
      <c r="O20" t="s">
        <v>326</v>
      </c>
      <c r="P20" t="s">
        <v>478</v>
      </c>
      <c r="Q20">
        <v>1</v>
      </c>
      <c r="R20" t="s">
        <v>467</v>
      </c>
      <c r="W20" t="s">
        <v>332</v>
      </c>
      <c r="X20" t="s">
        <v>468</v>
      </c>
      <c r="Y20">
        <v>7.3</v>
      </c>
      <c r="Z20" t="s">
        <v>388</v>
      </c>
      <c r="AE20" t="s">
        <v>310</v>
      </c>
      <c r="AJ20" t="s">
        <v>309</v>
      </c>
    </row>
    <row r="21" spans="1:36" ht="409.6">
      <c r="A21" t="s">
        <v>403</v>
      </c>
      <c r="C21" t="s">
        <v>396</v>
      </c>
      <c r="D21" t="s">
        <v>102</v>
      </c>
      <c r="E21">
        <v>2023</v>
      </c>
      <c r="F21" t="s">
        <v>479</v>
      </c>
      <c r="G21">
        <v>3</v>
      </c>
      <c r="H21">
        <v>1</v>
      </c>
      <c r="J21">
        <v>1</v>
      </c>
      <c r="K21" s="234" t="s">
        <v>480</v>
      </c>
      <c r="M21">
        <v>1</v>
      </c>
      <c r="N21" t="s">
        <v>438</v>
      </c>
      <c r="O21" t="s">
        <v>407</v>
      </c>
      <c r="Y21">
        <v>7.2</v>
      </c>
      <c r="Z21" t="s">
        <v>388</v>
      </c>
    </row>
    <row r="22" spans="1:36">
      <c r="A22" t="s">
        <v>403</v>
      </c>
      <c r="B22" t="s">
        <v>462</v>
      </c>
      <c r="C22" t="s">
        <v>463</v>
      </c>
      <c r="D22" t="s">
        <v>101</v>
      </c>
      <c r="E22">
        <v>2021</v>
      </c>
      <c r="F22">
        <v>0</v>
      </c>
      <c r="G22">
        <v>2</v>
      </c>
      <c r="H22">
        <v>0</v>
      </c>
      <c r="I22">
        <v>1</v>
      </c>
      <c r="J22">
        <v>1</v>
      </c>
      <c r="K22" t="s">
        <v>481</v>
      </c>
      <c r="L22">
        <v>2030</v>
      </c>
      <c r="M22">
        <v>1</v>
      </c>
      <c r="O22" t="s">
        <v>465</v>
      </c>
      <c r="P22" t="s">
        <v>482</v>
      </c>
      <c r="Q22">
        <v>1</v>
      </c>
      <c r="R22" t="s">
        <v>467</v>
      </c>
      <c r="W22" t="s">
        <v>332</v>
      </c>
      <c r="X22" t="s">
        <v>468</v>
      </c>
      <c r="Y22">
        <v>7.3</v>
      </c>
      <c r="Z22" t="s">
        <v>388</v>
      </c>
      <c r="AE22" t="s">
        <v>310</v>
      </c>
      <c r="AJ22" t="s">
        <v>309</v>
      </c>
    </row>
    <row r="23" spans="1:36">
      <c r="A23" t="s">
        <v>403</v>
      </c>
      <c r="B23" t="s">
        <v>462</v>
      </c>
      <c r="C23" t="s">
        <v>463</v>
      </c>
      <c r="D23" t="s">
        <v>101</v>
      </c>
      <c r="E23">
        <v>2021</v>
      </c>
      <c r="F23">
        <v>0</v>
      </c>
      <c r="K23" t="s">
        <v>483</v>
      </c>
      <c r="L23">
        <v>2033</v>
      </c>
      <c r="M23" t="s">
        <v>424</v>
      </c>
      <c r="N23" t="s">
        <v>484</v>
      </c>
      <c r="P23" t="s">
        <v>485</v>
      </c>
      <c r="Q23">
        <v>1</v>
      </c>
      <c r="R23" t="s">
        <v>467</v>
      </c>
      <c r="W23" t="s">
        <v>332</v>
      </c>
      <c r="X23" t="s">
        <v>468</v>
      </c>
      <c r="Z23" t="e">
        <v>#N/A</v>
      </c>
      <c r="AE23" t="s">
        <v>310</v>
      </c>
      <c r="AJ23" t="s">
        <v>309</v>
      </c>
    </row>
    <row r="24" spans="1:36">
      <c r="A24" t="s">
        <v>403</v>
      </c>
      <c r="B24" t="s">
        <v>462</v>
      </c>
      <c r="C24" t="s">
        <v>463</v>
      </c>
      <c r="D24" t="s">
        <v>101</v>
      </c>
      <c r="E24">
        <v>2021</v>
      </c>
      <c r="F24">
        <v>0</v>
      </c>
      <c r="K24" t="s">
        <v>486</v>
      </c>
      <c r="L24">
        <v>2027</v>
      </c>
      <c r="M24" t="s">
        <v>424</v>
      </c>
      <c r="N24" t="s">
        <v>484</v>
      </c>
      <c r="P24" t="s">
        <v>487</v>
      </c>
      <c r="Q24">
        <v>1</v>
      </c>
      <c r="R24" t="s">
        <v>467</v>
      </c>
      <c r="W24" t="s">
        <v>332</v>
      </c>
      <c r="X24" t="s">
        <v>468</v>
      </c>
      <c r="Z24" t="e">
        <v>#N/A</v>
      </c>
      <c r="AE24" t="s">
        <v>310</v>
      </c>
      <c r="AJ24" t="s">
        <v>309</v>
      </c>
    </row>
    <row r="25" spans="1:36">
      <c r="A25" t="s">
        <v>403</v>
      </c>
      <c r="B25" t="s">
        <v>462</v>
      </c>
      <c r="C25" t="s">
        <v>463</v>
      </c>
      <c r="D25" t="s">
        <v>101</v>
      </c>
      <c r="E25">
        <v>2021</v>
      </c>
      <c r="F25">
        <v>0</v>
      </c>
      <c r="G25">
        <v>2</v>
      </c>
      <c r="H25">
        <v>0</v>
      </c>
      <c r="I25">
        <v>1</v>
      </c>
      <c r="J25">
        <v>1</v>
      </c>
      <c r="K25" t="s">
        <v>488</v>
      </c>
      <c r="L25">
        <v>2030</v>
      </c>
      <c r="M25">
        <v>1</v>
      </c>
      <c r="O25" t="s">
        <v>465</v>
      </c>
      <c r="P25" t="s">
        <v>489</v>
      </c>
      <c r="Q25">
        <v>1</v>
      </c>
      <c r="R25" t="s">
        <v>467</v>
      </c>
      <c r="W25" t="s">
        <v>332</v>
      </c>
      <c r="X25" t="s">
        <v>468</v>
      </c>
      <c r="Y25">
        <v>7.3</v>
      </c>
      <c r="Z25" t="s">
        <v>388</v>
      </c>
      <c r="AE25" t="s">
        <v>310</v>
      </c>
      <c r="AJ25" t="s">
        <v>309</v>
      </c>
    </row>
    <row r="26" spans="1:36">
      <c r="A26" t="s">
        <v>403</v>
      </c>
      <c r="B26" t="s">
        <v>462</v>
      </c>
      <c r="C26" t="s">
        <v>463</v>
      </c>
      <c r="D26" t="s">
        <v>101</v>
      </c>
      <c r="E26">
        <v>2021</v>
      </c>
      <c r="F26">
        <v>0</v>
      </c>
      <c r="G26">
        <v>2</v>
      </c>
      <c r="H26">
        <v>0</v>
      </c>
      <c r="I26">
        <v>1</v>
      </c>
      <c r="J26">
        <v>1</v>
      </c>
      <c r="K26" t="s">
        <v>490</v>
      </c>
      <c r="L26">
        <v>2030</v>
      </c>
      <c r="M26">
        <v>1</v>
      </c>
      <c r="O26" t="s">
        <v>465</v>
      </c>
      <c r="P26" t="s">
        <v>491</v>
      </c>
      <c r="Q26" t="s">
        <v>492</v>
      </c>
      <c r="R26" t="s">
        <v>493</v>
      </c>
      <c r="S26" t="s">
        <v>494</v>
      </c>
      <c r="T26">
        <v>1</v>
      </c>
      <c r="U26" t="s">
        <v>331</v>
      </c>
      <c r="W26" t="s">
        <v>332</v>
      </c>
      <c r="X26" t="s">
        <v>468</v>
      </c>
      <c r="Y26">
        <v>7.3</v>
      </c>
      <c r="Z26" t="s">
        <v>388</v>
      </c>
      <c r="AE26" t="s">
        <v>310</v>
      </c>
      <c r="AJ26" t="s">
        <v>309</v>
      </c>
    </row>
    <row r="27" spans="1:36">
      <c r="A27" t="s">
        <v>403</v>
      </c>
      <c r="B27" t="s">
        <v>462</v>
      </c>
      <c r="C27" t="s">
        <v>463</v>
      </c>
      <c r="D27" t="s">
        <v>101</v>
      </c>
      <c r="E27">
        <v>2021</v>
      </c>
      <c r="F27">
        <v>0</v>
      </c>
      <c r="G27">
        <v>2</v>
      </c>
      <c r="H27">
        <v>0</v>
      </c>
      <c r="I27">
        <v>1</v>
      </c>
      <c r="J27">
        <v>1</v>
      </c>
      <c r="K27" t="s">
        <v>495</v>
      </c>
      <c r="L27">
        <v>2030</v>
      </c>
      <c r="M27">
        <v>1</v>
      </c>
      <c r="O27" t="s">
        <v>465</v>
      </c>
      <c r="P27" t="s">
        <v>496</v>
      </c>
      <c r="Q27" t="s">
        <v>497</v>
      </c>
      <c r="R27" t="s">
        <v>329</v>
      </c>
      <c r="S27" t="s">
        <v>330</v>
      </c>
      <c r="T27">
        <v>2</v>
      </c>
      <c r="U27" t="s">
        <v>498</v>
      </c>
      <c r="W27" t="s">
        <v>332</v>
      </c>
      <c r="X27" t="s">
        <v>468</v>
      </c>
      <c r="Y27">
        <v>7.3</v>
      </c>
      <c r="Z27" t="s">
        <v>388</v>
      </c>
      <c r="AB27" t="s">
        <v>499</v>
      </c>
      <c r="AE27" t="s">
        <v>310</v>
      </c>
      <c r="AJ27" t="s">
        <v>309</v>
      </c>
    </row>
    <row r="28" spans="1:36">
      <c r="A28" t="s">
        <v>403</v>
      </c>
      <c r="B28" t="s">
        <v>462</v>
      </c>
      <c r="C28" t="s">
        <v>324</v>
      </c>
      <c r="D28" t="s">
        <v>321</v>
      </c>
      <c r="E28">
        <v>2020</v>
      </c>
      <c r="F28">
        <v>0</v>
      </c>
      <c r="G28">
        <v>1</v>
      </c>
      <c r="H28">
        <v>0</v>
      </c>
      <c r="I28">
        <v>0</v>
      </c>
      <c r="J28">
        <v>1</v>
      </c>
      <c r="K28" t="s">
        <v>500</v>
      </c>
      <c r="L28">
        <v>2030</v>
      </c>
      <c r="M28">
        <v>1</v>
      </c>
      <c r="O28" t="s">
        <v>465</v>
      </c>
      <c r="P28" t="s">
        <v>501</v>
      </c>
      <c r="Q28" t="s">
        <v>502</v>
      </c>
      <c r="R28" t="s">
        <v>503</v>
      </c>
      <c r="S28" t="s">
        <v>330</v>
      </c>
      <c r="T28">
        <v>2</v>
      </c>
      <c r="U28" t="s">
        <v>498</v>
      </c>
      <c r="W28" t="s">
        <v>332</v>
      </c>
      <c r="X28" t="s">
        <v>468</v>
      </c>
      <c r="Y28">
        <v>7.3</v>
      </c>
      <c r="Z28" t="s">
        <v>388</v>
      </c>
      <c r="AB28" t="s">
        <v>499</v>
      </c>
      <c r="AE28" t="s">
        <v>310</v>
      </c>
      <c r="AJ28" t="s">
        <v>309</v>
      </c>
    </row>
    <row r="29" spans="1:36">
      <c r="A29" t="s">
        <v>403</v>
      </c>
      <c r="B29" t="s">
        <v>462</v>
      </c>
      <c r="C29" t="s">
        <v>324</v>
      </c>
      <c r="D29" t="s">
        <v>321</v>
      </c>
      <c r="E29">
        <v>2020</v>
      </c>
      <c r="F29">
        <v>0</v>
      </c>
      <c r="G29">
        <v>1</v>
      </c>
      <c r="H29">
        <v>0</v>
      </c>
      <c r="I29">
        <v>0</v>
      </c>
      <c r="J29">
        <v>1</v>
      </c>
      <c r="K29" t="s">
        <v>504</v>
      </c>
      <c r="L29">
        <v>2030</v>
      </c>
      <c r="M29">
        <v>1</v>
      </c>
      <c r="O29" t="s">
        <v>465</v>
      </c>
      <c r="P29" t="s">
        <v>505</v>
      </c>
      <c r="Q29" t="s">
        <v>506</v>
      </c>
      <c r="R29" t="s">
        <v>507</v>
      </c>
      <c r="S29" t="s">
        <v>494</v>
      </c>
      <c r="T29">
        <v>1</v>
      </c>
      <c r="U29" t="s">
        <v>508</v>
      </c>
      <c r="V29" t="s">
        <v>509</v>
      </c>
      <c r="W29" t="s">
        <v>332</v>
      </c>
      <c r="X29" t="s">
        <v>468</v>
      </c>
      <c r="Y29">
        <v>7.3</v>
      </c>
      <c r="Z29" t="s">
        <v>388</v>
      </c>
      <c r="AA29" t="s">
        <v>192</v>
      </c>
      <c r="AB29" t="s">
        <v>510</v>
      </c>
      <c r="AE29" t="s">
        <v>310</v>
      </c>
      <c r="AJ29" t="s">
        <v>309</v>
      </c>
    </row>
    <row r="30" spans="1:36">
      <c r="A30" t="s">
        <v>403</v>
      </c>
      <c r="B30" t="s">
        <v>462</v>
      </c>
      <c r="C30" t="s">
        <v>511</v>
      </c>
      <c r="D30" t="s">
        <v>102</v>
      </c>
      <c r="E30">
        <v>2023</v>
      </c>
      <c r="F30">
        <v>1</v>
      </c>
      <c r="G30">
        <v>3</v>
      </c>
      <c r="H30">
        <v>1</v>
      </c>
      <c r="J30">
        <v>1</v>
      </c>
      <c r="K30" t="s">
        <v>512</v>
      </c>
      <c r="L30">
        <v>2030</v>
      </c>
      <c r="M30">
        <v>1</v>
      </c>
      <c r="O30" t="s">
        <v>465</v>
      </c>
      <c r="R30" t="s">
        <v>329</v>
      </c>
      <c r="S30" t="s">
        <v>330</v>
      </c>
      <c r="T30">
        <v>2</v>
      </c>
      <c r="Y30">
        <v>7.3</v>
      </c>
      <c r="Z30" t="s">
        <v>388</v>
      </c>
    </row>
    <row r="31" spans="1:36">
      <c r="A31" t="s">
        <v>403</v>
      </c>
      <c r="C31" t="s">
        <v>511</v>
      </c>
      <c r="D31" t="s">
        <v>102</v>
      </c>
      <c r="E31">
        <v>2023</v>
      </c>
      <c r="F31">
        <v>1</v>
      </c>
      <c r="G31">
        <v>3</v>
      </c>
      <c r="H31">
        <v>1</v>
      </c>
      <c r="J31">
        <v>1</v>
      </c>
      <c r="K31" t="s">
        <v>513</v>
      </c>
      <c r="L31">
        <v>2030</v>
      </c>
      <c r="M31">
        <v>1</v>
      </c>
      <c r="O31" t="s">
        <v>465</v>
      </c>
      <c r="R31" t="s">
        <v>514</v>
      </c>
      <c r="S31" t="s">
        <v>330</v>
      </c>
      <c r="T31">
        <v>2</v>
      </c>
      <c r="Y31">
        <v>7.3</v>
      </c>
      <c r="Z31" t="s">
        <v>388</v>
      </c>
    </row>
    <row r="32" spans="1:36" ht="144">
      <c r="A32" t="s">
        <v>403</v>
      </c>
      <c r="B32" t="s">
        <v>462</v>
      </c>
      <c r="C32" t="s">
        <v>511</v>
      </c>
      <c r="D32" t="s">
        <v>102</v>
      </c>
      <c r="E32">
        <v>2023</v>
      </c>
      <c r="F32">
        <v>1</v>
      </c>
      <c r="G32">
        <v>3</v>
      </c>
      <c r="H32">
        <v>1</v>
      </c>
      <c r="J32">
        <v>1</v>
      </c>
      <c r="K32" t="s">
        <v>515</v>
      </c>
      <c r="L32">
        <v>2030</v>
      </c>
      <c r="M32">
        <v>1</v>
      </c>
      <c r="O32" t="s">
        <v>465</v>
      </c>
      <c r="P32" t="s">
        <v>516</v>
      </c>
      <c r="Q32" t="s">
        <v>517</v>
      </c>
      <c r="R32" s="234" t="s">
        <v>518</v>
      </c>
      <c r="S32" t="s">
        <v>519</v>
      </c>
      <c r="T32">
        <v>2</v>
      </c>
      <c r="U32" t="s">
        <v>331</v>
      </c>
      <c r="W32" t="s">
        <v>468</v>
      </c>
      <c r="Y32">
        <v>7.3</v>
      </c>
      <c r="Z32" t="s">
        <v>388</v>
      </c>
      <c r="AA32" t="s">
        <v>201</v>
      </c>
      <c r="AB32" t="s">
        <v>520</v>
      </c>
      <c r="AE32" t="s">
        <v>309</v>
      </c>
    </row>
    <row r="33" spans="1:42">
      <c r="A33" t="s">
        <v>403</v>
      </c>
      <c r="C33" t="s">
        <v>405</v>
      </c>
      <c r="D33" t="s">
        <v>321</v>
      </c>
      <c r="E33">
        <v>2022</v>
      </c>
      <c r="F33">
        <v>0</v>
      </c>
      <c r="K33" t="s">
        <v>521</v>
      </c>
      <c r="L33">
        <v>2030</v>
      </c>
      <c r="N33" t="s">
        <v>522</v>
      </c>
      <c r="O33" t="s">
        <v>429</v>
      </c>
      <c r="P33" t="s">
        <v>523</v>
      </c>
      <c r="Q33" t="s">
        <v>524</v>
      </c>
      <c r="S33" t="s">
        <v>525</v>
      </c>
      <c r="W33" t="s">
        <v>416</v>
      </c>
      <c r="Z33" t="e">
        <v>#N/A</v>
      </c>
      <c r="AA33" t="s">
        <v>190</v>
      </c>
      <c r="AB33" t="s">
        <v>526</v>
      </c>
      <c r="AE33" t="s">
        <v>309</v>
      </c>
    </row>
    <row r="34" spans="1:42">
      <c r="A34" t="s">
        <v>403</v>
      </c>
      <c r="B34" t="s">
        <v>462</v>
      </c>
      <c r="C34" t="s">
        <v>405</v>
      </c>
      <c r="D34" t="s">
        <v>321</v>
      </c>
      <c r="E34">
        <v>2022</v>
      </c>
      <c r="F34">
        <v>0</v>
      </c>
      <c r="G34">
        <v>1</v>
      </c>
      <c r="H34">
        <v>0</v>
      </c>
      <c r="I34">
        <v>0</v>
      </c>
      <c r="J34">
        <v>1</v>
      </c>
      <c r="K34" t="s">
        <v>527</v>
      </c>
      <c r="L34">
        <v>2027</v>
      </c>
      <c r="M34">
        <v>1</v>
      </c>
      <c r="N34" t="s">
        <v>528</v>
      </c>
      <c r="O34" t="s">
        <v>465</v>
      </c>
      <c r="P34" t="s">
        <v>529</v>
      </c>
      <c r="Q34" t="s">
        <v>530</v>
      </c>
      <c r="R34" t="s">
        <v>531</v>
      </c>
      <c r="S34" t="s">
        <v>519</v>
      </c>
      <c r="T34">
        <v>2</v>
      </c>
      <c r="U34" t="s">
        <v>331</v>
      </c>
      <c r="W34" t="s">
        <v>395</v>
      </c>
      <c r="Y34">
        <v>7.3</v>
      </c>
      <c r="Z34" t="s">
        <v>388</v>
      </c>
      <c r="AA34" t="s">
        <v>196</v>
      </c>
      <c r="AB34" t="s">
        <v>532</v>
      </c>
      <c r="AE34" t="s">
        <v>309</v>
      </c>
    </row>
    <row r="35" spans="1:42">
      <c r="A35" t="s">
        <v>403</v>
      </c>
      <c r="C35" t="s">
        <v>405</v>
      </c>
      <c r="D35" t="s">
        <v>321</v>
      </c>
      <c r="E35">
        <v>2022</v>
      </c>
      <c r="F35">
        <v>0</v>
      </c>
      <c r="K35" t="s">
        <v>533</v>
      </c>
      <c r="L35">
        <v>2030</v>
      </c>
      <c r="N35" t="s">
        <v>522</v>
      </c>
      <c r="O35" t="s">
        <v>465</v>
      </c>
      <c r="P35" t="s">
        <v>534</v>
      </c>
      <c r="Q35">
        <v>0.13</v>
      </c>
      <c r="R35" t="s">
        <v>535</v>
      </c>
      <c r="S35" t="s">
        <v>330</v>
      </c>
      <c r="T35">
        <v>2</v>
      </c>
      <c r="U35" t="s">
        <v>331</v>
      </c>
      <c r="W35" t="s">
        <v>395</v>
      </c>
      <c r="Z35" t="e">
        <v>#N/A</v>
      </c>
      <c r="AA35" t="s">
        <v>197</v>
      </c>
      <c r="AB35" t="s">
        <v>536</v>
      </c>
      <c r="AE35" t="s">
        <v>309</v>
      </c>
    </row>
    <row r="36" spans="1:42">
      <c r="A36" t="s">
        <v>403</v>
      </c>
      <c r="C36" t="s">
        <v>150</v>
      </c>
      <c r="D36" t="s">
        <v>321</v>
      </c>
      <c r="E36">
        <v>2022</v>
      </c>
      <c r="F36">
        <v>0</v>
      </c>
      <c r="G36">
        <v>1</v>
      </c>
      <c r="H36">
        <v>0</v>
      </c>
      <c r="I36">
        <v>0</v>
      </c>
      <c r="J36">
        <v>1</v>
      </c>
      <c r="K36" t="s">
        <v>537</v>
      </c>
      <c r="L36">
        <v>2030</v>
      </c>
      <c r="M36">
        <v>1</v>
      </c>
      <c r="O36" t="s">
        <v>538</v>
      </c>
      <c r="R36" t="s">
        <v>539</v>
      </c>
      <c r="S36" t="s">
        <v>303</v>
      </c>
      <c r="T36">
        <v>2</v>
      </c>
      <c r="W36" t="s">
        <v>416</v>
      </c>
      <c r="Y36">
        <v>7.2</v>
      </c>
      <c r="Z36" t="s">
        <v>388</v>
      </c>
      <c r="AA36" t="s">
        <v>217</v>
      </c>
      <c r="AB36" t="s">
        <v>540</v>
      </c>
      <c r="AE36" t="s">
        <v>309</v>
      </c>
    </row>
    <row r="37" spans="1:42" ht="64">
      <c r="A37" t="s">
        <v>403</v>
      </c>
      <c r="C37" t="s">
        <v>150</v>
      </c>
      <c r="D37" t="s">
        <v>321</v>
      </c>
      <c r="E37">
        <v>2022</v>
      </c>
      <c r="F37">
        <v>0</v>
      </c>
      <c r="G37">
        <v>1</v>
      </c>
      <c r="H37">
        <v>0</v>
      </c>
      <c r="I37">
        <v>0</v>
      </c>
      <c r="J37">
        <v>1</v>
      </c>
      <c r="K37" t="s">
        <v>541</v>
      </c>
      <c r="L37">
        <v>2030</v>
      </c>
      <c r="M37">
        <v>1</v>
      </c>
      <c r="O37" t="s">
        <v>538</v>
      </c>
      <c r="R37" s="234" t="s">
        <v>542</v>
      </c>
      <c r="S37" t="s">
        <v>303</v>
      </c>
      <c r="T37">
        <v>2</v>
      </c>
      <c r="U37" t="s">
        <v>331</v>
      </c>
      <c r="W37" t="s">
        <v>416</v>
      </c>
      <c r="Y37">
        <v>7.2</v>
      </c>
      <c r="Z37" t="s">
        <v>388</v>
      </c>
      <c r="AE37" t="s">
        <v>309</v>
      </c>
    </row>
    <row r="38" spans="1:42" ht="64">
      <c r="A38" t="s">
        <v>403</v>
      </c>
      <c r="C38" t="s">
        <v>150</v>
      </c>
      <c r="D38" t="s">
        <v>321</v>
      </c>
      <c r="E38">
        <v>2022</v>
      </c>
      <c r="F38">
        <v>0</v>
      </c>
      <c r="G38">
        <v>1</v>
      </c>
      <c r="H38">
        <v>0</v>
      </c>
      <c r="I38">
        <v>0</v>
      </c>
      <c r="J38">
        <v>1</v>
      </c>
      <c r="K38" t="s">
        <v>543</v>
      </c>
      <c r="L38">
        <v>2030</v>
      </c>
      <c r="M38">
        <v>1</v>
      </c>
      <c r="O38" t="s">
        <v>538</v>
      </c>
      <c r="R38" s="234" t="s">
        <v>544</v>
      </c>
      <c r="S38" t="s">
        <v>303</v>
      </c>
      <c r="T38">
        <v>2</v>
      </c>
      <c r="U38" t="s">
        <v>331</v>
      </c>
      <c r="W38" t="s">
        <v>416</v>
      </c>
      <c r="Y38">
        <v>7.2</v>
      </c>
      <c r="Z38" t="s">
        <v>388</v>
      </c>
      <c r="AA38" t="s">
        <v>217</v>
      </c>
      <c r="AB38" t="s">
        <v>540</v>
      </c>
      <c r="AE38" t="s">
        <v>309</v>
      </c>
    </row>
    <row r="39" spans="1:42">
      <c r="A39" t="s">
        <v>403</v>
      </c>
      <c r="C39" t="s">
        <v>150</v>
      </c>
      <c r="D39" t="s">
        <v>321</v>
      </c>
      <c r="E39">
        <v>2022</v>
      </c>
      <c r="F39">
        <v>0</v>
      </c>
      <c r="G39">
        <v>0</v>
      </c>
      <c r="H39">
        <v>0</v>
      </c>
      <c r="I39">
        <v>0</v>
      </c>
      <c r="J39">
        <v>1</v>
      </c>
      <c r="K39" t="s">
        <v>545</v>
      </c>
      <c r="M39">
        <v>0</v>
      </c>
      <c r="O39" t="s">
        <v>538</v>
      </c>
      <c r="R39" t="s">
        <v>546</v>
      </c>
      <c r="T39">
        <v>0</v>
      </c>
      <c r="W39" t="s">
        <v>416</v>
      </c>
      <c r="Y39">
        <v>7.1</v>
      </c>
      <c r="Z39" t="s">
        <v>388</v>
      </c>
      <c r="AE39" t="s">
        <v>310</v>
      </c>
      <c r="AJ39" t="s">
        <v>309</v>
      </c>
    </row>
    <row r="40" spans="1:42">
      <c r="A40" t="s">
        <v>403</v>
      </c>
      <c r="B40" t="s">
        <v>462</v>
      </c>
      <c r="C40" t="s">
        <v>150</v>
      </c>
      <c r="D40" t="s">
        <v>321</v>
      </c>
      <c r="E40">
        <v>2022</v>
      </c>
      <c r="F40">
        <v>0</v>
      </c>
      <c r="G40">
        <v>1</v>
      </c>
      <c r="H40">
        <v>0</v>
      </c>
      <c r="I40">
        <v>0</v>
      </c>
      <c r="J40">
        <v>1</v>
      </c>
      <c r="K40" t="s">
        <v>547</v>
      </c>
      <c r="M40">
        <v>1</v>
      </c>
      <c r="O40" t="s">
        <v>538</v>
      </c>
      <c r="R40" t="s">
        <v>467</v>
      </c>
      <c r="U40" t="s">
        <v>498</v>
      </c>
      <c r="W40" t="s">
        <v>416</v>
      </c>
      <c r="X40" t="s">
        <v>332</v>
      </c>
      <c r="Z40" t="e">
        <v>#N/A</v>
      </c>
      <c r="AE40" t="s">
        <v>310</v>
      </c>
      <c r="AJ40" t="s">
        <v>309</v>
      </c>
    </row>
    <row r="41" spans="1:42">
      <c r="A41" t="s">
        <v>403</v>
      </c>
      <c r="C41" t="s">
        <v>396</v>
      </c>
      <c r="D41" t="s">
        <v>102</v>
      </c>
      <c r="E41">
        <v>2023</v>
      </c>
      <c r="F41">
        <v>1</v>
      </c>
      <c r="G41">
        <v>3</v>
      </c>
      <c r="H41">
        <v>1</v>
      </c>
      <c r="J41">
        <v>1</v>
      </c>
      <c r="K41" t="s">
        <v>548</v>
      </c>
      <c r="L41">
        <v>2030</v>
      </c>
      <c r="M41">
        <v>1</v>
      </c>
      <c r="O41" t="s">
        <v>429</v>
      </c>
      <c r="P41" t="s">
        <v>549</v>
      </c>
      <c r="Q41">
        <v>0.42499999999999999</v>
      </c>
      <c r="R41" t="s">
        <v>550</v>
      </c>
      <c r="S41" t="s">
        <v>363</v>
      </c>
      <c r="T41">
        <v>2</v>
      </c>
      <c r="U41" t="s">
        <v>433</v>
      </c>
      <c r="V41" t="s">
        <v>551</v>
      </c>
      <c r="Y41">
        <v>7.2</v>
      </c>
      <c r="Z41" t="s">
        <v>388</v>
      </c>
      <c r="AA41" t="s">
        <v>197</v>
      </c>
      <c r="AB41" t="s">
        <v>552</v>
      </c>
      <c r="AE41" t="s">
        <v>309</v>
      </c>
    </row>
    <row r="42" spans="1:42">
      <c r="A42" t="s">
        <v>403</v>
      </c>
      <c r="C42" t="s">
        <v>396</v>
      </c>
      <c r="D42" t="s">
        <v>102</v>
      </c>
      <c r="E42">
        <v>2023</v>
      </c>
      <c r="F42">
        <v>1</v>
      </c>
      <c r="G42">
        <v>3</v>
      </c>
      <c r="H42">
        <v>1</v>
      </c>
      <c r="J42">
        <v>1</v>
      </c>
      <c r="K42" t="s">
        <v>553</v>
      </c>
      <c r="L42">
        <v>2030</v>
      </c>
      <c r="M42">
        <v>1</v>
      </c>
      <c r="O42" t="s">
        <v>429</v>
      </c>
      <c r="Y42">
        <v>7.2</v>
      </c>
      <c r="Z42" t="s">
        <v>388</v>
      </c>
    </row>
    <row r="43" spans="1:42">
      <c r="A43" t="s">
        <v>403</v>
      </c>
      <c r="C43" t="s">
        <v>396</v>
      </c>
      <c r="D43" t="s">
        <v>102</v>
      </c>
      <c r="E43">
        <v>2023</v>
      </c>
      <c r="F43">
        <v>1</v>
      </c>
      <c r="G43">
        <v>3</v>
      </c>
      <c r="H43">
        <v>1</v>
      </c>
      <c r="J43">
        <v>1</v>
      </c>
      <c r="K43" t="s">
        <v>554</v>
      </c>
      <c r="L43">
        <v>2030</v>
      </c>
      <c r="M43">
        <v>1</v>
      </c>
      <c r="O43" t="s">
        <v>465</v>
      </c>
      <c r="Y43">
        <v>7.2</v>
      </c>
      <c r="Z43" t="s">
        <v>388</v>
      </c>
    </row>
    <row r="44" spans="1:42">
      <c r="A44" t="s">
        <v>403</v>
      </c>
      <c r="C44" t="s">
        <v>396</v>
      </c>
      <c r="D44" t="s">
        <v>102</v>
      </c>
      <c r="E44">
        <v>2023</v>
      </c>
      <c r="F44">
        <v>1</v>
      </c>
      <c r="G44">
        <v>3</v>
      </c>
      <c r="H44">
        <v>1</v>
      </c>
      <c r="J44">
        <v>1</v>
      </c>
      <c r="K44" t="s">
        <v>555</v>
      </c>
      <c r="L44">
        <v>2030</v>
      </c>
      <c r="M44">
        <v>1</v>
      </c>
      <c r="O44" t="s">
        <v>429</v>
      </c>
      <c r="P44" t="s">
        <v>556</v>
      </c>
      <c r="Q44" t="s">
        <v>557</v>
      </c>
      <c r="R44" t="s">
        <v>558</v>
      </c>
      <c r="S44" t="s">
        <v>559</v>
      </c>
      <c r="T44">
        <v>2</v>
      </c>
      <c r="W44" t="s">
        <v>416</v>
      </c>
      <c r="X44" t="s">
        <v>401</v>
      </c>
      <c r="Y44">
        <v>7.2</v>
      </c>
      <c r="Z44" t="s">
        <v>388</v>
      </c>
      <c r="AA44" t="s">
        <v>197</v>
      </c>
      <c r="AB44" t="s">
        <v>560</v>
      </c>
      <c r="AE44" t="s">
        <v>309</v>
      </c>
      <c r="AP44" t="s">
        <v>310</v>
      </c>
    </row>
    <row r="45" spans="1:42">
      <c r="A45" t="s">
        <v>403</v>
      </c>
      <c r="C45" t="s">
        <v>396</v>
      </c>
      <c r="D45" t="s">
        <v>102</v>
      </c>
      <c r="E45">
        <v>2023</v>
      </c>
      <c r="F45">
        <v>1</v>
      </c>
      <c r="G45">
        <v>3</v>
      </c>
      <c r="H45">
        <v>1</v>
      </c>
      <c r="J45">
        <v>1</v>
      </c>
      <c r="K45" t="s">
        <v>561</v>
      </c>
      <c r="L45">
        <v>2030</v>
      </c>
      <c r="M45">
        <v>1</v>
      </c>
      <c r="O45" t="s">
        <v>429</v>
      </c>
      <c r="P45" t="s">
        <v>562</v>
      </c>
      <c r="Q45">
        <v>0.28999999999999998</v>
      </c>
      <c r="R45" t="s">
        <v>563</v>
      </c>
      <c r="S45" t="s">
        <v>330</v>
      </c>
      <c r="T45">
        <v>2</v>
      </c>
      <c r="U45" t="s">
        <v>331</v>
      </c>
      <c r="W45" t="s">
        <v>564</v>
      </c>
      <c r="X45" t="s">
        <v>315</v>
      </c>
      <c r="Y45">
        <v>13.2</v>
      </c>
      <c r="Z45" t="s">
        <v>307</v>
      </c>
      <c r="AA45" t="s">
        <v>190</v>
      </c>
      <c r="AB45" t="s">
        <v>565</v>
      </c>
      <c r="AE45" t="s">
        <v>310</v>
      </c>
      <c r="AI45" t="s">
        <v>309</v>
      </c>
      <c r="AK45" t="s">
        <v>310</v>
      </c>
    </row>
    <row r="46" spans="1:42">
      <c r="A46" t="s">
        <v>403</v>
      </c>
      <c r="C46" t="s">
        <v>396</v>
      </c>
      <c r="D46" t="s">
        <v>102</v>
      </c>
      <c r="E46">
        <v>2023</v>
      </c>
      <c r="F46">
        <v>1</v>
      </c>
      <c r="G46">
        <v>3</v>
      </c>
      <c r="H46">
        <v>1</v>
      </c>
      <c r="J46">
        <v>1</v>
      </c>
      <c r="K46" t="s">
        <v>566</v>
      </c>
      <c r="L46">
        <v>2030</v>
      </c>
      <c r="M46">
        <v>1</v>
      </c>
      <c r="O46" t="s">
        <v>429</v>
      </c>
      <c r="P46" t="s">
        <v>567</v>
      </c>
      <c r="Q46" t="s">
        <v>568</v>
      </c>
      <c r="R46" t="s">
        <v>550</v>
      </c>
      <c r="S46" t="s">
        <v>569</v>
      </c>
      <c r="T46">
        <v>2</v>
      </c>
      <c r="U46" t="s">
        <v>331</v>
      </c>
      <c r="W46" t="s">
        <v>416</v>
      </c>
      <c r="Y46">
        <v>7.2</v>
      </c>
      <c r="Z46" t="s">
        <v>388</v>
      </c>
      <c r="AA46" t="s">
        <v>197</v>
      </c>
      <c r="AB46" t="s">
        <v>570</v>
      </c>
      <c r="AE46" t="s">
        <v>309</v>
      </c>
    </row>
    <row r="47" spans="1:42">
      <c r="A47" t="s">
        <v>403</v>
      </c>
      <c r="C47" t="s">
        <v>396</v>
      </c>
      <c r="D47" t="s">
        <v>102</v>
      </c>
      <c r="E47">
        <v>2023</v>
      </c>
      <c r="F47">
        <v>1</v>
      </c>
      <c r="G47">
        <v>3</v>
      </c>
      <c r="H47">
        <v>1</v>
      </c>
      <c r="J47">
        <v>1</v>
      </c>
      <c r="K47" t="s">
        <v>571</v>
      </c>
      <c r="L47">
        <v>2030</v>
      </c>
      <c r="M47">
        <v>1</v>
      </c>
      <c r="O47" t="s">
        <v>429</v>
      </c>
      <c r="P47" t="s">
        <v>572</v>
      </c>
      <c r="Q47">
        <v>0.65</v>
      </c>
      <c r="R47" t="s">
        <v>573</v>
      </c>
      <c r="S47" t="s">
        <v>363</v>
      </c>
      <c r="T47">
        <v>2</v>
      </c>
      <c r="U47" t="s">
        <v>433</v>
      </c>
      <c r="W47" t="s">
        <v>416</v>
      </c>
      <c r="Y47">
        <v>7.2</v>
      </c>
      <c r="Z47" t="s">
        <v>388</v>
      </c>
      <c r="AE47" t="s">
        <v>309</v>
      </c>
    </row>
    <row r="48" spans="1:42">
      <c r="A48" t="s">
        <v>403</v>
      </c>
      <c r="C48" t="s">
        <v>396</v>
      </c>
      <c r="D48" t="s">
        <v>102</v>
      </c>
      <c r="E48">
        <v>2023</v>
      </c>
      <c r="F48">
        <v>1</v>
      </c>
      <c r="G48">
        <v>3</v>
      </c>
      <c r="H48">
        <v>1</v>
      </c>
      <c r="J48">
        <v>1</v>
      </c>
      <c r="K48" t="s">
        <v>574</v>
      </c>
      <c r="L48">
        <v>2030</v>
      </c>
      <c r="M48">
        <v>1</v>
      </c>
      <c r="O48" t="s">
        <v>465</v>
      </c>
      <c r="P48" t="s">
        <v>575</v>
      </c>
      <c r="Q48" t="s">
        <v>576</v>
      </c>
      <c r="R48" t="s">
        <v>577</v>
      </c>
      <c r="S48" t="s">
        <v>330</v>
      </c>
      <c r="T48">
        <v>2</v>
      </c>
      <c r="W48" t="s">
        <v>395</v>
      </c>
      <c r="Y48">
        <v>7.2</v>
      </c>
      <c r="Z48" t="s">
        <v>388</v>
      </c>
      <c r="AA48" t="s">
        <v>201</v>
      </c>
      <c r="AB48" t="s">
        <v>578</v>
      </c>
      <c r="AE48" t="s">
        <v>309</v>
      </c>
    </row>
    <row r="49" spans="1:36">
      <c r="A49" t="s">
        <v>403</v>
      </c>
      <c r="B49" t="s">
        <v>426</v>
      </c>
      <c r="C49" t="s">
        <v>396</v>
      </c>
      <c r="D49" t="s">
        <v>102</v>
      </c>
      <c r="E49">
        <v>2023</v>
      </c>
      <c r="F49">
        <v>1</v>
      </c>
      <c r="G49">
        <v>3</v>
      </c>
      <c r="H49">
        <v>1</v>
      </c>
      <c r="J49">
        <v>1</v>
      </c>
      <c r="K49" t="s">
        <v>579</v>
      </c>
      <c r="L49">
        <v>2030</v>
      </c>
      <c r="M49">
        <v>1</v>
      </c>
      <c r="N49" t="s">
        <v>580</v>
      </c>
      <c r="O49" t="s">
        <v>450</v>
      </c>
      <c r="R49" t="s">
        <v>581</v>
      </c>
      <c r="T49">
        <v>0</v>
      </c>
      <c r="W49" t="s">
        <v>451</v>
      </c>
      <c r="Y49">
        <v>9.4</v>
      </c>
      <c r="Z49" t="s">
        <v>402</v>
      </c>
      <c r="AE49" t="s">
        <v>309</v>
      </c>
    </row>
    <row r="50" spans="1:36">
      <c r="A50" t="s">
        <v>403</v>
      </c>
      <c r="C50" t="s">
        <v>396</v>
      </c>
      <c r="D50" t="s">
        <v>102</v>
      </c>
      <c r="E50">
        <v>2023</v>
      </c>
      <c r="F50">
        <v>1</v>
      </c>
      <c r="G50">
        <v>3</v>
      </c>
      <c r="H50">
        <v>1</v>
      </c>
      <c r="J50">
        <v>1</v>
      </c>
      <c r="K50" t="s">
        <v>582</v>
      </c>
      <c r="L50">
        <v>2030</v>
      </c>
      <c r="M50">
        <v>1</v>
      </c>
      <c r="O50" t="s">
        <v>465</v>
      </c>
      <c r="P50" t="s">
        <v>583</v>
      </c>
      <c r="Q50" t="s">
        <v>584</v>
      </c>
      <c r="R50" t="s">
        <v>585</v>
      </c>
      <c r="T50">
        <v>0</v>
      </c>
      <c r="W50" t="s">
        <v>332</v>
      </c>
      <c r="X50" t="s">
        <v>416</v>
      </c>
      <c r="Y50">
        <v>7.2</v>
      </c>
      <c r="Z50" t="s">
        <v>388</v>
      </c>
      <c r="AE50" t="s">
        <v>310</v>
      </c>
      <c r="AJ50" t="s">
        <v>309</v>
      </c>
    </row>
    <row r="51" spans="1:36">
      <c r="A51" t="s">
        <v>403</v>
      </c>
      <c r="B51" t="s">
        <v>435</v>
      </c>
      <c r="C51" t="s">
        <v>436</v>
      </c>
      <c r="D51" t="s">
        <v>298</v>
      </c>
      <c r="E51">
        <v>2022</v>
      </c>
      <c r="F51">
        <v>1</v>
      </c>
    </row>
    <row r="52" spans="1:36">
      <c r="A52" t="s">
        <v>403</v>
      </c>
      <c r="B52" t="s">
        <v>426</v>
      </c>
      <c r="C52" t="s">
        <v>586</v>
      </c>
      <c r="D52" t="s">
        <v>110</v>
      </c>
      <c r="E52">
        <v>2023</v>
      </c>
      <c r="F52">
        <v>0</v>
      </c>
    </row>
    <row r="53" spans="1:36">
      <c r="A53" t="s">
        <v>403</v>
      </c>
      <c r="B53" t="s">
        <v>462</v>
      </c>
      <c r="C53" t="s">
        <v>511</v>
      </c>
      <c r="D53" t="s">
        <v>102</v>
      </c>
      <c r="E53">
        <v>2023</v>
      </c>
      <c r="F53">
        <v>1</v>
      </c>
      <c r="G53">
        <v>3</v>
      </c>
      <c r="H53">
        <v>1</v>
      </c>
      <c r="J53">
        <v>1</v>
      </c>
      <c r="K53" t="s">
        <v>587</v>
      </c>
      <c r="L53">
        <v>2030</v>
      </c>
      <c r="M53">
        <v>1</v>
      </c>
      <c r="O53" t="s">
        <v>465</v>
      </c>
      <c r="P53" t="s">
        <v>588</v>
      </c>
      <c r="Q53">
        <v>1.9E-2</v>
      </c>
      <c r="R53" t="s">
        <v>589</v>
      </c>
      <c r="S53" t="s">
        <v>330</v>
      </c>
      <c r="T53">
        <v>2</v>
      </c>
      <c r="U53" t="s">
        <v>498</v>
      </c>
      <c r="W53" t="s">
        <v>468</v>
      </c>
      <c r="Y53">
        <v>7.3</v>
      </c>
      <c r="Z53" t="s">
        <v>388</v>
      </c>
      <c r="AA53" t="s">
        <v>197</v>
      </c>
      <c r="AB53" t="s">
        <v>590</v>
      </c>
      <c r="AE53" t="s">
        <v>309</v>
      </c>
    </row>
    <row r="54" spans="1:36">
      <c r="A54" t="s">
        <v>403</v>
      </c>
      <c r="C54" t="s">
        <v>591</v>
      </c>
      <c r="D54" t="s">
        <v>321</v>
      </c>
      <c r="E54">
        <v>2023</v>
      </c>
      <c r="F54">
        <v>0</v>
      </c>
      <c r="G54">
        <v>0</v>
      </c>
      <c r="H54">
        <v>0</v>
      </c>
      <c r="I54">
        <v>0</v>
      </c>
      <c r="J54">
        <v>1</v>
      </c>
      <c r="K54" t="s">
        <v>592</v>
      </c>
      <c r="M54">
        <v>0</v>
      </c>
      <c r="O54" t="s">
        <v>593</v>
      </c>
      <c r="W54" t="s">
        <v>594</v>
      </c>
      <c r="X54" t="s">
        <v>395</v>
      </c>
      <c r="Y54">
        <v>7.2</v>
      </c>
      <c r="Z54" t="s">
        <v>388</v>
      </c>
      <c r="AE54" t="s">
        <v>309</v>
      </c>
    </row>
    <row r="55" spans="1:36">
      <c r="A55" t="s">
        <v>403</v>
      </c>
      <c r="B55" t="s">
        <v>462</v>
      </c>
      <c r="C55" t="s">
        <v>511</v>
      </c>
      <c r="D55" t="s">
        <v>102</v>
      </c>
      <c r="E55">
        <v>2023</v>
      </c>
      <c r="F55">
        <v>1</v>
      </c>
      <c r="G55">
        <v>3</v>
      </c>
      <c r="H55">
        <v>1</v>
      </c>
      <c r="J55">
        <v>1</v>
      </c>
      <c r="K55" t="s">
        <v>595</v>
      </c>
      <c r="L55">
        <v>2030</v>
      </c>
      <c r="M55">
        <v>1</v>
      </c>
      <c r="O55" t="s">
        <v>465</v>
      </c>
      <c r="P55" t="s">
        <v>596</v>
      </c>
      <c r="Q55">
        <v>0.03</v>
      </c>
      <c r="R55" t="s">
        <v>597</v>
      </c>
      <c r="S55" t="s">
        <v>330</v>
      </c>
      <c r="T55">
        <v>2</v>
      </c>
      <c r="U55" t="s">
        <v>498</v>
      </c>
      <c r="W55" t="s">
        <v>332</v>
      </c>
      <c r="X55" t="s">
        <v>395</v>
      </c>
      <c r="Y55">
        <v>7.3</v>
      </c>
      <c r="Z55" t="s">
        <v>388</v>
      </c>
      <c r="AB55" t="s">
        <v>499</v>
      </c>
      <c r="AJ55" t="s">
        <v>309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49"/>
  <sheetViews>
    <sheetView workbookViewId="0">
      <selection activeCell="J6" sqref="J6"/>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c r="A2" t="s">
        <v>598</v>
      </c>
      <c r="B2" t="s">
        <v>599</v>
      </c>
      <c r="C2" t="s">
        <v>600</v>
      </c>
      <c r="D2" t="s">
        <v>102</v>
      </c>
      <c r="E2">
        <v>2018</v>
      </c>
      <c r="F2">
        <v>1</v>
      </c>
      <c r="L2">
        <v>2035</v>
      </c>
      <c r="M2" t="s">
        <v>424</v>
      </c>
      <c r="N2" t="s">
        <v>601</v>
      </c>
      <c r="O2" t="s">
        <v>602</v>
      </c>
      <c r="P2" t="s">
        <v>603</v>
      </c>
      <c r="Q2" t="s">
        <v>604</v>
      </c>
      <c r="R2" t="s">
        <v>605</v>
      </c>
      <c r="S2" t="s">
        <v>519</v>
      </c>
      <c r="T2">
        <v>2</v>
      </c>
      <c r="U2" t="s">
        <v>331</v>
      </c>
      <c r="W2" t="s">
        <v>606</v>
      </c>
      <c r="Y2">
        <v>11.6</v>
      </c>
      <c r="Z2" t="s">
        <v>607</v>
      </c>
      <c r="AO2" t="s">
        <v>309</v>
      </c>
    </row>
    <row r="3" spans="1:62" ht="160">
      <c r="A3" t="s">
        <v>598</v>
      </c>
      <c r="B3" t="s">
        <v>599</v>
      </c>
      <c r="C3" t="s">
        <v>608</v>
      </c>
      <c r="D3" t="s">
        <v>102</v>
      </c>
      <c r="E3">
        <v>2018</v>
      </c>
      <c r="F3">
        <v>1</v>
      </c>
      <c r="G3">
        <v>3</v>
      </c>
      <c r="H3">
        <v>1</v>
      </c>
      <c r="J3">
        <v>1</v>
      </c>
      <c r="K3" t="s">
        <v>609</v>
      </c>
      <c r="L3">
        <v>2025</v>
      </c>
      <c r="M3">
        <v>1</v>
      </c>
      <c r="O3" t="s">
        <v>610</v>
      </c>
      <c r="P3" t="s">
        <v>611</v>
      </c>
      <c r="Q3" t="s">
        <v>612</v>
      </c>
      <c r="R3" s="234" t="s">
        <v>613</v>
      </c>
      <c r="S3" t="s">
        <v>440</v>
      </c>
      <c r="T3">
        <v>3</v>
      </c>
      <c r="U3" t="s">
        <v>331</v>
      </c>
      <c r="W3" t="s">
        <v>606</v>
      </c>
      <c r="Y3">
        <v>12.5</v>
      </c>
      <c r="Z3" t="s">
        <v>614</v>
      </c>
      <c r="AO3" t="s">
        <v>309</v>
      </c>
    </row>
    <row r="4" spans="1:62">
      <c r="A4" t="s">
        <v>598</v>
      </c>
      <c r="B4" t="s">
        <v>599</v>
      </c>
      <c r="C4" t="s">
        <v>608</v>
      </c>
      <c r="D4" t="s">
        <v>102</v>
      </c>
      <c r="E4">
        <v>2018</v>
      </c>
      <c r="F4">
        <v>1</v>
      </c>
      <c r="K4" t="s">
        <v>615</v>
      </c>
      <c r="L4">
        <v>2030</v>
      </c>
      <c r="M4" t="s">
        <v>424</v>
      </c>
      <c r="N4" t="s">
        <v>616</v>
      </c>
      <c r="W4" t="s">
        <v>617</v>
      </c>
      <c r="X4" t="s">
        <v>606</v>
      </c>
      <c r="Y4">
        <v>12.3</v>
      </c>
      <c r="Z4" t="s">
        <v>614</v>
      </c>
      <c r="AA4" t="s">
        <v>197</v>
      </c>
      <c r="AB4" t="s">
        <v>618</v>
      </c>
      <c r="AN4" t="s">
        <v>310</v>
      </c>
      <c r="AO4" t="s">
        <v>309</v>
      </c>
    </row>
    <row r="5" spans="1:62">
      <c r="A5" t="s">
        <v>598</v>
      </c>
      <c r="B5" t="s">
        <v>599</v>
      </c>
      <c r="C5" t="s">
        <v>608</v>
      </c>
      <c r="D5" t="s">
        <v>102</v>
      </c>
      <c r="E5">
        <v>2018</v>
      </c>
      <c r="F5">
        <v>1</v>
      </c>
      <c r="G5">
        <v>3</v>
      </c>
      <c r="H5">
        <v>1</v>
      </c>
      <c r="J5">
        <v>1</v>
      </c>
      <c r="K5" t="s">
        <v>619</v>
      </c>
      <c r="L5">
        <v>2025</v>
      </c>
      <c r="M5">
        <v>1</v>
      </c>
      <c r="O5" t="s">
        <v>602</v>
      </c>
      <c r="P5" t="s">
        <v>620</v>
      </c>
      <c r="Q5" t="s">
        <v>621</v>
      </c>
      <c r="R5" t="s">
        <v>622</v>
      </c>
      <c r="S5" t="s">
        <v>303</v>
      </c>
      <c r="T5">
        <v>2</v>
      </c>
      <c r="U5" t="s">
        <v>331</v>
      </c>
      <c r="W5" t="s">
        <v>623</v>
      </c>
      <c r="X5" t="s">
        <v>606</v>
      </c>
      <c r="Y5">
        <v>11.6</v>
      </c>
      <c r="Z5" t="s">
        <v>607</v>
      </c>
      <c r="AA5" t="s">
        <v>197</v>
      </c>
      <c r="AB5" t="s">
        <v>624</v>
      </c>
      <c r="AO5" t="s">
        <v>309</v>
      </c>
    </row>
    <row r="6" spans="1:62" ht="409.6">
      <c r="A6" t="s">
        <v>598</v>
      </c>
      <c r="B6" t="s">
        <v>599</v>
      </c>
      <c r="C6" t="s">
        <v>625</v>
      </c>
      <c r="D6" t="s">
        <v>102</v>
      </c>
      <c r="E6">
        <v>2012</v>
      </c>
      <c r="F6">
        <v>1</v>
      </c>
      <c r="G6">
        <v>2</v>
      </c>
      <c r="H6">
        <v>1</v>
      </c>
      <c r="K6" s="234" t="s">
        <v>626</v>
      </c>
      <c r="M6">
        <v>1</v>
      </c>
      <c r="N6" t="s">
        <v>627</v>
      </c>
      <c r="O6" t="s">
        <v>602</v>
      </c>
      <c r="U6" t="s">
        <v>331</v>
      </c>
      <c r="W6" t="s">
        <v>628</v>
      </c>
      <c r="X6" t="s">
        <v>623</v>
      </c>
      <c r="Y6">
        <v>12.5</v>
      </c>
      <c r="Z6" t="s">
        <v>614</v>
      </c>
      <c r="AA6" t="s">
        <v>197</v>
      </c>
      <c r="AB6" t="s">
        <v>629</v>
      </c>
      <c r="AO6" t="s">
        <v>309</v>
      </c>
    </row>
    <row r="7" spans="1:62" ht="409.6">
      <c r="A7" t="s">
        <v>598</v>
      </c>
      <c r="B7" t="s">
        <v>599</v>
      </c>
      <c r="C7" t="s">
        <v>625</v>
      </c>
      <c r="D7" t="s">
        <v>102</v>
      </c>
      <c r="E7">
        <v>2012</v>
      </c>
      <c r="F7">
        <v>1</v>
      </c>
      <c r="G7">
        <v>2</v>
      </c>
      <c r="H7">
        <v>1</v>
      </c>
      <c r="K7" s="234" t="s">
        <v>630</v>
      </c>
      <c r="M7">
        <v>1</v>
      </c>
      <c r="O7" t="s">
        <v>602</v>
      </c>
      <c r="U7" t="s">
        <v>331</v>
      </c>
      <c r="W7" t="s">
        <v>628</v>
      </c>
      <c r="X7" t="s">
        <v>623</v>
      </c>
      <c r="Y7">
        <v>12.5</v>
      </c>
      <c r="Z7" t="s">
        <v>614</v>
      </c>
      <c r="AA7" t="s">
        <v>197</v>
      </c>
      <c r="AB7" t="s">
        <v>629</v>
      </c>
      <c r="AO7" t="s">
        <v>309</v>
      </c>
    </row>
    <row r="8" spans="1:62" ht="409.6">
      <c r="A8" t="s">
        <v>598</v>
      </c>
      <c r="B8" t="s">
        <v>599</v>
      </c>
      <c r="C8" t="s">
        <v>625</v>
      </c>
      <c r="D8" t="s">
        <v>102</v>
      </c>
      <c r="E8">
        <v>2012</v>
      </c>
      <c r="F8">
        <v>1</v>
      </c>
      <c r="G8">
        <v>2</v>
      </c>
      <c r="H8">
        <v>1</v>
      </c>
      <c r="K8" s="234" t="s">
        <v>631</v>
      </c>
      <c r="M8">
        <v>1</v>
      </c>
      <c r="O8" t="s">
        <v>602</v>
      </c>
      <c r="U8" t="s">
        <v>331</v>
      </c>
      <c r="W8" t="s">
        <v>628</v>
      </c>
      <c r="X8" t="s">
        <v>623</v>
      </c>
      <c r="Y8">
        <v>12.5</v>
      </c>
      <c r="Z8" t="s">
        <v>614</v>
      </c>
      <c r="AA8" t="s">
        <v>197</v>
      </c>
      <c r="AB8" t="s">
        <v>629</v>
      </c>
      <c r="AO8" t="s">
        <v>309</v>
      </c>
    </row>
    <row r="9" spans="1:62">
      <c r="A9" t="s">
        <v>598</v>
      </c>
      <c r="B9" t="s">
        <v>599</v>
      </c>
      <c r="C9" t="s">
        <v>625</v>
      </c>
      <c r="D9" t="s">
        <v>102</v>
      </c>
      <c r="E9">
        <v>2012</v>
      </c>
      <c r="F9">
        <v>1</v>
      </c>
      <c r="G9">
        <v>2</v>
      </c>
      <c r="H9">
        <v>1</v>
      </c>
      <c r="K9" t="s">
        <v>632</v>
      </c>
      <c r="M9">
        <v>1</v>
      </c>
      <c r="O9" t="s">
        <v>602</v>
      </c>
      <c r="U9" t="s">
        <v>331</v>
      </c>
      <c r="W9" t="s">
        <v>628</v>
      </c>
      <c r="X9" t="s">
        <v>623</v>
      </c>
      <c r="Y9">
        <v>12.5</v>
      </c>
      <c r="Z9" t="s">
        <v>614</v>
      </c>
      <c r="AA9" t="s">
        <v>197</v>
      </c>
      <c r="AB9" t="s">
        <v>633</v>
      </c>
    </row>
    <row r="10" spans="1:62">
      <c r="A10" t="s">
        <v>598</v>
      </c>
      <c r="B10" t="s">
        <v>599</v>
      </c>
      <c r="C10" t="s">
        <v>634</v>
      </c>
      <c r="D10" t="s">
        <v>102</v>
      </c>
      <c r="E10">
        <v>2019</v>
      </c>
      <c r="F10">
        <v>1</v>
      </c>
      <c r="G10">
        <v>3</v>
      </c>
      <c r="H10">
        <v>1</v>
      </c>
      <c r="J10">
        <v>1</v>
      </c>
      <c r="K10" t="s">
        <v>635</v>
      </c>
      <c r="L10">
        <v>2029</v>
      </c>
      <c r="M10">
        <v>1</v>
      </c>
      <c r="O10" t="s">
        <v>636</v>
      </c>
      <c r="P10" t="s">
        <v>637</v>
      </c>
      <c r="Q10" t="s">
        <v>638</v>
      </c>
      <c r="R10" t="s">
        <v>639</v>
      </c>
      <c r="S10" t="s">
        <v>363</v>
      </c>
      <c r="T10">
        <v>2</v>
      </c>
      <c r="U10" t="s">
        <v>331</v>
      </c>
      <c r="W10" t="s">
        <v>640</v>
      </c>
      <c r="X10" t="s">
        <v>623</v>
      </c>
      <c r="Y10">
        <v>12.5</v>
      </c>
      <c r="Z10" t="s">
        <v>614</v>
      </c>
      <c r="AO10" t="s">
        <v>309</v>
      </c>
    </row>
    <row r="11" spans="1:62">
      <c r="A11" t="s">
        <v>598</v>
      </c>
      <c r="B11" t="s">
        <v>599</v>
      </c>
      <c r="C11" t="s">
        <v>634</v>
      </c>
      <c r="D11" t="s">
        <v>102</v>
      </c>
      <c r="E11">
        <v>2019</v>
      </c>
      <c r="F11">
        <v>1</v>
      </c>
      <c r="G11">
        <v>3</v>
      </c>
      <c r="H11">
        <v>1</v>
      </c>
      <c r="J11">
        <v>1</v>
      </c>
      <c r="K11" t="s">
        <v>641</v>
      </c>
      <c r="L11">
        <v>2030</v>
      </c>
      <c r="M11">
        <v>1</v>
      </c>
      <c r="O11" t="s">
        <v>636</v>
      </c>
      <c r="P11" t="s">
        <v>642</v>
      </c>
      <c r="Q11" t="s">
        <v>643</v>
      </c>
      <c r="R11" t="s">
        <v>644</v>
      </c>
      <c r="S11" t="s">
        <v>303</v>
      </c>
      <c r="T11">
        <v>2</v>
      </c>
      <c r="U11" t="s">
        <v>331</v>
      </c>
      <c r="W11" t="s">
        <v>640</v>
      </c>
      <c r="X11" t="s">
        <v>623</v>
      </c>
      <c r="Y11">
        <v>12.5</v>
      </c>
      <c r="Z11" t="s">
        <v>614</v>
      </c>
      <c r="AO11" t="s">
        <v>309</v>
      </c>
    </row>
    <row r="12" spans="1:62">
      <c r="A12" t="s">
        <v>598</v>
      </c>
      <c r="B12" t="s">
        <v>599</v>
      </c>
      <c r="C12" t="s">
        <v>645</v>
      </c>
      <c r="D12" t="s">
        <v>321</v>
      </c>
      <c r="E12">
        <v>2022</v>
      </c>
      <c r="F12">
        <v>0</v>
      </c>
      <c r="AO12" t="s">
        <v>309</v>
      </c>
    </row>
    <row r="13" spans="1:62">
      <c r="A13" t="s">
        <v>598</v>
      </c>
      <c r="B13" t="s">
        <v>599</v>
      </c>
      <c r="C13" t="s">
        <v>646</v>
      </c>
      <c r="D13" t="s">
        <v>110</v>
      </c>
      <c r="E13">
        <v>2022</v>
      </c>
      <c r="F13">
        <v>0</v>
      </c>
      <c r="G13">
        <v>2</v>
      </c>
      <c r="H13">
        <v>0</v>
      </c>
      <c r="I13">
        <v>1</v>
      </c>
      <c r="J13">
        <v>1</v>
      </c>
      <c r="K13" t="s">
        <v>647</v>
      </c>
      <c r="L13">
        <v>2030</v>
      </c>
      <c r="M13">
        <v>1</v>
      </c>
      <c r="O13" t="s">
        <v>648</v>
      </c>
      <c r="P13" t="s">
        <v>649</v>
      </c>
      <c r="Q13" t="s">
        <v>650</v>
      </c>
      <c r="R13" t="s">
        <v>651</v>
      </c>
      <c r="S13" t="s">
        <v>363</v>
      </c>
      <c r="T13">
        <v>3</v>
      </c>
      <c r="U13" t="s">
        <v>331</v>
      </c>
      <c r="W13" t="s">
        <v>623</v>
      </c>
      <c r="X13" t="s">
        <v>606</v>
      </c>
      <c r="Y13">
        <v>12.5</v>
      </c>
      <c r="Z13" t="s">
        <v>614</v>
      </c>
      <c r="AO13" t="s">
        <v>309</v>
      </c>
    </row>
    <row r="14" spans="1:62">
      <c r="A14" t="s">
        <v>598</v>
      </c>
      <c r="B14" t="s">
        <v>599</v>
      </c>
      <c r="C14" t="s">
        <v>646</v>
      </c>
      <c r="D14" t="s">
        <v>110</v>
      </c>
      <c r="E14">
        <v>2022</v>
      </c>
      <c r="F14">
        <v>0</v>
      </c>
      <c r="G14">
        <v>2</v>
      </c>
      <c r="H14">
        <v>0</v>
      </c>
      <c r="I14">
        <v>1</v>
      </c>
      <c r="J14">
        <v>1</v>
      </c>
      <c r="K14" t="s">
        <v>652</v>
      </c>
      <c r="L14">
        <v>2030</v>
      </c>
      <c r="M14">
        <v>1</v>
      </c>
      <c r="O14" t="s">
        <v>648</v>
      </c>
      <c r="P14" t="s">
        <v>653</v>
      </c>
      <c r="Q14" t="s">
        <v>654</v>
      </c>
      <c r="R14" t="s">
        <v>655</v>
      </c>
      <c r="S14" t="s">
        <v>363</v>
      </c>
      <c r="T14">
        <v>3</v>
      </c>
      <c r="U14" t="s">
        <v>331</v>
      </c>
      <c r="W14" t="s">
        <v>623</v>
      </c>
      <c r="X14" t="s">
        <v>606</v>
      </c>
      <c r="Y14">
        <v>12.5</v>
      </c>
      <c r="Z14" t="s">
        <v>614</v>
      </c>
      <c r="AO14" t="s">
        <v>309</v>
      </c>
    </row>
    <row r="15" spans="1:62">
      <c r="A15" t="s">
        <v>598</v>
      </c>
      <c r="B15" t="s">
        <v>599</v>
      </c>
      <c r="C15" t="s">
        <v>646</v>
      </c>
      <c r="D15" t="s">
        <v>110</v>
      </c>
      <c r="E15">
        <v>2022</v>
      </c>
      <c r="F15">
        <v>0</v>
      </c>
      <c r="G15">
        <v>2</v>
      </c>
      <c r="H15">
        <v>0</v>
      </c>
      <c r="I15">
        <v>1</v>
      </c>
      <c r="J15">
        <v>1</v>
      </c>
      <c r="K15" t="s">
        <v>656</v>
      </c>
      <c r="L15">
        <v>2030</v>
      </c>
      <c r="M15">
        <v>1</v>
      </c>
      <c r="O15" t="s">
        <v>648</v>
      </c>
      <c r="P15" t="s">
        <v>657</v>
      </c>
      <c r="Q15" t="s">
        <v>658</v>
      </c>
      <c r="R15" t="s">
        <v>659</v>
      </c>
      <c r="S15" t="s">
        <v>363</v>
      </c>
      <c r="T15">
        <v>3</v>
      </c>
      <c r="U15" t="s">
        <v>331</v>
      </c>
      <c r="W15" t="s">
        <v>623</v>
      </c>
      <c r="X15" t="s">
        <v>606</v>
      </c>
      <c r="Y15">
        <v>12.5</v>
      </c>
      <c r="Z15" t="s">
        <v>614</v>
      </c>
      <c r="AO15" t="s">
        <v>309</v>
      </c>
    </row>
    <row r="16" spans="1:62">
      <c r="A16" t="s">
        <v>598</v>
      </c>
      <c r="B16" t="s">
        <v>599</v>
      </c>
      <c r="C16" t="s">
        <v>646</v>
      </c>
      <c r="D16" t="s">
        <v>110</v>
      </c>
      <c r="E16">
        <v>2022</v>
      </c>
      <c r="F16">
        <v>0</v>
      </c>
      <c r="G16">
        <v>2</v>
      </c>
      <c r="H16">
        <v>0</v>
      </c>
      <c r="I16">
        <v>1</v>
      </c>
      <c r="J16">
        <v>1</v>
      </c>
      <c r="K16" t="s">
        <v>660</v>
      </c>
      <c r="L16">
        <v>2030</v>
      </c>
      <c r="M16">
        <v>1</v>
      </c>
      <c r="O16" t="s">
        <v>648</v>
      </c>
      <c r="P16" t="s">
        <v>661</v>
      </c>
      <c r="Q16" t="s">
        <v>662</v>
      </c>
      <c r="R16" t="s">
        <v>663</v>
      </c>
      <c r="S16" t="s">
        <v>363</v>
      </c>
      <c r="T16">
        <v>3</v>
      </c>
      <c r="U16" t="s">
        <v>331</v>
      </c>
      <c r="W16" t="s">
        <v>623</v>
      </c>
      <c r="X16" t="s">
        <v>606</v>
      </c>
      <c r="Y16">
        <v>12.5</v>
      </c>
      <c r="Z16" t="s">
        <v>614</v>
      </c>
      <c r="AO16" t="s">
        <v>309</v>
      </c>
    </row>
    <row r="17" spans="1:41">
      <c r="A17" t="s">
        <v>598</v>
      </c>
      <c r="B17" t="s">
        <v>599</v>
      </c>
      <c r="C17" t="s">
        <v>646</v>
      </c>
      <c r="D17" t="s">
        <v>110</v>
      </c>
      <c r="E17">
        <v>2022</v>
      </c>
      <c r="F17">
        <v>0</v>
      </c>
      <c r="G17">
        <v>2</v>
      </c>
      <c r="H17">
        <v>0</v>
      </c>
      <c r="I17">
        <v>1</v>
      </c>
      <c r="J17">
        <v>1</v>
      </c>
      <c r="K17" t="s">
        <v>664</v>
      </c>
      <c r="L17">
        <v>2030</v>
      </c>
      <c r="M17">
        <v>1</v>
      </c>
      <c r="O17" t="s">
        <v>648</v>
      </c>
      <c r="P17" t="s">
        <v>665</v>
      </c>
      <c r="Q17" t="s">
        <v>643</v>
      </c>
      <c r="R17" t="s">
        <v>666</v>
      </c>
      <c r="S17" t="s">
        <v>363</v>
      </c>
      <c r="T17">
        <v>3</v>
      </c>
      <c r="U17" t="s">
        <v>331</v>
      </c>
      <c r="W17" t="s">
        <v>623</v>
      </c>
      <c r="X17" t="s">
        <v>606</v>
      </c>
      <c r="Y17">
        <v>12.5</v>
      </c>
      <c r="Z17" t="s">
        <v>614</v>
      </c>
      <c r="AO17" t="s">
        <v>309</v>
      </c>
    </row>
    <row r="18" spans="1:41">
      <c r="A18" t="s">
        <v>598</v>
      </c>
      <c r="B18" t="s">
        <v>599</v>
      </c>
      <c r="C18" t="s">
        <v>646</v>
      </c>
      <c r="D18" t="s">
        <v>110</v>
      </c>
      <c r="E18">
        <v>2022</v>
      </c>
      <c r="F18">
        <v>0</v>
      </c>
      <c r="G18">
        <v>2</v>
      </c>
      <c r="H18">
        <v>0</v>
      </c>
      <c r="I18">
        <v>1</v>
      </c>
      <c r="J18">
        <v>1</v>
      </c>
      <c r="K18" t="s">
        <v>667</v>
      </c>
      <c r="L18">
        <v>2030</v>
      </c>
      <c r="M18">
        <v>1</v>
      </c>
      <c r="O18" t="s">
        <v>648</v>
      </c>
      <c r="P18" t="s">
        <v>668</v>
      </c>
      <c r="Q18" t="s">
        <v>669</v>
      </c>
      <c r="R18" t="s">
        <v>670</v>
      </c>
      <c r="S18" t="s">
        <v>519</v>
      </c>
      <c r="T18">
        <v>2</v>
      </c>
      <c r="U18" t="s">
        <v>331</v>
      </c>
      <c r="W18" t="s">
        <v>640</v>
      </c>
      <c r="X18" t="s">
        <v>623</v>
      </c>
      <c r="Y18">
        <v>12.5</v>
      </c>
      <c r="Z18" t="s">
        <v>614</v>
      </c>
      <c r="AO18" t="s">
        <v>309</v>
      </c>
    </row>
    <row r="19" spans="1:41">
      <c r="A19" t="s">
        <v>598</v>
      </c>
      <c r="B19" t="s">
        <v>599</v>
      </c>
      <c r="C19" t="s">
        <v>646</v>
      </c>
      <c r="D19" t="s">
        <v>110</v>
      </c>
      <c r="E19">
        <v>2022</v>
      </c>
      <c r="F19">
        <v>0</v>
      </c>
      <c r="G19">
        <v>2</v>
      </c>
      <c r="H19">
        <v>0</v>
      </c>
      <c r="I19">
        <v>1</v>
      </c>
      <c r="J19">
        <v>1</v>
      </c>
      <c r="K19" t="s">
        <v>671</v>
      </c>
      <c r="L19">
        <v>2030</v>
      </c>
      <c r="M19">
        <v>1</v>
      </c>
      <c r="O19" t="s">
        <v>648</v>
      </c>
      <c r="P19" t="s">
        <v>672</v>
      </c>
      <c r="Q19" t="s">
        <v>673</v>
      </c>
      <c r="R19" t="s">
        <v>674</v>
      </c>
      <c r="S19" t="s">
        <v>363</v>
      </c>
      <c r="T19">
        <v>2</v>
      </c>
      <c r="U19" t="s">
        <v>331</v>
      </c>
      <c r="W19" t="s">
        <v>606</v>
      </c>
      <c r="X19" t="s">
        <v>623</v>
      </c>
      <c r="Y19">
        <v>12.5</v>
      </c>
      <c r="Z19" t="s">
        <v>614</v>
      </c>
      <c r="AA19" t="s">
        <v>197</v>
      </c>
      <c r="AB19" t="s">
        <v>675</v>
      </c>
      <c r="AO19" t="s">
        <v>309</v>
      </c>
    </row>
    <row r="20" spans="1:41">
      <c r="A20" t="s">
        <v>598</v>
      </c>
      <c r="B20" t="s">
        <v>599</v>
      </c>
      <c r="C20" t="s">
        <v>646</v>
      </c>
      <c r="D20" t="s">
        <v>110</v>
      </c>
      <c r="E20">
        <v>2022</v>
      </c>
      <c r="F20">
        <v>0</v>
      </c>
      <c r="G20">
        <v>2</v>
      </c>
      <c r="H20">
        <v>0</v>
      </c>
      <c r="I20">
        <v>1</v>
      </c>
      <c r="J20">
        <v>1</v>
      </c>
      <c r="K20" t="s">
        <v>676</v>
      </c>
      <c r="L20">
        <v>2030</v>
      </c>
      <c r="M20">
        <v>1</v>
      </c>
      <c r="O20" t="s">
        <v>648</v>
      </c>
      <c r="P20" t="s">
        <v>677</v>
      </c>
      <c r="Q20" t="s">
        <v>678</v>
      </c>
      <c r="R20" t="s">
        <v>679</v>
      </c>
      <c r="S20" t="s">
        <v>356</v>
      </c>
      <c r="T20">
        <v>1</v>
      </c>
      <c r="U20" t="s">
        <v>331</v>
      </c>
      <c r="W20" t="s">
        <v>606</v>
      </c>
      <c r="X20" t="s">
        <v>623</v>
      </c>
      <c r="Y20">
        <v>12.5</v>
      </c>
      <c r="Z20" t="s">
        <v>614</v>
      </c>
      <c r="AO20" t="s">
        <v>309</v>
      </c>
    </row>
    <row r="21" spans="1:41">
      <c r="A21" t="s">
        <v>598</v>
      </c>
      <c r="B21" t="s">
        <v>599</v>
      </c>
      <c r="C21" t="s">
        <v>646</v>
      </c>
      <c r="D21" t="s">
        <v>110</v>
      </c>
      <c r="E21">
        <v>2022</v>
      </c>
      <c r="F21">
        <v>0</v>
      </c>
      <c r="G21">
        <v>2</v>
      </c>
      <c r="H21">
        <v>0</v>
      </c>
      <c r="I21">
        <v>1</v>
      </c>
      <c r="J21">
        <v>1</v>
      </c>
      <c r="K21" t="s">
        <v>680</v>
      </c>
      <c r="L21">
        <v>2025</v>
      </c>
      <c r="M21">
        <v>1</v>
      </c>
      <c r="O21" t="s">
        <v>636</v>
      </c>
      <c r="P21" t="s">
        <v>681</v>
      </c>
      <c r="Q21" t="s">
        <v>682</v>
      </c>
      <c r="R21" t="s">
        <v>683</v>
      </c>
      <c r="S21" t="s">
        <v>363</v>
      </c>
      <c r="T21">
        <v>2</v>
      </c>
      <c r="U21" t="s">
        <v>331</v>
      </c>
      <c r="W21" t="s">
        <v>640</v>
      </c>
      <c r="Y21">
        <v>12.5</v>
      </c>
      <c r="Z21" t="s">
        <v>614</v>
      </c>
      <c r="AA21" t="s">
        <v>197</v>
      </c>
      <c r="AB21" t="s">
        <v>684</v>
      </c>
      <c r="AO21" t="s">
        <v>309</v>
      </c>
    </row>
    <row r="22" spans="1:41" ht="409.6">
      <c r="A22" t="s">
        <v>598</v>
      </c>
      <c r="B22" t="s">
        <v>599</v>
      </c>
      <c r="C22" t="s">
        <v>646</v>
      </c>
      <c r="D22" t="s">
        <v>110</v>
      </c>
      <c r="E22">
        <v>2022</v>
      </c>
      <c r="F22">
        <v>0</v>
      </c>
      <c r="G22">
        <v>2</v>
      </c>
      <c r="H22">
        <v>0</v>
      </c>
      <c r="I22">
        <v>1</v>
      </c>
      <c r="J22">
        <v>1</v>
      </c>
      <c r="K22" s="234" t="s">
        <v>685</v>
      </c>
      <c r="L22">
        <v>2030</v>
      </c>
      <c r="M22">
        <v>1</v>
      </c>
      <c r="N22" t="s">
        <v>686</v>
      </c>
      <c r="O22" t="s">
        <v>636</v>
      </c>
      <c r="R22" t="s">
        <v>687</v>
      </c>
      <c r="S22" t="s">
        <v>303</v>
      </c>
      <c r="T22">
        <v>2</v>
      </c>
      <c r="U22" t="s">
        <v>331</v>
      </c>
      <c r="W22" t="s">
        <v>640</v>
      </c>
      <c r="X22" t="s">
        <v>623</v>
      </c>
      <c r="Y22">
        <v>12.5</v>
      </c>
      <c r="Z22" t="s">
        <v>614</v>
      </c>
      <c r="AO22" t="s">
        <v>309</v>
      </c>
    </row>
    <row r="23" spans="1:41">
      <c r="A23" t="s">
        <v>598</v>
      </c>
      <c r="B23" t="s">
        <v>599</v>
      </c>
      <c r="C23" t="s">
        <v>646</v>
      </c>
      <c r="D23" t="s">
        <v>110</v>
      </c>
      <c r="E23">
        <v>2022</v>
      </c>
      <c r="F23">
        <v>0</v>
      </c>
      <c r="G23">
        <v>2</v>
      </c>
      <c r="H23">
        <v>0</v>
      </c>
      <c r="I23">
        <v>1</v>
      </c>
      <c r="J23">
        <v>1</v>
      </c>
      <c r="K23" t="s">
        <v>688</v>
      </c>
      <c r="L23">
        <v>2030</v>
      </c>
      <c r="M23">
        <v>1</v>
      </c>
      <c r="N23" t="s">
        <v>689</v>
      </c>
      <c r="O23" t="s">
        <v>636</v>
      </c>
      <c r="P23" t="s">
        <v>690</v>
      </c>
      <c r="Q23" t="s">
        <v>691</v>
      </c>
      <c r="R23" t="s">
        <v>692</v>
      </c>
      <c r="T23">
        <v>0</v>
      </c>
      <c r="U23" t="s">
        <v>331</v>
      </c>
      <c r="W23" t="s">
        <v>623</v>
      </c>
      <c r="Y23">
        <v>12.5</v>
      </c>
      <c r="Z23" t="s">
        <v>614</v>
      </c>
      <c r="AA23" t="s">
        <v>197</v>
      </c>
      <c r="AB23" t="s">
        <v>675</v>
      </c>
      <c r="AO23" t="s">
        <v>309</v>
      </c>
    </row>
    <row r="24" spans="1:41">
      <c r="A24" t="s">
        <v>598</v>
      </c>
      <c r="B24" t="s">
        <v>599</v>
      </c>
      <c r="C24" t="s">
        <v>693</v>
      </c>
      <c r="D24" t="s">
        <v>110</v>
      </c>
      <c r="E24">
        <v>2023</v>
      </c>
      <c r="F24">
        <v>0</v>
      </c>
      <c r="M24" t="s">
        <v>424</v>
      </c>
    </row>
    <row r="25" spans="1:41" ht="272">
      <c r="A25" t="s">
        <v>598</v>
      </c>
      <c r="B25" t="s">
        <v>599</v>
      </c>
      <c r="C25" t="s">
        <v>608</v>
      </c>
      <c r="D25" t="s">
        <v>101</v>
      </c>
      <c r="E25">
        <v>2023</v>
      </c>
      <c r="F25">
        <v>0</v>
      </c>
      <c r="G25">
        <v>2</v>
      </c>
      <c r="H25">
        <v>0</v>
      </c>
      <c r="I25">
        <v>1</v>
      </c>
      <c r="J25">
        <v>1</v>
      </c>
      <c r="K25" t="s">
        <v>694</v>
      </c>
      <c r="L25">
        <v>2030</v>
      </c>
      <c r="M25">
        <v>1</v>
      </c>
      <c r="N25" s="234" t="s">
        <v>695</v>
      </c>
      <c r="O25" t="s">
        <v>696</v>
      </c>
      <c r="P25" t="s">
        <v>697</v>
      </c>
      <c r="Q25" t="s">
        <v>698</v>
      </c>
      <c r="R25" t="s">
        <v>699</v>
      </c>
      <c r="S25" t="s">
        <v>519</v>
      </c>
      <c r="T25">
        <v>2</v>
      </c>
      <c r="U25" t="s">
        <v>700</v>
      </c>
      <c r="V25" t="s">
        <v>701</v>
      </c>
      <c r="W25" t="s">
        <v>606</v>
      </c>
      <c r="X25" t="s">
        <v>617</v>
      </c>
      <c r="Y25">
        <v>12.3</v>
      </c>
      <c r="Z25" t="s">
        <v>614</v>
      </c>
      <c r="AA25" t="s">
        <v>702</v>
      </c>
      <c r="AB25" t="s">
        <v>618</v>
      </c>
    </row>
    <row r="26" spans="1:41" ht="208">
      <c r="A26" t="s">
        <v>598</v>
      </c>
      <c r="B26" t="s">
        <v>599</v>
      </c>
      <c r="C26" t="s">
        <v>608</v>
      </c>
      <c r="D26" t="s">
        <v>101</v>
      </c>
      <c r="E26">
        <v>2023</v>
      </c>
      <c r="F26">
        <v>0</v>
      </c>
      <c r="G26">
        <v>2</v>
      </c>
      <c r="H26">
        <v>0</v>
      </c>
      <c r="I26">
        <v>1</v>
      </c>
      <c r="J26">
        <v>1</v>
      </c>
      <c r="K26" t="s">
        <v>703</v>
      </c>
      <c r="L26">
        <v>2030</v>
      </c>
      <c r="M26">
        <v>1</v>
      </c>
      <c r="N26" s="234" t="s">
        <v>704</v>
      </c>
      <c r="O26" t="s">
        <v>696</v>
      </c>
      <c r="P26" t="s">
        <v>697</v>
      </c>
      <c r="Q26" t="s">
        <v>705</v>
      </c>
      <c r="R26" t="s">
        <v>699</v>
      </c>
      <c r="S26" t="s">
        <v>519</v>
      </c>
      <c r="T26">
        <v>2</v>
      </c>
      <c r="U26" t="s">
        <v>700</v>
      </c>
      <c r="V26" t="s">
        <v>701</v>
      </c>
      <c r="W26" t="s">
        <v>606</v>
      </c>
      <c r="X26" t="s">
        <v>617</v>
      </c>
      <c r="Y26">
        <v>12.3</v>
      </c>
      <c r="Z26" t="s">
        <v>614</v>
      </c>
      <c r="AA26" t="s">
        <v>702</v>
      </c>
      <c r="AB26" t="s">
        <v>618</v>
      </c>
    </row>
    <row r="27" spans="1:41" ht="350">
      <c r="A27" t="s">
        <v>598</v>
      </c>
      <c r="B27" t="s">
        <v>706</v>
      </c>
      <c r="C27" t="s">
        <v>707</v>
      </c>
      <c r="D27" t="s">
        <v>298</v>
      </c>
      <c r="E27">
        <v>2023</v>
      </c>
      <c r="F27">
        <v>1</v>
      </c>
      <c r="G27">
        <v>3</v>
      </c>
      <c r="H27">
        <v>1</v>
      </c>
      <c r="J27">
        <v>1</v>
      </c>
      <c r="K27" s="234" t="s">
        <v>708</v>
      </c>
      <c r="L27">
        <v>2027</v>
      </c>
      <c r="M27">
        <v>1</v>
      </c>
      <c r="O27" t="s">
        <v>709</v>
      </c>
      <c r="R27" t="s">
        <v>710</v>
      </c>
      <c r="T27">
        <v>2</v>
      </c>
      <c r="U27" t="s">
        <v>331</v>
      </c>
      <c r="W27" t="s">
        <v>711</v>
      </c>
      <c r="X27" t="s">
        <v>623</v>
      </c>
      <c r="Y27">
        <v>12.5</v>
      </c>
      <c r="Z27" t="s">
        <v>614</v>
      </c>
    </row>
    <row r="28" spans="1:41" ht="409.6">
      <c r="A28" t="s">
        <v>598</v>
      </c>
      <c r="B28" t="s">
        <v>706</v>
      </c>
      <c r="C28" t="s">
        <v>707</v>
      </c>
      <c r="D28" t="s">
        <v>298</v>
      </c>
      <c r="E28">
        <v>2023</v>
      </c>
      <c r="F28">
        <v>1</v>
      </c>
      <c r="G28">
        <v>3</v>
      </c>
      <c r="H28">
        <v>1</v>
      </c>
      <c r="J28">
        <v>1</v>
      </c>
      <c r="K28" s="234" t="s">
        <v>712</v>
      </c>
      <c r="L28">
        <v>2027</v>
      </c>
      <c r="M28">
        <v>1</v>
      </c>
      <c r="N28" t="s">
        <v>713</v>
      </c>
      <c r="O28" t="s">
        <v>709</v>
      </c>
      <c r="R28" t="s">
        <v>714</v>
      </c>
      <c r="T28">
        <v>3</v>
      </c>
      <c r="U28" t="s">
        <v>331</v>
      </c>
      <c r="W28" t="s">
        <v>711</v>
      </c>
      <c r="X28" t="s">
        <v>623</v>
      </c>
      <c r="Y28">
        <v>12.5</v>
      </c>
      <c r="Z28" t="s">
        <v>614</v>
      </c>
    </row>
    <row r="29" spans="1:41" ht="409.6">
      <c r="A29" t="s">
        <v>598</v>
      </c>
      <c r="B29" t="s">
        <v>706</v>
      </c>
      <c r="C29" t="s">
        <v>707</v>
      </c>
      <c r="D29" t="s">
        <v>298</v>
      </c>
      <c r="E29">
        <v>2023</v>
      </c>
      <c r="F29">
        <v>1</v>
      </c>
      <c r="G29">
        <v>3</v>
      </c>
      <c r="H29">
        <v>1</v>
      </c>
      <c r="J29">
        <v>1</v>
      </c>
      <c r="K29" s="234" t="s">
        <v>715</v>
      </c>
      <c r="L29">
        <v>2030</v>
      </c>
      <c r="M29">
        <v>1</v>
      </c>
      <c r="O29" t="s">
        <v>709</v>
      </c>
      <c r="R29" t="s">
        <v>716</v>
      </c>
      <c r="T29">
        <v>2</v>
      </c>
      <c r="U29" t="s">
        <v>331</v>
      </c>
      <c r="W29" t="s">
        <v>711</v>
      </c>
      <c r="X29" t="s">
        <v>623</v>
      </c>
      <c r="Y29">
        <v>12.5</v>
      </c>
      <c r="Z29" t="s">
        <v>614</v>
      </c>
    </row>
    <row r="30" spans="1:41" ht="409.6">
      <c r="A30" t="s">
        <v>598</v>
      </c>
      <c r="B30" t="s">
        <v>706</v>
      </c>
      <c r="C30" t="s">
        <v>707</v>
      </c>
      <c r="D30" t="s">
        <v>298</v>
      </c>
      <c r="E30">
        <v>2023</v>
      </c>
      <c r="F30">
        <v>1</v>
      </c>
      <c r="G30">
        <v>3</v>
      </c>
      <c r="H30">
        <v>1</v>
      </c>
      <c r="J30">
        <v>1</v>
      </c>
      <c r="K30" s="234" t="s">
        <v>717</v>
      </c>
      <c r="L30">
        <v>2030</v>
      </c>
      <c r="M30">
        <v>1</v>
      </c>
      <c r="N30" t="s">
        <v>718</v>
      </c>
      <c r="O30" t="s">
        <v>709</v>
      </c>
      <c r="R30" s="234" t="s">
        <v>719</v>
      </c>
      <c r="T30">
        <v>3</v>
      </c>
      <c r="U30" t="s">
        <v>331</v>
      </c>
      <c r="W30" t="s">
        <v>711</v>
      </c>
      <c r="X30" t="s">
        <v>623</v>
      </c>
      <c r="Y30">
        <v>12.5</v>
      </c>
      <c r="Z30" t="s">
        <v>614</v>
      </c>
      <c r="AO30" t="s">
        <v>309</v>
      </c>
    </row>
    <row r="31" spans="1:41" ht="350">
      <c r="A31" t="s">
        <v>598</v>
      </c>
      <c r="B31" t="s">
        <v>706</v>
      </c>
      <c r="C31" t="s">
        <v>707</v>
      </c>
      <c r="D31" t="s">
        <v>298</v>
      </c>
      <c r="E31">
        <v>2023</v>
      </c>
      <c r="F31">
        <v>1</v>
      </c>
      <c r="G31">
        <v>3</v>
      </c>
      <c r="H31">
        <v>1</v>
      </c>
      <c r="J31">
        <v>1</v>
      </c>
      <c r="K31" s="234" t="s">
        <v>720</v>
      </c>
      <c r="L31">
        <v>2027</v>
      </c>
      <c r="M31">
        <v>1</v>
      </c>
      <c r="O31" t="s">
        <v>709</v>
      </c>
      <c r="P31" t="s">
        <v>721</v>
      </c>
      <c r="Q31" t="s">
        <v>722</v>
      </c>
      <c r="R31" t="s">
        <v>723</v>
      </c>
      <c r="T31">
        <v>1</v>
      </c>
      <c r="U31" t="s">
        <v>331</v>
      </c>
      <c r="W31" t="s">
        <v>711</v>
      </c>
      <c r="X31" t="s">
        <v>623</v>
      </c>
      <c r="Y31">
        <v>12.5</v>
      </c>
      <c r="Z31" t="s">
        <v>614</v>
      </c>
    </row>
    <row r="32" spans="1:41" ht="365">
      <c r="A32" t="s">
        <v>598</v>
      </c>
      <c r="B32" t="s">
        <v>706</v>
      </c>
      <c r="C32" t="s">
        <v>707</v>
      </c>
      <c r="D32" t="s">
        <v>298</v>
      </c>
      <c r="E32">
        <v>2023</v>
      </c>
      <c r="F32">
        <v>1</v>
      </c>
      <c r="G32">
        <v>3</v>
      </c>
      <c r="H32">
        <v>1</v>
      </c>
      <c r="J32">
        <v>1</v>
      </c>
      <c r="K32" s="234" t="s">
        <v>724</v>
      </c>
      <c r="L32">
        <v>2031</v>
      </c>
      <c r="M32">
        <v>1</v>
      </c>
      <c r="O32" t="s">
        <v>709</v>
      </c>
      <c r="P32" t="s">
        <v>725</v>
      </c>
      <c r="Q32" t="s">
        <v>726</v>
      </c>
      <c r="R32" t="s">
        <v>727</v>
      </c>
      <c r="T32">
        <v>0</v>
      </c>
      <c r="U32" t="s">
        <v>331</v>
      </c>
      <c r="W32" t="s">
        <v>711</v>
      </c>
      <c r="X32" t="s">
        <v>623</v>
      </c>
      <c r="Y32">
        <v>12.5</v>
      </c>
      <c r="Z32" t="s">
        <v>614</v>
      </c>
    </row>
    <row r="33" spans="1:41">
      <c r="A33" t="s">
        <v>598</v>
      </c>
      <c r="B33" t="s">
        <v>706</v>
      </c>
      <c r="C33" t="s">
        <v>707</v>
      </c>
      <c r="D33" t="s">
        <v>298</v>
      </c>
      <c r="E33">
        <v>2023</v>
      </c>
      <c r="F33">
        <v>1</v>
      </c>
      <c r="G33">
        <v>3</v>
      </c>
      <c r="H33">
        <v>1</v>
      </c>
      <c r="J33">
        <v>1</v>
      </c>
      <c r="K33" t="s">
        <v>728</v>
      </c>
      <c r="L33">
        <v>2028</v>
      </c>
      <c r="M33">
        <v>1</v>
      </c>
      <c r="O33" t="s">
        <v>709</v>
      </c>
      <c r="P33" t="s">
        <v>729</v>
      </c>
      <c r="Q33" t="s">
        <v>730</v>
      </c>
      <c r="R33" t="s">
        <v>731</v>
      </c>
      <c r="T33">
        <v>0</v>
      </c>
      <c r="U33" t="s">
        <v>331</v>
      </c>
      <c r="W33" t="s">
        <v>711</v>
      </c>
      <c r="X33" t="s">
        <v>623</v>
      </c>
      <c r="Y33">
        <v>12.5</v>
      </c>
      <c r="Z33" t="s">
        <v>614</v>
      </c>
    </row>
    <row r="34" spans="1:41" ht="409.6">
      <c r="A34" t="s">
        <v>598</v>
      </c>
      <c r="B34" t="s">
        <v>706</v>
      </c>
      <c r="C34" t="s">
        <v>707</v>
      </c>
      <c r="D34" t="s">
        <v>298</v>
      </c>
      <c r="E34">
        <v>2023</v>
      </c>
      <c r="F34">
        <v>1</v>
      </c>
      <c r="G34">
        <v>3</v>
      </c>
      <c r="H34">
        <v>1</v>
      </c>
      <c r="J34">
        <v>1</v>
      </c>
      <c r="K34" s="234" t="s">
        <v>732</v>
      </c>
      <c r="L34">
        <v>2023</v>
      </c>
      <c r="M34">
        <v>1</v>
      </c>
      <c r="N34" t="s">
        <v>733</v>
      </c>
      <c r="O34" t="s">
        <v>709</v>
      </c>
      <c r="P34" t="s">
        <v>734</v>
      </c>
      <c r="Q34" t="s">
        <v>735</v>
      </c>
      <c r="R34" s="234" t="s">
        <v>736</v>
      </c>
      <c r="T34">
        <v>0</v>
      </c>
      <c r="U34" t="s">
        <v>331</v>
      </c>
      <c r="W34" t="s">
        <v>711</v>
      </c>
      <c r="X34" t="s">
        <v>623</v>
      </c>
      <c r="Y34">
        <v>12.5</v>
      </c>
      <c r="Z34" t="s">
        <v>614</v>
      </c>
      <c r="AO34" t="s">
        <v>309</v>
      </c>
    </row>
    <row r="35" spans="1:41">
      <c r="A35" t="s">
        <v>598</v>
      </c>
      <c r="B35" t="s">
        <v>706</v>
      </c>
      <c r="C35" t="s">
        <v>707</v>
      </c>
      <c r="D35" t="s">
        <v>298</v>
      </c>
      <c r="E35">
        <v>2023</v>
      </c>
      <c r="F35">
        <v>1</v>
      </c>
      <c r="G35">
        <v>3</v>
      </c>
      <c r="H35">
        <v>1</v>
      </c>
      <c r="J35">
        <v>1</v>
      </c>
      <c r="K35" t="s">
        <v>737</v>
      </c>
      <c r="M35">
        <v>1</v>
      </c>
      <c r="O35" t="s">
        <v>709</v>
      </c>
      <c r="R35" t="s">
        <v>738</v>
      </c>
      <c r="T35">
        <v>1</v>
      </c>
      <c r="U35" t="s">
        <v>331</v>
      </c>
      <c r="W35" t="s">
        <v>711</v>
      </c>
      <c r="X35" t="s">
        <v>623</v>
      </c>
      <c r="Y35">
        <v>12.5</v>
      </c>
      <c r="Z35" t="s">
        <v>614</v>
      </c>
    </row>
    <row r="36" spans="1:41">
      <c r="A36" t="s">
        <v>598</v>
      </c>
      <c r="B36" t="s">
        <v>739</v>
      </c>
    </row>
    <row r="37" spans="1:41">
      <c r="A37" t="s">
        <v>598</v>
      </c>
      <c r="B37" t="s">
        <v>740</v>
      </c>
      <c r="C37" t="s">
        <v>741</v>
      </c>
      <c r="D37" t="s">
        <v>321</v>
      </c>
      <c r="E37">
        <v>2023</v>
      </c>
      <c r="F37">
        <v>0</v>
      </c>
    </row>
    <row r="38" spans="1:41">
      <c r="A38" t="s">
        <v>598</v>
      </c>
      <c r="B38" t="s">
        <v>740</v>
      </c>
      <c r="C38" t="s">
        <v>742</v>
      </c>
      <c r="D38" t="s">
        <v>110</v>
      </c>
      <c r="E38">
        <v>2023</v>
      </c>
      <c r="F38">
        <v>0</v>
      </c>
      <c r="G38">
        <v>2</v>
      </c>
      <c r="H38">
        <v>0</v>
      </c>
      <c r="I38">
        <v>1</v>
      </c>
      <c r="J38">
        <v>1</v>
      </c>
      <c r="K38" t="s">
        <v>743</v>
      </c>
      <c r="L38">
        <v>2040</v>
      </c>
      <c r="M38">
        <v>1</v>
      </c>
      <c r="O38" t="s">
        <v>744</v>
      </c>
      <c r="U38" t="s">
        <v>331</v>
      </c>
      <c r="W38" t="s">
        <v>401</v>
      </c>
      <c r="Y38">
        <v>12.2</v>
      </c>
      <c r="Z38" t="s">
        <v>614</v>
      </c>
    </row>
    <row r="39" spans="1:41">
      <c r="A39" t="s">
        <v>598</v>
      </c>
      <c r="B39" t="s">
        <v>740</v>
      </c>
      <c r="C39" t="s">
        <v>745</v>
      </c>
      <c r="D39" t="s">
        <v>110</v>
      </c>
      <c r="E39">
        <v>2023</v>
      </c>
      <c r="F39">
        <v>0</v>
      </c>
      <c r="G39">
        <v>2</v>
      </c>
      <c r="H39">
        <v>0</v>
      </c>
      <c r="I39">
        <v>1</v>
      </c>
      <c r="J39">
        <v>1</v>
      </c>
      <c r="K39" t="s">
        <v>746</v>
      </c>
      <c r="L39">
        <v>2030</v>
      </c>
      <c r="M39">
        <v>1</v>
      </c>
      <c r="O39" t="s">
        <v>744</v>
      </c>
      <c r="P39" t="s">
        <v>747</v>
      </c>
      <c r="Q39">
        <v>0.65</v>
      </c>
      <c r="R39" t="s">
        <v>748</v>
      </c>
      <c r="T39">
        <v>2</v>
      </c>
      <c r="U39" t="s">
        <v>331</v>
      </c>
      <c r="W39" t="s">
        <v>401</v>
      </c>
      <c r="Y39">
        <v>12.2</v>
      </c>
      <c r="Z39" t="s">
        <v>614</v>
      </c>
      <c r="AA39" t="s">
        <v>749</v>
      </c>
    </row>
    <row r="40" spans="1:41" ht="409.6">
      <c r="A40" t="s">
        <v>598</v>
      </c>
      <c r="B40" t="s">
        <v>740</v>
      </c>
      <c r="C40" t="s">
        <v>745</v>
      </c>
      <c r="D40" t="s">
        <v>110</v>
      </c>
      <c r="E40">
        <v>2023</v>
      </c>
      <c r="F40">
        <v>0</v>
      </c>
      <c r="G40">
        <v>2</v>
      </c>
      <c r="H40">
        <v>0</v>
      </c>
      <c r="I40">
        <v>1</v>
      </c>
      <c r="J40">
        <v>1</v>
      </c>
      <c r="K40" t="s">
        <v>750</v>
      </c>
      <c r="L40">
        <v>2030</v>
      </c>
      <c r="M40">
        <v>1</v>
      </c>
      <c r="N40" t="s">
        <v>751</v>
      </c>
      <c r="O40" t="s">
        <v>744</v>
      </c>
      <c r="P40" t="s">
        <v>752</v>
      </c>
      <c r="Q40">
        <v>0.15</v>
      </c>
      <c r="R40" s="234" t="s">
        <v>753</v>
      </c>
      <c r="T40">
        <v>2</v>
      </c>
      <c r="U40" t="s">
        <v>331</v>
      </c>
      <c r="W40" t="s">
        <v>401</v>
      </c>
      <c r="X40" t="s">
        <v>623</v>
      </c>
      <c r="Y40">
        <v>12.2</v>
      </c>
      <c r="Z40" t="s">
        <v>614</v>
      </c>
      <c r="AA40" t="s">
        <v>754</v>
      </c>
      <c r="AB40" t="s">
        <v>755</v>
      </c>
    </row>
    <row r="41" spans="1:41" ht="409.6">
      <c r="A41" t="s">
        <v>598</v>
      </c>
      <c r="B41" t="s">
        <v>740</v>
      </c>
      <c r="C41" t="s">
        <v>745</v>
      </c>
      <c r="D41" t="s">
        <v>110</v>
      </c>
      <c r="E41">
        <v>2023</v>
      </c>
      <c r="F41">
        <v>0</v>
      </c>
      <c r="G41">
        <v>2</v>
      </c>
      <c r="H41">
        <v>0</v>
      </c>
      <c r="I41">
        <v>1</v>
      </c>
      <c r="J41">
        <v>1</v>
      </c>
      <c r="K41" t="s">
        <v>756</v>
      </c>
      <c r="L41">
        <v>2030</v>
      </c>
      <c r="M41">
        <v>1</v>
      </c>
      <c r="N41" t="s">
        <v>757</v>
      </c>
      <c r="O41" t="s">
        <v>744</v>
      </c>
      <c r="P41" t="s">
        <v>758</v>
      </c>
      <c r="Q41">
        <v>0.4</v>
      </c>
      <c r="R41" s="234" t="s">
        <v>759</v>
      </c>
      <c r="T41">
        <v>2</v>
      </c>
      <c r="U41" t="s">
        <v>331</v>
      </c>
      <c r="W41" t="s">
        <v>401</v>
      </c>
      <c r="Y41">
        <v>12.2</v>
      </c>
      <c r="Z41" t="s">
        <v>614</v>
      </c>
      <c r="AA41" t="s">
        <v>754</v>
      </c>
      <c r="AB41" t="s">
        <v>760</v>
      </c>
      <c r="AC41" t="s">
        <v>761</v>
      </c>
    </row>
    <row r="42" spans="1:41" ht="409.6">
      <c r="A42" t="s">
        <v>598</v>
      </c>
      <c r="B42" t="s">
        <v>740</v>
      </c>
      <c r="C42" t="s">
        <v>745</v>
      </c>
      <c r="D42" t="s">
        <v>110</v>
      </c>
      <c r="E42">
        <v>2023</v>
      </c>
      <c r="F42">
        <v>0</v>
      </c>
      <c r="G42">
        <v>2</v>
      </c>
      <c r="H42">
        <v>0</v>
      </c>
      <c r="I42">
        <v>1</v>
      </c>
      <c r="J42">
        <v>1</v>
      </c>
      <c r="K42" t="s">
        <v>762</v>
      </c>
      <c r="L42">
        <v>2030</v>
      </c>
      <c r="M42">
        <v>1</v>
      </c>
      <c r="N42" t="s">
        <v>763</v>
      </c>
      <c r="O42" t="s">
        <v>744</v>
      </c>
      <c r="P42" t="s">
        <v>764</v>
      </c>
      <c r="Q42">
        <v>0.1</v>
      </c>
      <c r="R42" s="234" t="s">
        <v>765</v>
      </c>
      <c r="T42">
        <v>2</v>
      </c>
      <c r="U42" t="s">
        <v>498</v>
      </c>
      <c r="W42" t="s">
        <v>401</v>
      </c>
      <c r="Y42">
        <v>12.2</v>
      </c>
      <c r="Z42" t="s">
        <v>614</v>
      </c>
      <c r="AA42" t="s">
        <v>754</v>
      </c>
      <c r="AB42" t="s">
        <v>760</v>
      </c>
      <c r="AC42" t="s">
        <v>761</v>
      </c>
    </row>
    <row r="43" spans="1:41">
      <c r="A43" t="s">
        <v>598</v>
      </c>
      <c r="B43" t="s">
        <v>740</v>
      </c>
      <c r="C43" t="s">
        <v>766</v>
      </c>
      <c r="D43" t="s">
        <v>321</v>
      </c>
      <c r="E43">
        <v>2020</v>
      </c>
      <c r="F43">
        <v>0</v>
      </c>
      <c r="M43" t="s">
        <v>424</v>
      </c>
    </row>
    <row r="44" spans="1:41">
      <c r="A44" t="s">
        <v>598</v>
      </c>
      <c r="B44" t="s">
        <v>740</v>
      </c>
      <c r="C44" t="s">
        <v>767</v>
      </c>
      <c r="D44" t="s">
        <v>321</v>
      </c>
      <c r="E44">
        <v>2021</v>
      </c>
      <c r="F44">
        <v>0</v>
      </c>
      <c r="M44" t="s">
        <v>424</v>
      </c>
    </row>
    <row r="45" spans="1:41">
      <c r="A45" t="s">
        <v>598</v>
      </c>
      <c r="B45" t="s">
        <v>768</v>
      </c>
      <c r="C45" t="s">
        <v>769</v>
      </c>
      <c r="D45" t="s">
        <v>321</v>
      </c>
      <c r="E45">
        <v>2022</v>
      </c>
      <c r="F45">
        <v>0</v>
      </c>
      <c r="G45">
        <v>0</v>
      </c>
      <c r="H45">
        <v>0</v>
      </c>
      <c r="I45">
        <v>0</v>
      </c>
      <c r="J45">
        <v>1</v>
      </c>
      <c r="K45" t="s">
        <v>770</v>
      </c>
      <c r="L45">
        <v>2030</v>
      </c>
      <c r="M45">
        <v>0</v>
      </c>
      <c r="O45" t="s">
        <v>610</v>
      </c>
      <c r="R45" t="s">
        <v>771</v>
      </c>
      <c r="T45">
        <v>2</v>
      </c>
      <c r="Y45">
        <v>12.5</v>
      </c>
      <c r="Z45" t="s">
        <v>614</v>
      </c>
    </row>
    <row r="46" spans="1:41">
      <c r="A46" t="s">
        <v>598</v>
      </c>
      <c r="B46" t="s">
        <v>768</v>
      </c>
      <c r="C46" t="s">
        <v>769</v>
      </c>
      <c r="D46" t="s">
        <v>321</v>
      </c>
      <c r="E46">
        <v>2022</v>
      </c>
      <c r="F46">
        <v>0</v>
      </c>
      <c r="G46">
        <v>0</v>
      </c>
      <c r="H46">
        <v>0</v>
      </c>
      <c r="I46">
        <v>0</v>
      </c>
      <c r="J46">
        <v>1</v>
      </c>
      <c r="K46" t="s">
        <v>772</v>
      </c>
      <c r="L46">
        <v>2030</v>
      </c>
      <c r="M46">
        <v>0</v>
      </c>
      <c r="O46" t="s">
        <v>610</v>
      </c>
      <c r="R46" t="s">
        <v>773</v>
      </c>
      <c r="T46">
        <v>0</v>
      </c>
      <c r="Y46">
        <v>12.5</v>
      </c>
      <c r="Z46" t="s">
        <v>614</v>
      </c>
    </row>
    <row r="47" spans="1:41">
      <c r="A47" t="s">
        <v>598</v>
      </c>
      <c r="B47" t="s">
        <v>768</v>
      </c>
      <c r="C47" t="s">
        <v>774</v>
      </c>
      <c r="D47" t="s">
        <v>321</v>
      </c>
      <c r="E47">
        <v>2020</v>
      </c>
      <c r="F47">
        <v>0</v>
      </c>
      <c r="G47">
        <v>1</v>
      </c>
      <c r="H47">
        <v>0</v>
      </c>
      <c r="I47">
        <v>0</v>
      </c>
      <c r="J47">
        <v>1</v>
      </c>
      <c r="K47" t="s">
        <v>775</v>
      </c>
      <c r="L47">
        <v>2030</v>
      </c>
      <c r="M47">
        <v>1</v>
      </c>
      <c r="O47" t="s">
        <v>602</v>
      </c>
      <c r="P47" t="s">
        <v>776</v>
      </c>
      <c r="Q47">
        <v>0.23400000000000001</v>
      </c>
      <c r="R47" t="s">
        <v>777</v>
      </c>
      <c r="S47" t="s">
        <v>519</v>
      </c>
      <c r="T47">
        <v>1</v>
      </c>
      <c r="U47" t="s">
        <v>778</v>
      </c>
      <c r="V47" t="s">
        <v>779</v>
      </c>
      <c r="W47" t="s">
        <v>623</v>
      </c>
      <c r="Y47">
        <v>12.5</v>
      </c>
      <c r="Z47" t="s">
        <v>614</v>
      </c>
      <c r="AB47" t="s">
        <v>780</v>
      </c>
      <c r="AO47" t="s">
        <v>309</v>
      </c>
    </row>
    <row r="48" spans="1:41">
      <c r="A48" t="s">
        <v>598</v>
      </c>
      <c r="B48" t="s">
        <v>768</v>
      </c>
      <c r="C48" t="s">
        <v>774</v>
      </c>
      <c r="D48" t="s">
        <v>321</v>
      </c>
      <c r="E48">
        <v>2020</v>
      </c>
      <c r="F48">
        <v>0</v>
      </c>
      <c r="G48">
        <v>1</v>
      </c>
      <c r="H48">
        <v>0</v>
      </c>
      <c r="I48">
        <v>0</v>
      </c>
      <c r="J48">
        <v>1</v>
      </c>
      <c r="K48" t="s">
        <v>781</v>
      </c>
      <c r="L48">
        <v>2035</v>
      </c>
      <c r="M48">
        <v>1</v>
      </c>
      <c r="O48" t="s">
        <v>602</v>
      </c>
      <c r="P48" t="s">
        <v>782</v>
      </c>
      <c r="Q48">
        <v>0.1</v>
      </c>
      <c r="R48" t="s">
        <v>783</v>
      </c>
      <c r="T48">
        <v>2</v>
      </c>
      <c r="U48" t="s">
        <v>784</v>
      </c>
      <c r="V48" t="s">
        <v>785</v>
      </c>
      <c r="W48" t="s">
        <v>606</v>
      </c>
      <c r="Y48">
        <v>11.6</v>
      </c>
      <c r="Z48" t="s">
        <v>607</v>
      </c>
      <c r="AA48" t="s">
        <v>197</v>
      </c>
      <c r="AB48" t="s">
        <v>786</v>
      </c>
      <c r="AO48" t="s">
        <v>309</v>
      </c>
    </row>
    <row r="49" spans="1:41" ht="32">
      <c r="A49" t="s">
        <v>598</v>
      </c>
      <c r="B49" t="s">
        <v>768</v>
      </c>
      <c r="C49" t="s">
        <v>774</v>
      </c>
      <c r="D49" t="s">
        <v>321</v>
      </c>
      <c r="E49">
        <v>2020</v>
      </c>
      <c r="F49">
        <v>0</v>
      </c>
      <c r="G49">
        <v>1</v>
      </c>
      <c r="H49">
        <v>0</v>
      </c>
      <c r="I49">
        <v>0</v>
      </c>
      <c r="J49">
        <v>1</v>
      </c>
      <c r="K49" t="s">
        <v>787</v>
      </c>
      <c r="L49">
        <v>2030</v>
      </c>
      <c r="M49">
        <v>1</v>
      </c>
      <c r="O49" t="s">
        <v>602</v>
      </c>
      <c r="P49" t="s">
        <v>788</v>
      </c>
      <c r="Q49">
        <v>0.5</v>
      </c>
      <c r="R49" t="s">
        <v>789</v>
      </c>
      <c r="S49" t="s">
        <v>519</v>
      </c>
      <c r="T49">
        <v>2</v>
      </c>
      <c r="U49" t="s">
        <v>784</v>
      </c>
      <c r="V49" s="234" t="s">
        <v>790</v>
      </c>
      <c r="W49" t="s">
        <v>606</v>
      </c>
      <c r="Y49">
        <v>11.6</v>
      </c>
      <c r="Z49" t="s">
        <v>607</v>
      </c>
      <c r="AA49" t="s">
        <v>197</v>
      </c>
      <c r="AB49" t="s">
        <v>624</v>
      </c>
      <c r="AC49" t="s">
        <v>791</v>
      </c>
      <c r="AO49" t="s">
        <v>309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24"/>
  <sheetViews>
    <sheetView topLeftCell="D1" workbookViewId="0">
      <selection activeCell="J15" sqref="J15"/>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44.5"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c r="A2" t="s">
        <v>792</v>
      </c>
      <c r="B2" t="s">
        <v>793</v>
      </c>
      <c r="C2" t="s">
        <v>794</v>
      </c>
      <c r="D2" t="s">
        <v>321</v>
      </c>
      <c r="E2">
        <v>2021</v>
      </c>
      <c r="F2">
        <v>0</v>
      </c>
      <c r="G2">
        <v>1</v>
      </c>
      <c r="H2">
        <v>0</v>
      </c>
      <c r="I2">
        <v>0</v>
      </c>
      <c r="J2">
        <v>1</v>
      </c>
      <c r="K2" t="s">
        <v>795</v>
      </c>
      <c r="L2">
        <v>2030</v>
      </c>
      <c r="M2">
        <v>1</v>
      </c>
      <c r="O2" t="s">
        <v>796</v>
      </c>
      <c r="R2" t="s">
        <v>797</v>
      </c>
      <c r="T2">
        <v>1</v>
      </c>
      <c r="U2" t="s">
        <v>798</v>
      </c>
      <c r="W2" t="s">
        <v>344</v>
      </c>
      <c r="Y2">
        <v>15.3</v>
      </c>
      <c r="Z2" t="s">
        <v>799</v>
      </c>
      <c r="AA2" t="s">
        <v>190</v>
      </c>
      <c r="AB2" t="s">
        <v>800</v>
      </c>
      <c r="AC2" t="s">
        <v>801</v>
      </c>
      <c r="AM2" t="s">
        <v>309</v>
      </c>
    </row>
    <row r="3" spans="1:62" ht="96">
      <c r="A3" t="s">
        <v>792</v>
      </c>
      <c r="B3" t="s">
        <v>802</v>
      </c>
      <c r="C3" t="s">
        <v>803</v>
      </c>
      <c r="D3" t="s">
        <v>298</v>
      </c>
      <c r="E3">
        <v>2023</v>
      </c>
      <c r="F3">
        <v>1</v>
      </c>
      <c r="G3">
        <v>3</v>
      </c>
      <c r="H3">
        <v>1</v>
      </c>
      <c r="J3">
        <v>1</v>
      </c>
      <c r="K3" t="s">
        <v>804</v>
      </c>
      <c r="L3">
        <v>2030</v>
      </c>
      <c r="M3">
        <v>1</v>
      </c>
      <c r="O3" t="s">
        <v>805</v>
      </c>
      <c r="R3" s="234" t="s">
        <v>806</v>
      </c>
      <c r="S3" t="s">
        <v>807</v>
      </c>
      <c r="T3">
        <v>3</v>
      </c>
      <c r="U3" t="s">
        <v>808</v>
      </c>
      <c r="V3" t="s">
        <v>809</v>
      </c>
      <c r="W3" t="s">
        <v>810</v>
      </c>
      <c r="X3" t="s">
        <v>811</v>
      </c>
      <c r="Y3">
        <v>15.2</v>
      </c>
      <c r="Z3" t="s">
        <v>799</v>
      </c>
      <c r="AA3" t="s">
        <v>203</v>
      </c>
      <c r="AB3" t="s">
        <v>812</v>
      </c>
    </row>
    <row r="4" spans="1:62">
      <c r="A4" t="s">
        <v>792</v>
      </c>
      <c r="B4" t="s">
        <v>802</v>
      </c>
      <c r="C4" t="s">
        <v>803</v>
      </c>
      <c r="D4" t="s">
        <v>298</v>
      </c>
      <c r="E4">
        <v>2023</v>
      </c>
      <c r="F4">
        <v>1</v>
      </c>
      <c r="G4">
        <v>3</v>
      </c>
      <c r="H4">
        <v>1</v>
      </c>
      <c r="J4">
        <v>1</v>
      </c>
      <c r="K4" t="s">
        <v>813</v>
      </c>
      <c r="L4">
        <v>2030</v>
      </c>
      <c r="M4">
        <v>1</v>
      </c>
      <c r="N4" t="s">
        <v>814</v>
      </c>
      <c r="R4" t="s">
        <v>815</v>
      </c>
      <c r="T4">
        <v>2</v>
      </c>
      <c r="Y4">
        <v>15.2</v>
      </c>
      <c r="Z4" t="s">
        <v>799</v>
      </c>
    </row>
    <row r="5" spans="1:62">
      <c r="A5" t="s">
        <v>792</v>
      </c>
      <c r="B5" t="s">
        <v>802</v>
      </c>
      <c r="C5" t="s">
        <v>803</v>
      </c>
      <c r="D5" t="s">
        <v>298</v>
      </c>
      <c r="E5">
        <v>2023</v>
      </c>
      <c r="F5">
        <v>1</v>
      </c>
      <c r="G5">
        <v>3</v>
      </c>
      <c r="H5">
        <v>1</v>
      </c>
      <c r="J5">
        <v>1</v>
      </c>
      <c r="K5" t="s">
        <v>816</v>
      </c>
      <c r="L5">
        <v>2030</v>
      </c>
      <c r="M5">
        <v>1</v>
      </c>
      <c r="N5" t="s">
        <v>817</v>
      </c>
      <c r="O5" t="s">
        <v>805</v>
      </c>
      <c r="Q5" t="s">
        <v>818</v>
      </c>
      <c r="R5" t="s">
        <v>819</v>
      </c>
      <c r="T5">
        <v>1</v>
      </c>
      <c r="U5" t="s">
        <v>331</v>
      </c>
      <c r="W5" t="s">
        <v>820</v>
      </c>
      <c r="X5" t="s">
        <v>811</v>
      </c>
      <c r="Y5">
        <v>15.5</v>
      </c>
      <c r="Z5" t="s">
        <v>799</v>
      </c>
      <c r="AA5" t="s">
        <v>821</v>
      </c>
      <c r="AB5" t="s">
        <v>822</v>
      </c>
    </row>
    <row r="6" spans="1:62">
      <c r="A6" t="s">
        <v>792</v>
      </c>
      <c r="B6" t="s">
        <v>802</v>
      </c>
      <c r="C6" t="s">
        <v>803</v>
      </c>
      <c r="D6" t="s">
        <v>298</v>
      </c>
      <c r="E6">
        <v>2023</v>
      </c>
      <c r="F6">
        <v>1</v>
      </c>
      <c r="G6">
        <v>3</v>
      </c>
      <c r="H6">
        <v>0</v>
      </c>
      <c r="J6">
        <v>1</v>
      </c>
      <c r="K6" t="s">
        <v>823</v>
      </c>
      <c r="L6">
        <v>2030</v>
      </c>
      <c r="M6">
        <v>1</v>
      </c>
      <c r="O6" t="s">
        <v>805</v>
      </c>
      <c r="R6" t="s">
        <v>824</v>
      </c>
      <c r="T6">
        <v>1</v>
      </c>
      <c r="Y6" t="s">
        <v>825</v>
      </c>
      <c r="Z6" t="s">
        <v>826</v>
      </c>
    </row>
    <row r="7" spans="1:62">
      <c r="A7" t="s">
        <v>792</v>
      </c>
      <c r="B7" t="s">
        <v>802</v>
      </c>
      <c r="C7" t="s">
        <v>803</v>
      </c>
      <c r="D7" t="s">
        <v>298</v>
      </c>
      <c r="E7">
        <v>2023</v>
      </c>
      <c r="F7">
        <v>1</v>
      </c>
      <c r="G7">
        <v>3</v>
      </c>
      <c r="H7">
        <v>1</v>
      </c>
      <c r="J7">
        <v>1</v>
      </c>
      <c r="K7" t="s">
        <v>827</v>
      </c>
      <c r="L7">
        <v>2040</v>
      </c>
      <c r="M7">
        <v>1</v>
      </c>
      <c r="O7" t="s">
        <v>805</v>
      </c>
      <c r="R7" t="s">
        <v>828</v>
      </c>
      <c r="T7">
        <v>1</v>
      </c>
      <c r="Y7">
        <v>14.2</v>
      </c>
      <c r="Z7" t="s">
        <v>826</v>
      </c>
    </row>
    <row r="8" spans="1:62" ht="409.6">
      <c r="A8" t="s">
        <v>792</v>
      </c>
      <c r="B8" t="s">
        <v>802</v>
      </c>
      <c r="C8" t="s">
        <v>803</v>
      </c>
      <c r="D8" t="s">
        <v>298</v>
      </c>
      <c r="E8">
        <v>2023</v>
      </c>
      <c r="F8">
        <v>1</v>
      </c>
      <c r="G8">
        <v>3</v>
      </c>
      <c r="H8">
        <v>1</v>
      </c>
      <c r="J8">
        <v>1</v>
      </c>
      <c r="K8" t="s">
        <v>829</v>
      </c>
      <c r="L8">
        <v>2030</v>
      </c>
      <c r="M8">
        <v>1</v>
      </c>
      <c r="O8" t="s">
        <v>805</v>
      </c>
      <c r="R8" s="234" t="s">
        <v>830</v>
      </c>
      <c r="T8">
        <v>2</v>
      </c>
      <c r="Y8">
        <v>14.2</v>
      </c>
      <c r="Z8" t="s">
        <v>826</v>
      </c>
    </row>
    <row r="9" spans="1:62">
      <c r="A9" t="s">
        <v>792</v>
      </c>
      <c r="B9" t="s">
        <v>802</v>
      </c>
      <c r="C9" t="s">
        <v>803</v>
      </c>
      <c r="D9" t="s">
        <v>298</v>
      </c>
      <c r="E9">
        <v>2023</v>
      </c>
      <c r="F9">
        <v>1</v>
      </c>
      <c r="G9">
        <v>3</v>
      </c>
      <c r="H9">
        <v>1</v>
      </c>
      <c r="J9">
        <v>1</v>
      </c>
      <c r="K9" t="s">
        <v>831</v>
      </c>
      <c r="L9">
        <v>2030</v>
      </c>
      <c r="M9">
        <v>1</v>
      </c>
      <c r="O9" t="s">
        <v>805</v>
      </c>
      <c r="R9" t="s">
        <v>832</v>
      </c>
      <c r="T9">
        <v>0</v>
      </c>
      <c r="Y9">
        <v>6.6</v>
      </c>
      <c r="Z9" t="s">
        <v>833</v>
      </c>
    </row>
    <row r="10" spans="1:62">
      <c r="A10" t="s">
        <v>792</v>
      </c>
      <c r="B10" t="s">
        <v>802</v>
      </c>
      <c r="C10" t="s">
        <v>803</v>
      </c>
      <c r="D10" t="s">
        <v>298</v>
      </c>
      <c r="E10">
        <v>2023</v>
      </c>
      <c r="F10">
        <v>1</v>
      </c>
      <c r="G10">
        <v>3</v>
      </c>
      <c r="H10">
        <v>1</v>
      </c>
      <c r="J10">
        <v>1</v>
      </c>
      <c r="K10" t="s">
        <v>834</v>
      </c>
      <c r="M10">
        <v>1</v>
      </c>
      <c r="O10" t="s">
        <v>805</v>
      </c>
      <c r="R10" t="s">
        <v>835</v>
      </c>
      <c r="T10">
        <v>2</v>
      </c>
      <c r="Z10" t="e">
        <v>#N/A</v>
      </c>
    </row>
    <row r="11" spans="1:62">
      <c r="A11" t="s">
        <v>792</v>
      </c>
      <c r="B11" t="s">
        <v>802</v>
      </c>
      <c r="C11" t="s">
        <v>803</v>
      </c>
      <c r="D11" t="s">
        <v>298</v>
      </c>
      <c r="E11">
        <v>2023</v>
      </c>
      <c r="F11">
        <v>1</v>
      </c>
      <c r="G11">
        <v>3</v>
      </c>
      <c r="H11">
        <v>1</v>
      </c>
      <c r="J11">
        <v>1</v>
      </c>
      <c r="K11" t="s">
        <v>836</v>
      </c>
      <c r="L11">
        <v>2030</v>
      </c>
      <c r="M11">
        <v>1</v>
      </c>
      <c r="O11" t="s">
        <v>805</v>
      </c>
      <c r="R11" t="s">
        <v>837</v>
      </c>
      <c r="T11">
        <v>1</v>
      </c>
      <c r="Z11" t="e">
        <v>#N/A</v>
      </c>
    </row>
    <row r="12" spans="1:62" ht="288">
      <c r="A12" t="s">
        <v>792</v>
      </c>
      <c r="B12" t="s">
        <v>802</v>
      </c>
      <c r="C12" t="s">
        <v>803</v>
      </c>
      <c r="D12" t="s">
        <v>298</v>
      </c>
      <c r="E12">
        <v>2023</v>
      </c>
      <c r="F12">
        <v>1</v>
      </c>
      <c r="G12">
        <v>3</v>
      </c>
      <c r="H12">
        <v>1</v>
      </c>
      <c r="J12">
        <v>1</v>
      </c>
      <c r="K12" t="s">
        <v>838</v>
      </c>
      <c r="M12">
        <v>1</v>
      </c>
      <c r="O12" t="s">
        <v>805</v>
      </c>
      <c r="R12" s="234" t="s">
        <v>839</v>
      </c>
      <c r="T12">
        <v>2</v>
      </c>
      <c r="U12" t="s">
        <v>840</v>
      </c>
      <c r="V12" t="s">
        <v>841</v>
      </c>
      <c r="Z12" t="e">
        <v>#N/A</v>
      </c>
    </row>
    <row r="13" spans="1:62" ht="409.6">
      <c r="A13" t="s">
        <v>792</v>
      </c>
      <c r="B13" t="s">
        <v>802</v>
      </c>
      <c r="C13" t="s">
        <v>803</v>
      </c>
      <c r="D13" t="s">
        <v>298</v>
      </c>
      <c r="E13">
        <v>2023</v>
      </c>
      <c r="F13">
        <v>1</v>
      </c>
      <c r="G13">
        <v>3</v>
      </c>
      <c r="H13">
        <v>1</v>
      </c>
      <c r="J13">
        <v>1</v>
      </c>
      <c r="K13" t="s">
        <v>842</v>
      </c>
      <c r="M13">
        <v>1</v>
      </c>
      <c r="O13" t="s">
        <v>805</v>
      </c>
      <c r="R13" s="234" t="s">
        <v>843</v>
      </c>
      <c r="T13">
        <v>2</v>
      </c>
      <c r="Z13" t="e">
        <v>#N/A</v>
      </c>
    </row>
    <row r="14" spans="1:62">
      <c r="A14" t="s">
        <v>792</v>
      </c>
      <c r="B14" t="s">
        <v>802</v>
      </c>
      <c r="C14" t="s">
        <v>803</v>
      </c>
      <c r="D14" t="s">
        <v>298</v>
      </c>
      <c r="E14">
        <v>2023</v>
      </c>
      <c r="F14">
        <v>1</v>
      </c>
      <c r="G14">
        <v>3</v>
      </c>
      <c r="H14">
        <v>1</v>
      </c>
      <c r="J14">
        <v>1</v>
      </c>
      <c r="K14" t="s">
        <v>844</v>
      </c>
      <c r="L14">
        <v>2030</v>
      </c>
      <c r="M14">
        <v>1</v>
      </c>
      <c r="O14" t="s">
        <v>805</v>
      </c>
      <c r="R14" t="s">
        <v>845</v>
      </c>
      <c r="T14">
        <v>2</v>
      </c>
      <c r="Y14">
        <v>14.2</v>
      </c>
      <c r="Z14" t="s">
        <v>826</v>
      </c>
    </row>
    <row r="15" spans="1:62">
      <c r="A15" t="s">
        <v>792</v>
      </c>
      <c r="B15" t="s">
        <v>802</v>
      </c>
      <c r="C15" t="s">
        <v>846</v>
      </c>
      <c r="D15" t="s">
        <v>321</v>
      </c>
      <c r="E15">
        <v>2023</v>
      </c>
      <c r="F15">
        <v>0</v>
      </c>
      <c r="G15">
        <v>1</v>
      </c>
      <c r="H15">
        <v>0</v>
      </c>
      <c r="I15">
        <v>0</v>
      </c>
      <c r="J15">
        <v>1</v>
      </c>
      <c r="K15" t="s">
        <v>847</v>
      </c>
      <c r="M15">
        <v>1</v>
      </c>
      <c r="O15" t="s">
        <v>593</v>
      </c>
      <c r="R15" t="s">
        <v>848</v>
      </c>
      <c r="S15" t="s">
        <v>849</v>
      </c>
      <c r="T15">
        <v>2</v>
      </c>
      <c r="W15" t="s">
        <v>594</v>
      </c>
      <c r="X15" t="s">
        <v>850</v>
      </c>
      <c r="Y15">
        <v>14.4</v>
      </c>
      <c r="Z15" t="s">
        <v>826</v>
      </c>
      <c r="AB15" t="s">
        <v>851</v>
      </c>
      <c r="AM15" t="s">
        <v>309</v>
      </c>
    </row>
    <row r="16" spans="1:62">
      <c r="A16" t="s">
        <v>792</v>
      </c>
      <c r="B16" t="s">
        <v>802</v>
      </c>
      <c r="C16" t="s">
        <v>852</v>
      </c>
      <c r="D16" t="s">
        <v>298</v>
      </c>
      <c r="E16">
        <v>2019</v>
      </c>
      <c r="F16">
        <v>1</v>
      </c>
      <c r="G16">
        <v>3</v>
      </c>
      <c r="H16">
        <v>1</v>
      </c>
      <c r="J16">
        <v>1</v>
      </c>
      <c r="K16" t="s">
        <v>853</v>
      </c>
      <c r="M16">
        <v>1</v>
      </c>
      <c r="N16" t="s">
        <v>854</v>
      </c>
      <c r="O16" t="s">
        <v>855</v>
      </c>
      <c r="R16" t="s">
        <v>856</v>
      </c>
      <c r="T16">
        <v>0</v>
      </c>
      <c r="W16" t="s">
        <v>594</v>
      </c>
      <c r="Y16">
        <v>14.6</v>
      </c>
      <c r="Z16" t="s">
        <v>826</v>
      </c>
      <c r="AM16" t="s">
        <v>309</v>
      </c>
    </row>
    <row r="17" spans="1:39">
      <c r="A17" t="s">
        <v>792</v>
      </c>
      <c r="B17" t="s">
        <v>857</v>
      </c>
      <c r="C17" t="s">
        <v>857</v>
      </c>
      <c r="D17" t="s">
        <v>321</v>
      </c>
      <c r="E17">
        <v>2020</v>
      </c>
      <c r="F17">
        <v>0</v>
      </c>
      <c r="G17">
        <v>1</v>
      </c>
      <c r="H17">
        <v>0</v>
      </c>
      <c r="I17">
        <v>0</v>
      </c>
      <c r="J17">
        <v>1</v>
      </c>
      <c r="K17" t="s">
        <v>858</v>
      </c>
      <c r="L17">
        <v>2030</v>
      </c>
      <c r="M17">
        <v>1</v>
      </c>
      <c r="O17" t="s">
        <v>859</v>
      </c>
      <c r="R17" t="s">
        <v>860</v>
      </c>
      <c r="S17" t="s">
        <v>861</v>
      </c>
      <c r="T17">
        <v>0</v>
      </c>
      <c r="X17" t="s">
        <v>862</v>
      </c>
      <c r="Y17" t="s">
        <v>863</v>
      </c>
      <c r="Z17" t="s">
        <v>607</v>
      </c>
      <c r="AA17" t="s">
        <v>212</v>
      </c>
      <c r="AM17" t="s">
        <v>309</v>
      </c>
    </row>
    <row r="18" spans="1:39">
      <c r="A18" t="s">
        <v>792</v>
      </c>
      <c r="B18" t="s">
        <v>857</v>
      </c>
      <c r="C18" t="s">
        <v>857</v>
      </c>
      <c r="D18" t="s">
        <v>321</v>
      </c>
      <c r="E18">
        <v>2020</v>
      </c>
      <c r="F18">
        <v>0</v>
      </c>
      <c r="G18">
        <v>1</v>
      </c>
      <c r="H18">
        <v>0</v>
      </c>
      <c r="I18">
        <v>0</v>
      </c>
      <c r="J18">
        <v>1</v>
      </c>
      <c r="K18" t="s">
        <v>864</v>
      </c>
      <c r="L18">
        <v>2030</v>
      </c>
      <c r="M18">
        <v>1</v>
      </c>
      <c r="N18" t="s">
        <v>865</v>
      </c>
      <c r="O18" t="s">
        <v>859</v>
      </c>
      <c r="R18" t="s">
        <v>866</v>
      </c>
      <c r="S18" t="s">
        <v>303</v>
      </c>
      <c r="T18">
        <v>2</v>
      </c>
      <c r="U18" t="s">
        <v>867</v>
      </c>
      <c r="V18" t="s">
        <v>868</v>
      </c>
      <c r="X18" t="s">
        <v>862</v>
      </c>
      <c r="Y18">
        <v>15.5</v>
      </c>
      <c r="Z18" t="s">
        <v>799</v>
      </c>
      <c r="AA18" t="s">
        <v>212</v>
      </c>
    </row>
    <row r="19" spans="1:39">
      <c r="A19" t="s">
        <v>792</v>
      </c>
      <c r="B19" t="s">
        <v>857</v>
      </c>
      <c r="C19" t="s">
        <v>857</v>
      </c>
      <c r="D19" t="s">
        <v>321</v>
      </c>
      <c r="E19">
        <v>2020</v>
      </c>
      <c r="F19">
        <v>0</v>
      </c>
      <c r="G19">
        <v>1</v>
      </c>
      <c r="H19">
        <v>0</v>
      </c>
      <c r="I19">
        <v>0</v>
      </c>
      <c r="J19">
        <v>1</v>
      </c>
      <c r="K19" t="s">
        <v>869</v>
      </c>
      <c r="L19">
        <v>2030</v>
      </c>
      <c r="M19">
        <v>1</v>
      </c>
      <c r="N19" t="s">
        <v>870</v>
      </c>
      <c r="O19" t="s">
        <v>859</v>
      </c>
      <c r="R19" t="s">
        <v>871</v>
      </c>
      <c r="S19" t="s">
        <v>872</v>
      </c>
      <c r="T19">
        <v>0</v>
      </c>
      <c r="X19" t="s">
        <v>862</v>
      </c>
      <c r="Y19">
        <v>15.5</v>
      </c>
      <c r="Z19" t="s">
        <v>799</v>
      </c>
      <c r="AA19" t="s">
        <v>212</v>
      </c>
    </row>
    <row r="20" spans="1:39">
      <c r="A20" t="s">
        <v>792</v>
      </c>
      <c r="B20" t="s">
        <v>857</v>
      </c>
      <c r="C20" t="s">
        <v>857</v>
      </c>
      <c r="D20" t="s">
        <v>321</v>
      </c>
      <c r="E20">
        <v>2020</v>
      </c>
      <c r="F20">
        <v>0</v>
      </c>
      <c r="G20">
        <v>1</v>
      </c>
      <c r="H20">
        <v>0</v>
      </c>
      <c r="I20">
        <v>0</v>
      </c>
      <c r="J20">
        <v>1</v>
      </c>
      <c r="K20" t="s">
        <v>873</v>
      </c>
      <c r="L20">
        <v>2030</v>
      </c>
      <c r="M20">
        <v>1</v>
      </c>
      <c r="O20" t="s">
        <v>859</v>
      </c>
      <c r="R20" t="s">
        <v>874</v>
      </c>
      <c r="S20" t="s">
        <v>303</v>
      </c>
      <c r="T20">
        <v>2</v>
      </c>
      <c r="U20" t="s">
        <v>875</v>
      </c>
      <c r="V20" t="s">
        <v>876</v>
      </c>
      <c r="X20" t="s">
        <v>862</v>
      </c>
      <c r="Y20">
        <v>2.4</v>
      </c>
      <c r="Z20" t="s">
        <v>877</v>
      </c>
      <c r="AA20" t="s">
        <v>212</v>
      </c>
      <c r="AM20" t="s">
        <v>309</v>
      </c>
    </row>
    <row r="21" spans="1:39">
      <c r="A21" t="s">
        <v>792</v>
      </c>
      <c r="B21" t="s">
        <v>857</v>
      </c>
      <c r="C21" t="s">
        <v>857</v>
      </c>
      <c r="D21" t="s">
        <v>321</v>
      </c>
      <c r="E21">
        <v>2020</v>
      </c>
      <c r="F21">
        <v>0</v>
      </c>
      <c r="G21">
        <v>1</v>
      </c>
      <c r="H21">
        <v>0</v>
      </c>
      <c r="I21">
        <v>0</v>
      </c>
      <c r="J21">
        <v>1</v>
      </c>
      <c r="K21" t="s">
        <v>878</v>
      </c>
      <c r="L21">
        <v>2030</v>
      </c>
      <c r="M21">
        <v>1</v>
      </c>
      <c r="O21" t="s">
        <v>859</v>
      </c>
      <c r="R21" t="s">
        <v>879</v>
      </c>
      <c r="S21" t="s">
        <v>861</v>
      </c>
      <c r="T21">
        <v>0</v>
      </c>
      <c r="X21" t="s">
        <v>862</v>
      </c>
      <c r="Y21">
        <v>2.4</v>
      </c>
      <c r="Z21" t="s">
        <v>877</v>
      </c>
      <c r="AA21" t="s">
        <v>212</v>
      </c>
    </row>
    <row r="22" spans="1:39" ht="395">
      <c r="A22" t="s">
        <v>792</v>
      </c>
      <c r="B22" t="s">
        <v>857</v>
      </c>
      <c r="C22" t="s">
        <v>857</v>
      </c>
      <c r="D22" t="s">
        <v>321</v>
      </c>
      <c r="E22">
        <v>2020</v>
      </c>
      <c r="F22">
        <v>0</v>
      </c>
      <c r="G22">
        <v>1</v>
      </c>
      <c r="H22">
        <v>0</v>
      </c>
      <c r="I22">
        <v>0</v>
      </c>
      <c r="J22">
        <v>1</v>
      </c>
      <c r="K22" t="s">
        <v>880</v>
      </c>
      <c r="L22">
        <v>2030</v>
      </c>
      <c r="M22">
        <v>1</v>
      </c>
      <c r="N22" s="234" t="s">
        <v>881</v>
      </c>
      <c r="O22" t="s">
        <v>859</v>
      </c>
      <c r="R22" t="s">
        <v>882</v>
      </c>
      <c r="S22" t="s">
        <v>440</v>
      </c>
      <c r="T22">
        <v>3</v>
      </c>
      <c r="U22" t="s">
        <v>331</v>
      </c>
      <c r="X22" t="s">
        <v>862</v>
      </c>
      <c r="Y22">
        <v>12.4</v>
      </c>
      <c r="Z22" t="s">
        <v>614</v>
      </c>
      <c r="AA22" t="s">
        <v>212</v>
      </c>
    </row>
    <row r="23" spans="1:39">
      <c r="A23" t="s">
        <v>792</v>
      </c>
      <c r="B23" t="s">
        <v>857</v>
      </c>
      <c r="C23" t="s">
        <v>857</v>
      </c>
      <c r="D23" t="s">
        <v>321</v>
      </c>
      <c r="E23">
        <v>2020</v>
      </c>
      <c r="F23">
        <v>0</v>
      </c>
      <c r="G23">
        <v>1</v>
      </c>
      <c r="H23">
        <v>0</v>
      </c>
      <c r="I23">
        <v>0</v>
      </c>
      <c r="J23">
        <v>1</v>
      </c>
      <c r="K23" t="s">
        <v>883</v>
      </c>
      <c r="L23">
        <v>2030</v>
      </c>
      <c r="M23">
        <v>1</v>
      </c>
      <c r="O23" t="s">
        <v>859</v>
      </c>
      <c r="Q23" t="s">
        <v>884</v>
      </c>
      <c r="R23" t="s">
        <v>885</v>
      </c>
      <c r="S23" t="s">
        <v>886</v>
      </c>
      <c r="T23">
        <v>3</v>
      </c>
      <c r="U23" t="s">
        <v>331</v>
      </c>
      <c r="X23" t="s">
        <v>862</v>
      </c>
      <c r="Y23">
        <v>15.1</v>
      </c>
      <c r="Z23" t="s">
        <v>799</v>
      </c>
      <c r="AA23" t="s">
        <v>212</v>
      </c>
    </row>
    <row r="24" spans="1:39">
      <c r="A24" t="s">
        <v>792</v>
      </c>
      <c r="B24" t="s">
        <v>857</v>
      </c>
      <c r="C24" t="s">
        <v>857</v>
      </c>
      <c r="D24" t="s">
        <v>321</v>
      </c>
      <c r="E24">
        <v>2020</v>
      </c>
      <c r="F24">
        <v>0</v>
      </c>
      <c r="G24">
        <v>1</v>
      </c>
      <c r="H24">
        <v>0</v>
      </c>
      <c r="I24">
        <v>0</v>
      </c>
      <c r="J24">
        <v>1</v>
      </c>
      <c r="K24" t="s">
        <v>887</v>
      </c>
      <c r="L24">
        <v>2030</v>
      </c>
      <c r="M24">
        <v>1</v>
      </c>
      <c r="O24" t="s">
        <v>859</v>
      </c>
      <c r="Q24" t="s">
        <v>888</v>
      </c>
      <c r="R24" t="s">
        <v>889</v>
      </c>
      <c r="S24" t="s">
        <v>303</v>
      </c>
      <c r="T24">
        <v>2</v>
      </c>
      <c r="U24" t="s">
        <v>331</v>
      </c>
      <c r="X24" t="s">
        <v>862</v>
      </c>
      <c r="Y24">
        <v>15.1</v>
      </c>
      <c r="Z24" t="s">
        <v>799</v>
      </c>
      <c r="AA24" t="s">
        <v>212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76"/>
  <sheetViews>
    <sheetView topLeftCell="B3" workbookViewId="0">
      <selection activeCell="J3" sqref="J3"/>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49.5"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c r="A2" t="s">
        <v>792</v>
      </c>
      <c r="B2" t="s">
        <v>793</v>
      </c>
      <c r="C2" t="s">
        <v>794</v>
      </c>
      <c r="D2" t="s">
        <v>321</v>
      </c>
      <c r="E2">
        <v>2021</v>
      </c>
      <c r="F2">
        <v>0</v>
      </c>
      <c r="G2">
        <v>0</v>
      </c>
      <c r="H2">
        <v>0</v>
      </c>
      <c r="I2">
        <v>0</v>
      </c>
      <c r="J2">
        <v>1</v>
      </c>
      <c r="K2" t="s">
        <v>890</v>
      </c>
      <c r="L2">
        <v>2030</v>
      </c>
      <c r="M2">
        <v>0</v>
      </c>
      <c r="O2" t="s">
        <v>796</v>
      </c>
      <c r="U2" t="s">
        <v>798</v>
      </c>
      <c r="W2" t="s">
        <v>344</v>
      </c>
      <c r="Y2">
        <v>15.3</v>
      </c>
      <c r="Z2" t="s">
        <v>799</v>
      </c>
      <c r="AA2" t="s">
        <v>203</v>
      </c>
      <c r="AB2" t="s">
        <v>812</v>
      </c>
      <c r="AM2" t="s">
        <v>309</v>
      </c>
    </row>
    <row r="3" spans="1:62">
      <c r="A3" t="s">
        <v>792</v>
      </c>
      <c r="B3" t="s">
        <v>793</v>
      </c>
      <c r="C3" t="s">
        <v>794</v>
      </c>
      <c r="D3" t="s">
        <v>321</v>
      </c>
      <c r="E3">
        <v>2021</v>
      </c>
      <c r="F3">
        <v>0</v>
      </c>
      <c r="G3">
        <v>1</v>
      </c>
      <c r="H3">
        <v>0</v>
      </c>
      <c r="I3">
        <v>0</v>
      </c>
      <c r="J3">
        <v>1</v>
      </c>
      <c r="K3" t="s">
        <v>795</v>
      </c>
      <c r="L3">
        <v>2030</v>
      </c>
      <c r="M3">
        <v>1</v>
      </c>
      <c r="O3" t="s">
        <v>796</v>
      </c>
      <c r="R3" t="s">
        <v>797</v>
      </c>
      <c r="T3">
        <v>1</v>
      </c>
      <c r="U3" t="s">
        <v>798</v>
      </c>
      <c r="W3" t="s">
        <v>344</v>
      </c>
      <c r="Y3">
        <v>15.3</v>
      </c>
      <c r="Z3" t="s">
        <v>799</v>
      </c>
      <c r="AA3" t="s">
        <v>190</v>
      </c>
      <c r="AB3" t="s">
        <v>800</v>
      </c>
      <c r="AC3" t="s">
        <v>801</v>
      </c>
      <c r="AM3" t="s">
        <v>309</v>
      </c>
    </row>
    <row r="4" spans="1:62">
      <c r="A4" t="s">
        <v>792</v>
      </c>
      <c r="B4" t="s">
        <v>164</v>
      </c>
      <c r="C4" t="s">
        <v>891</v>
      </c>
      <c r="D4" t="s">
        <v>110</v>
      </c>
      <c r="E4">
        <v>2023</v>
      </c>
      <c r="F4">
        <v>0</v>
      </c>
      <c r="M4" t="s">
        <v>424</v>
      </c>
      <c r="Z4" t="e">
        <v>#N/A</v>
      </c>
    </row>
    <row r="5" spans="1:62">
      <c r="A5" t="s">
        <v>792</v>
      </c>
      <c r="B5" t="s">
        <v>164</v>
      </c>
      <c r="C5" t="s">
        <v>892</v>
      </c>
      <c r="D5" t="s">
        <v>321</v>
      </c>
      <c r="E5">
        <v>2023</v>
      </c>
      <c r="F5">
        <v>0</v>
      </c>
      <c r="K5" t="s">
        <v>893</v>
      </c>
      <c r="M5" t="s">
        <v>424</v>
      </c>
      <c r="R5" t="s">
        <v>894</v>
      </c>
      <c r="Z5" t="e">
        <v>#N/A</v>
      </c>
    </row>
    <row r="6" spans="1:62">
      <c r="A6" t="s">
        <v>792</v>
      </c>
      <c r="B6" t="s">
        <v>164</v>
      </c>
      <c r="C6" t="s">
        <v>895</v>
      </c>
      <c r="D6" t="s">
        <v>321</v>
      </c>
      <c r="E6">
        <v>2021</v>
      </c>
      <c r="F6">
        <v>0</v>
      </c>
      <c r="G6">
        <v>0</v>
      </c>
      <c r="H6">
        <v>0</v>
      </c>
      <c r="I6">
        <v>0</v>
      </c>
      <c r="J6">
        <v>1</v>
      </c>
      <c r="K6" t="s">
        <v>896</v>
      </c>
      <c r="L6">
        <v>2030</v>
      </c>
      <c r="M6">
        <v>0</v>
      </c>
      <c r="N6" t="s">
        <v>897</v>
      </c>
      <c r="O6" t="s">
        <v>898</v>
      </c>
      <c r="R6" t="s">
        <v>899</v>
      </c>
      <c r="T6">
        <v>3</v>
      </c>
      <c r="W6" t="s">
        <v>810</v>
      </c>
      <c r="Y6">
        <v>15.2</v>
      </c>
      <c r="Z6" t="s">
        <v>799</v>
      </c>
      <c r="AA6" t="s">
        <v>203</v>
      </c>
      <c r="AB6" t="s">
        <v>812</v>
      </c>
      <c r="AM6" t="s">
        <v>309</v>
      </c>
    </row>
    <row r="7" spans="1:62" ht="409.6">
      <c r="A7" t="s">
        <v>792</v>
      </c>
      <c r="B7" t="s">
        <v>164</v>
      </c>
      <c r="C7" t="s">
        <v>895</v>
      </c>
      <c r="D7" t="s">
        <v>321</v>
      </c>
      <c r="E7">
        <v>2021</v>
      </c>
      <c r="F7">
        <v>0</v>
      </c>
      <c r="G7">
        <v>0</v>
      </c>
      <c r="H7">
        <v>0</v>
      </c>
      <c r="I7">
        <v>0</v>
      </c>
      <c r="J7">
        <v>1</v>
      </c>
      <c r="K7" t="s">
        <v>900</v>
      </c>
      <c r="L7">
        <v>2030</v>
      </c>
      <c r="M7">
        <v>0</v>
      </c>
      <c r="N7" t="s">
        <v>897</v>
      </c>
      <c r="O7" t="s">
        <v>898</v>
      </c>
      <c r="R7" s="234" t="s">
        <v>901</v>
      </c>
      <c r="T7">
        <v>2</v>
      </c>
      <c r="W7" t="s">
        <v>810</v>
      </c>
      <c r="Y7">
        <v>15.2</v>
      </c>
      <c r="Z7" t="s">
        <v>799</v>
      </c>
      <c r="AA7" t="s">
        <v>203</v>
      </c>
      <c r="AB7" t="s">
        <v>812</v>
      </c>
      <c r="AK7" t="s">
        <v>310</v>
      </c>
      <c r="AM7" t="s">
        <v>309</v>
      </c>
    </row>
    <row r="8" spans="1:62">
      <c r="A8" t="s">
        <v>792</v>
      </c>
      <c r="B8" t="s">
        <v>164</v>
      </c>
      <c r="C8" t="s">
        <v>895</v>
      </c>
      <c r="D8" t="s">
        <v>321</v>
      </c>
      <c r="E8">
        <v>2021</v>
      </c>
      <c r="F8">
        <v>0</v>
      </c>
      <c r="G8">
        <v>0</v>
      </c>
      <c r="H8">
        <v>0</v>
      </c>
      <c r="I8">
        <v>0</v>
      </c>
      <c r="J8">
        <v>1</v>
      </c>
      <c r="K8" t="s">
        <v>902</v>
      </c>
      <c r="L8">
        <v>2030</v>
      </c>
      <c r="M8">
        <v>0</v>
      </c>
      <c r="N8" t="s">
        <v>897</v>
      </c>
      <c r="O8" t="s">
        <v>898</v>
      </c>
      <c r="R8" t="s">
        <v>903</v>
      </c>
      <c r="T8">
        <v>3</v>
      </c>
      <c r="W8" t="s">
        <v>810</v>
      </c>
      <c r="Y8">
        <v>15.2</v>
      </c>
      <c r="Z8" t="s">
        <v>799</v>
      </c>
      <c r="AA8" t="s">
        <v>203</v>
      </c>
      <c r="AB8" t="s">
        <v>812</v>
      </c>
      <c r="AM8" t="s">
        <v>309</v>
      </c>
    </row>
    <row r="9" spans="1:62" ht="335">
      <c r="A9" t="s">
        <v>792</v>
      </c>
      <c r="B9" t="s">
        <v>164</v>
      </c>
      <c r="C9" t="s">
        <v>895</v>
      </c>
      <c r="D9" t="s">
        <v>321</v>
      </c>
      <c r="E9">
        <v>2021</v>
      </c>
      <c r="F9">
        <v>0</v>
      </c>
      <c r="G9">
        <v>0</v>
      </c>
      <c r="H9">
        <v>0</v>
      </c>
      <c r="I9">
        <v>0</v>
      </c>
      <c r="J9">
        <v>1</v>
      </c>
      <c r="K9" t="s">
        <v>904</v>
      </c>
      <c r="L9">
        <v>2030</v>
      </c>
      <c r="M9">
        <v>0</v>
      </c>
      <c r="N9" s="234" t="s">
        <v>905</v>
      </c>
      <c r="O9" t="s">
        <v>906</v>
      </c>
      <c r="W9" t="s">
        <v>810</v>
      </c>
      <c r="Y9">
        <v>4.7</v>
      </c>
      <c r="Z9" t="s">
        <v>907</v>
      </c>
      <c r="AA9" t="s">
        <v>203</v>
      </c>
      <c r="AB9" t="s">
        <v>812</v>
      </c>
      <c r="AM9" t="s">
        <v>309</v>
      </c>
      <c r="AX9" t="s">
        <v>310</v>
      </c>
    </row>
    <row r="10" spans="1:62" ht="335">
      <c r="A10" t="s">
        <v>792</v>
      </c>
      <c r="B10" t="s">
        <v>908</v>
      </c>
      <c r="C10" t="s">
        <v>895</v>
      </c>
      <c r="D10" t="s">
        <v>321</v>
      </c>
      <c r="E10">
        <v>2021</v>
      </c>
      <c r="F10">
        <v>0</v>
      </c>
      <c r="G10">
        <v>0</v>
      </c>
      <c r="H10">
        <v>0</v>
      </c>
      <c r="I10">
        <v>0</v>
      </c>
      <c r="J10">
        <v>1</v>
      </c>
      <c r="K10" t="s">
        <v>909</v>
      </c>
      <c r="L10">
        <v>2030</v>
      </c>
      <c r="M10">
        <v>0</v>
      </c>
      <c r="N10" s="234" t="s">
        <v>905</v>
      </c>
      <c r="O10" t="s">
        <v>906</v>
      </c>
      <c r="W10" t="s">
        <v>810</v>
      </c>
      <c r="Y10">
        <v>15.2</v>
      </c>
      <c r="Z10" t="s">
        <v>799</v>
      </c>
      <c r="AA10" t="s">
        <v>203</v>
      </c>
      <c r="AB10" t="s">
        <v>812</v>
      </c>
      <c r="AM10" t="s">
        <v>309</v>
      </c>
    </row>
    <row r="11" spans="1:62" ht="335">
      <c r="A11" t="s">
        <v>792</v>
      </c>
      <c r="B11" t="s">
        <v>908</v>
      </c>
      <c r="C11" t="s">
        <v>895</v>
      </c>
      <c r="D11" t="s">
        <v>321</v>
      </c>
      <c r="E11">
        <v>2021</v>
      </c>
      <c r="F11">
        <v>0</v>
      </c>
      <c r="G11">
        <v>0</v>
      </c>
      <c r="H11">
        <v>0</v>
      </c>
      <c r="I11">
        <v>0</v>
      </c>
      <c r="J11">
        <v>1</v>
      </c>
      <c r="K11" t="s">
        <v>910</v>
      </c>
      <c r="L11">
        <v>2030</v>
      </c>
      <c r="M11">
        <v>0</v>
      </c>
      <c r="N11" s="234" t="s">
        <v>905</v>
      </c>
      <c r="O11" t="s">
        <v>906</v>
      </c>
      <c r="W11" t="s">
        <v>810</v>
      </c>
      <c r="X11" t="s">
        <v>416</v>
      </c>
      <c r="Y11">
        <v>15.2</v>
      </c>
      <c r="Z11" t="s">
        <v>799</v>
      </c>
      <c r="AA11" t="s">
        <v>203</v>
      </c>
      <c r="AB11" t="s">
        <v>812</v>
      </c>
      <c r="AM11" t="s">
        <v>309</v>
      </c>
    </row>
    <row r="12" spans="1:62" ht="335">
      <c r="A12" t="s">
        <v>792</v>
      </c>
      <c r="B12" t="s">
        <v>908</v>
      </c>
      <c r="C12" t="s">
        <v>895</v>
      </c>
      <c r="D12" t="s">
        <v>321</v>
      </c>
      <c r="E12">
        <v>2021</v>
      </c>
      <c r="F12">
        <v>0</v>
      </c>
      <c r="G12">
        <v>0</v>
      </c>
      <c r="H12">
        <v>0</v>
      </c>
      <c r="I12">
        <v>0</v>
      </c>
      <c r="J12">
        <v>1</v>
      </c>
      <c r="K12" t="s">
        <v>911</v>
      </c>
      <c r="L12">
        <v>2030</v>
      </c>
      <c r="M12">
        <v>0</v>
      </c>
      <c r="N12" s="234" t="s">
        <v>905</v>
      </c>
      <c r="O12" t="s">
        <v>906</v>
      </c>
      <c r="W12" t="s">
        <v>810</v>
      </c>
      <c r="Y12">
        <v>15.2</v>
      </c>
      <c r="Z12" t="s">
        <v>799</v>
      </c>
      <c r="AA12" t="s">
        <v>203</v>
      </c>
      <c r="AB12" t="s">
        <v>812</v>
      </c>
      <c r="AM12" t="s">
        <v>309</v>
      </c>
    </row>
    <row r="13" spans="1:62" ht="96">
      <c r="A13" t="s">
        <v>792</v>
      </c>
      <c r="B13" t="s">
        <v>908</v>
      </c>
      <c r="C13" t="s">
        <v>912</v>
      </c>
      <c r="D13" t="s">
        <v>298</v>
      </c>
      <c r="E13">
        <v>2023</v>
      </c>
      <c r="F13">
        <v>1</v>
      </c>
      <c r="K13" t="s">
        <v>913</v>
      </c>
      <c r="N13" s="234" t="s">
        <v>914</v>
      </c>
      <c r="W13" t="s">
        <v>810</v>
      </c>
      <c r="Z13" t="e">
        <v>#N/A</v>
      </c>
    </row>
    <row r="14" spans="1:62">
      <c r="A14" t="s">
        <v>792</v>
      </c>
      <c r="B14" t="s">
        <v>802</v>
      </c>
      <c r="C14" t="s">
        <v>915</v>
      </c>
      <c r="D14" t="s">
        <v>101</v>
      </c>
      <c r="E14">
        <v>2022</v>
      </c>
      <c r="F14">
        <v>0</v>
      </c>
      <c r="W14" t="s">
        <v>862</v>
      </c>
      <c r="X14" t="s">
        <v>811</v>
      </c>
      <c r="Z14" t="e">
        <v>#N/A</v>
      </c>
      <c r="AB14" t="s">
        <v>916</v>
      </c>
    </row>
    <row r="15" spans="1:62">
      <c r="A15" t="s">
        <v>792</v>
      </c>
      <c r="B15" t="s">
        <v>802</v>
      </c>
      <c r="C15" t="s">
        <v>915</v>
      </c>
      <c r="D15" t="s">
        <v>101</v>
      </c>
      <c r="E15">
        <v>2022</v>
      </c>
      <c r="F15">
        <v>0</v>
      </c>
      <c r="K15" t="s">
        <v>917</v>
      </c>
      <c r="W15" t="s">
        <v>862</v>
      </c>
      <c r="X15" t="s">
        <v>811</v>
      </c>
      <c r="Z15" t="e">
        <v>#N/A</v>
      </c>
      <c r="AB15" t="s">
        <v>916</v>
      </c>
    </row>
    <row r="16" spans="1:62">
      <c r="A16" t="s">
        <v>792</v>
      </c>
      <c r="B16" t="s">
        <v>802</v>
      </c>
      <c r="C16" t="s">
        <v>915</v>
      </c>
      <c r="D16" t="s">
        <v>101</v>
      </c>
      <c r="E16">
        <v>2022</v>
      </c>
      <c r="F16">
        <v>0</v>
      </c>
      <c r="K16" t="s">
        <v>918</v>
      </c>
      <c r="W16" t="s">
        <v>862</v>
      </c>
      <c r="X16" t="s">
        <v>811</v>
      </c>
      <c r="Y16">
        <v>15.1</v>
      </c>
      <c r="Z16" t="s">
        <v>799</v>
      </c>
      <c r="AB16" t="s">
        <v>916</v>
      </c>
    </row>
    <row r="17" spans="1:28">
      <c r="A17" t="s">
        <v>792</v>
      </c>
      <c r="B17" t="s">
        <v>802</v>
      </c>
      <c r="C17" t="s">
        <v>915</v>
      </c>
      <c r="D17" t="s">
        <v>101</v>
      </c>
      <c r="E17">
        <v>2022</v>
      </c>
      <c r="F17">
        <v>0</v>
      </c>
      <c r="K17" t="s">
        <v>919</v>
      </c>
      <c r="U17" t="s">
        <v>920</v>
      </c>
      <c r="V17" t="s">
        <v>809</v>
      </c>
      <c r="W17" t="s">
        <v>862</v>
      </c>
      <c r="X17" t="s">
        <v>811</v>
      </c>
      <c r="Y17">
        <v>15.1</v>
      </c>
      <c r="Z17" t="s">
        <v>799</v>
      </c>
      <c r="AB17" t="s">
        <v>916</v>
      </c>
    </row>
    <row r="18" spans="1:28">
      <c r="A18" t="s">
        <v>792</v>
      </c>
      <c r="B18" t="s">
        <v>802</v>
      </c>
      <c r="C18" t="s">
        <v>915</v>
      </c>
      <c r="D18" t="s">
        <v>101</v>
      </c>
      <c r="E18">
        <v>2022</v>
      </c>
      <c r="F18">
        <v>1</v>
      </c>
      <c r="G18">
        <v>3</v>
      </c>
      <c r="H18">
        <v>1</v>
      </c>
      <c r="J18">
        <v>1</v>
      </c>
      <c r="K18" t="s">
        <v>804</v>
      </c>
      <c r="L18">
        <v>2030</v>
      </c>
      <c r="M18">
        <v>1</v>
      </c>
      <c r="W18" t="s">
        <v>862</v>
      </c>
      <c r="X18" t="s">
        <v>811</v>
      </c>
      <c r="Y18">
        <v>15.5</v>
      </c>
      <c r="Z18" t="s">
        <v>799</v>
      </c>
      <c r="AB18" t="s">
        <v>916</v>
      </c>
    </row>
    <row r="19" spans="1:28" ht="96">
      <c r="A19" t="s">
        <v>792</v>
      </c>
      <c r="B19" t="s">
        <v>802</v>
      </c>
      <c r="C19" t="s">
        <v>803</v>
      </c>
      <c r="D19" t="s">
        <v>298</v>
      </c>
      <c r="E19">
        <v>2023</v>
      </c>
      <c r="F19">
        <v>1</v>
      </c>
      <c r="G19">
        <v>3</v>
      </c>
      <c r="H19">
        <v>1</v>
      </c>
      <c r="J19">
        <v>1</v>
      </c>
      <c r="K19" t="s">
        <v>804</v>
      </c>
      <c r="L19">
        <v>2030</v>
      </c>
      <c r="M19">
        <v>1</v>
      </c>
      <c r="O19" t="s">
        <v>805</v>
      </c>
      <c r="R19" s="234" t="s">
        <v>806</v>
      </c>
      <c r="S19" t="s">
        <v>807</v>
      </c>
      <c r="T19">
        <v>3</v>
      </c>
      <c r="U19" t="s">
        <v>808</v>
      </c>
      <c r="V19" t="s">
        <v>809</v>
      </c>
      <c r="W19" t="s">
        <v>810</v>
      </c>
      <c r="X19" t="s">
        <v>811</v>
      </c>
      <c r="Y19">
        <v>15.2</v>
      </c>
      <c r="Z19" t="s">
        <v>799</v>
      </c>
      <c r="AA19" t="s">
        <v>203</v>
      </c>
      <c r="AB19" t="s">
        <v>812</v>
      </c>
    </row>
    <row r="20" spans="1:28">
      <c r="A20" t="s">
        <v>792</v>
      </c>
      <c r="B20" t="s">
        <v>802</v>
      </c>
      <c r="C20" t="s">
        <v>803</v>
      </c>
      <c r="D20" t="s">
        <v>298</v>
      </c>
      <c r="E20">
        <v>2023</v>
      </c>
      <c r="F20">
        <v>1</v>
      </c>
      <c r="G20">
        <v>3</v>
      </c>
      <c r="H20">
        <v>1</v>
      </c>
      <c r="J20">
        <v>1</v>
      </c>
      <c r="K20" t="s">
        <v>921</v>
      </c>
      <c r="L20">
        <v>2030</v>
      </c>
      <c r="M20">
        <v>1</v>
      </c>
      <c r="N20" t="s">
        <v>814</v>
      </c>
      <c r="Y20">
        <v>15.2</v>
      </c>
      <c r="Z20" t="s">
        <v>799</v>
      </c>
    </row>
    <row r="21" spans="1:28">
      <c r="A21" t="s">
        <v>792</v>
      </c>
      <c r="B21" t="s">
        <v>802</v>
      </c>
      <c r="C21" t="s">
        <v>803</v>
      </c>
      <c r="D21" t="s">
        <v>298</v>
      </c>
      <c r="E21">
        <v>2023</v>
      </c>
      <c r="F21">
        <v>1</v>
      </c>
      <c r="G21">
        <v>3</v>
      </c>
      <c r="H21">
        <v>1</v>
      </c>
      <c r="J21">
        <v>1</v>
      </c>
      <c r="K21" t="s">
        <v>813</v>
      </c>
      <c r="L21">
        <v>2030</v>
      </c>
      <c r="M21">
        <v>1</v>
      </c>
      <c r="N21" t="s">
        <v>814</v>
      </c>
      <c r="R21" t="s">
        <v>815</v>
      </c>
      <c r="T21">
        <v>2</v>
      </c>
      <c r="Y21">
        <v>15.2</v>
      </c>
      <c r="Z21" t="s">
        <v>799</v>
      </c>
    </row>
    <row r="22" spans="1:28">
      <c r="A22" t="s">
        <v>792</v>
      </c>
      <c r="B22" t="s">
        <v>802</v>
      </c>
      <c r="C22" t="s">
        <v>803</v>
      </c>
      <c r="D22" t="s">
        <v>298</v>
      </c>
      <c r="E22">
        <v>2023</v>
      </c>
      <c r="F22">
        <v>1</v>
      </c>
      <c r="G22">
        <v>3</v>
      </c>
      <c r="H22">
        <v>1</v>
      </c>
      <c r="J22">
        <v>1</v>
      </c>
      <c r="K22" t="s">
        <v>922</v>
      </c>
      <c r="L22">
        <v>2030</v>
      </c>
      <c r="M22">
        <v>1</v>
      </c>
      <c r="O22" t="s">
        <v>805</v>
      </c>
      <c r="W22" t="s">
        <v>923</v>
      </c>
      <c r="X22" t="s">
        <v>811</v>
      </c>
      <c r="Y22">
        <v>15.3</v>
      </c>
      <c r="Z22" t="s">
        <v>799</v>
      </c>
    </row>
    <row r="23" spans="1:28">
      <c r="A23" t="s">
        <v>792</v>
      </c>
      <c r="B23" t="s">
        <v>802</v>
      </c>
      <c r="C23" t="s">
        <v>803</v>
      </c>
      <c r="D23" t="s">
        <v>298</v>
      </c>
      <c r="E23">
        <v>2023</v>
      </c>
      <c r="F23">
        <v>1</v>
      </c>
      <c r="G23">
        <v>3</v>
      </c>
      <c r="H23">
        <v>1</v>
      </c>
      <c r="J23">
        <v>1</v>
      </c>
      <c r="K23" t="s">
        <v>816</v>
      </c>
      <c r="L23">
        <v>2030</v>
      </c>
      <c r="M23">
        <v>1</v>
      </c>
      <c r="N23" t="s">
        <v>817</v>
      </c>
      <c r="O23" t="s">
        <v>805</v>
      </c>
      <c r="Q23" t="s">
        <v>818</v>
      </c>
      <c r="R23" t="s">
        <v>819</v>
      </c>
      <c r="T23">
        <v>1</v>
      </c>
      <c r="U23" t="s">
        <v>331</v>
      </c>
      <c r="W23" t="s">
        <v>820</v>
      </c>
      <c r="X23" t="s">
        <v>811</v>
      </c>
      <c r="Y23">
        <v>15.5</v>
      </c>
      <c r="Z23" t="s">
        <v>799</v>
      </c>
      <c r="AA23" t="s">
        <v>821</v>
      </c>
      <c r="AB23" t="s">
        <v>822</v>
      </c>
    </row>
    <row r="24" spans="1:28">
      <c r="A24" t="s">
        <v>792</v>
      </c>
      <c r="B24" t="s">
        <v>802</v>
      </c>
      <c r="C24" t="s">
        <v>803</v>
      </c>
      <c r="D24" t="s">
        <v>298</v>
      </c>
      <c r="E24">
        <v>2023</v>
      </c>
      <c r="F24">
        <v>1</v>
      </c>
      <c r="G24">
        <v>3</v>
      </c>
      <c r="H24">
        <v>1</v>
      </c>
      <c r="J24">
        <v>1</v>
      </c>
      <c r="K24" t="s">
        <v>924</v>
      </c>
      <c r="L24">
        <v>2030</v>
      </c>
      <c r="M24">
        <v>1</v>
      </c>
      <c r="N24" t="s">
        <v>925</v>
      </c>
      <c r="O24" t="s">
        <v>805</v>
      </c>
      <c r="R24" t="s">
        <v>926</v>
      </c>
      <c r="W24" t="s">
        <v>820</v>
      </c>
      <c r="X24" t="s">
        <v>811</v>
      </c>
      <c r="Y24">
        <v>2.4</v>
      </c>
      <c r="Z24" t="s">
        <v>877</v>
      </c>
    </row>
    <row r="25" spans="1:28">
      <c r="A25" t="s">
        <v>792</v>
      </c>
      <c r="B25" t="s">
        <v>802</v>
      </c>
      <c r="C25" t="s">
        <v>803</v>
      </c>
      <c r="D25" t="s">
        <v>298</v>
      </c>
      <c r="E25">
        <v>2023</v>
      </c>
      <c r="K25" t="s">
        <v>927</v>
      </c>
      <c r="Z25" t="e">
        <v>#N/A</v>
      </c>
    </row>
    <row r="26" spans="1:28">
      <c r="A26" t="s">
        <v>792</v>
      </c>
      <c r="B26" t="s">
        <v>802</v>
      </c>
      <c r="C26" t="s">
        <v>803</v>
      </c>
      <c r="D26" t="s">
        <v>298</v>
      </c>
      <c r="E26">
        <v>2023</v>
      </c>
      <c r="K26" t="s">
        <v>928</v>
      </c>
      <c r="Z26" t="e">
        <v>#N/A</v>
      </c>
    </row>
    <row r="27" spans="1:28">
      <c r="A27" t="s">
        <v>792</v>
      </c>
      <c r="B27" t="s">
        <v>802</v>
      </c>
      <c r="C27" t="s">
        <v>803</v>
      </c>
      <c r="D27" t="s">
        <v>298</v>
      </c>
      <c r="E27">
        <v>2023</v>
      </c>
      <c r="F27">
        <v>1</v>
      </c>
      <c r="G27">
        <v>3</v>
      </c>
      <c r="H27">
        <v>0</v>
      </c>
      <c r="J27">
        <v>1</v>
      </c>
      <c r="K27" t="s">
        <v>823</v>
      </c>
      <c r="L27">
        <v>2030</v>
      </c>
      <c r="M27">
        <v>1</v>
      </c>
      <c r="O27" t="s">
        <v>805</v>
      </c>
      <c r="R27" t="s">
        <v>824</v>
      </c>
      <c r="T27">
        <v>1</v>
      </c>
      <c r="Y27" t="s">
        <v>825</v>
      </c>
      <c r="Z27" t="s">
        <v>826</v>
      </c>
    </row>
    <row r="28" spans="1:28">
      <c r="A28" t="s">
        <v>792</v>
      </c>
      <c r="B28" t="s">
        <v>802</v>
      </c>
      <c r="C28" t="s">
        <v>803</v>
      </c>
      <c r="D28" t="s">
        <v>298</v>
      </c>
      <c r="E28">
        <v>2023</v>
      </c>
      <c r="K28" t="s">
        <v>929</v>
      </c>
      <c r="Z28" t="e">
        <v>#N/A</v>
      </c>
    </row>
    <row r="29" spans="1:28">
      <c r="A29" t="s">
        <v>792</v>
      </c>
      <c r="B29" t="s">
        <v>802</v>
      </c>
      <c r="C29" t="s">
        <v>803</v>
      </c>
      <c r="D29" t="s">
        <v>298</v>
      </c>
      <c r="E29">
        <v>2023</v>
      </c>
      <c r="F29">
        <v>1</v>
      </c>
      <c r="G29">
        <v>3</v>
      </c>
      <c r="H29">
        <v>1</v>
      </c>
      <c r="J29">
        <v>1</v>
      </c>
      <c r="K29" t="s">
        <v>827</v>
      </c>
      <c r="L29">
        <v>2040</v>
      </c>
      <c r="M29">
        <v>1</v>
      </c>
      <c r="O29" t="s">
        <v>805</v>
      </c>
      <c r="R29" t="s">
        <v>828</v>
      </c>
      <c r="T29">
        <v>1</v>
      </c>
      <c r="Y29">
        <v>14.2</v>
      </c>
      <c r="Z29" t="s">
        <v>826</v>
      </c>
    </row>
    <row r="30" spans="1:28" ht="409.6">
      <c r="A30" t="s">
        <v>792</v>
      </c>
      <c r="B30" t="s">
        <v>802</v>
      </c>
      <c r="C30" t="s">
        <v>803</v>
      </c>
      <c r="D30" t="s">
        <v>298</v>
      </c>
      <c r="E30">
        <v>2023</v>
      </c>
      <c r="F30">
        <v>1</v>
      </c>
      <c r="G30">
        <v>3</v>
      </c>
      <c r="H30">
        <v>1</v>
      </c>
      <c r="J30">
        <v>1</v>
      </c>
      <c r="K30" t="s">
        <v>829</v>
      </c>
      <c r="L30">
        <v>2030</v>
      </c>
      <c r="M30">
        <v>1</v>
      </c>
      <c r="O30" t="s">
        <v>805</v>
      </c>
      <c r="R30" s="234" t="s">
        <v>830</v>
      </c>
      <c r="T30">
        <v>2</v>
      </c>
      <c r="Y30">
        <v>14.2</v>
      </c>
      <c r="Z30" t="s">
        <v>826</v>
      </c>
    </row>
    <row r="31" spans="1:28">
      <c r="A31" t="s">
        <v>792</v>
      </c>
      <c r="B31" t="s">
        <v>802</v>
      </c>
      <c r="C31" t="s">
        <v>803</v>
      </c>
      <c r="D31" t="s">
        <v>298</v>
      </c>
      <c r="E31">
        <v>2023</v>
      </c>
      <c r="F31">
        <v>1</v>
      </c>
      <c r="G31">
        <v>3</v>
      </c>
      <c r="H31">
        <v>1</v>
      </c>
      <c r="J31">
        <v>1</v>
      </c>
      <c r="K31" t="s">
        <v>930</v>
      </c>
      <c r="L31">
        <v>2030</v>
      </c>
      <c r="M31">
        <v>1</v>
      </c>
      <c r="O31" t="s">
        <v>805</v>
      </c>
      <c r="Y31">
        <v>15.5</v>
      </c>
      <c r="Z31" t="s">
        <v>799</v>
      </c>
    </row>
    <row r="32" spans="1:28">
      <c r="A32" t="s">
        <v>792</v>
      </c>
      <c r="B32" t="s">
        <v>802</v>
      </c>
      <c r="C32" t="s">
        <v>803</v>
      </c>
      <c r="D32" t="s">
        <v>298</v>
      </c>
      <c r="E32">
        <v>2023</v>
      </c>
      <c r="F32">
        <v>1</v>
      </c>
      <c r="G32">
        <v>3</v>
      </c>
      <c r="H32">
        <v>1</v>
      </c>
      <c r="J32">
        <v>1</v>
      </c>
      <c r="K32" t="s">
        <v>831</v>
      </c>
      <c r="L32">
        <v>2030</v>
      </c>
      <c r="M32">
        <v>1</v>
      </c>
      <c r="O32" t="s">
        <v>805</v>
      </c>
      <c r="R32" t="s">
        <v>832</v>
      </c>
      <c r="T32">
        <v>0</v>
      </c>
      <c r="Y32">
        <v>6.6</v>
      </c>
      <c r="Z32" t="s">
        <v>833</v>
      </c>
    </row>
    <row r="33" spans="1:26">
      <c r="A33" t="s">
        <v>792</v>
      </c>
      <c r="B33" t="s">
        <v>802</v>
      </c>
      <c r="C33" t="s">
        <v>803</v>
      </c>
      <c r="D33" t="s">
        <v>298</v>
      </c>
      <c r="E33">
        <v>2023</v>
      </c>
      <c r="F33">
        <v>1</v>
      </c>
      <c r="G33">
        <v>3</v>
      </c>
      <c r="H33">
        <v>1</v>
      </c>
      <c r="J33">
        <v>1</v>
      </c>
      <c r="K33" t="s">
        <v>931</v>
      </c>
      <c r="L33">
        <v>2030</v>
      </c>
      <c r="M33">
        <v>1</v>
      </c>
      <c r="N33" t="s">
        <v>932</v>
      </c>
      <c r="O33" t="s">
        <v>457</v>
      </c>
      <c r="Y33">
        <v>15.2</v>
      </c>
      <c r="Z33" t="s">
        <v>799</v>
      </c>
    </row>
    <row r="34" spans="1:26">
      <c r="A34" t="s">
        <v>792</v>
      </c>
      <c r="B34" t="s">
        <v>802</v>
      </c>
      <c r="C34" t="s">
        <v>803</v>
      </c>
      <c r="D34" t="s">
        <v>298</v>
      </c>
      <c r="E34">
        <v>2023</v>
      </c>
      <c r="F34">
        <v>1</v>
      </c>
      <c r="G34">
        <v>3</v>
      </c>
      <c r="H34">
        <v>1</v>
      </c>
      <c r="J34">
        <v>1</v>
      </c>
      <c r="K34" t="s">
        <v>933</v>
      </c>
      <c r="L34">
        <v>2030</v>
      </c>
      <c r="M34">
        <v>1</v>
      </c>
      <c r="N34" t="s">
        <v>932</v>
      </c>
      <c r="O34" t="s">
        <v>457</v>
      </c>
      <c r="Y34">
        <v>11.4</v>
      </c>
      <c r="Z34" t="s">
        <v>607</v>
      </c>
    </row>
    <row r="35" spans="1:26" ht="112">
      <c r="A35" t="s">
        <v>792</v>
      </c>
      <c r="B35" t="s">
        <v>802</v>
      </c>
      <c r="C35" t="s">
        <v>803</v>
      </c>
      <c r="D35" t="s">
        <v>298</v>
      </c>
      <c r="E35">
        <v>2023</v>
      </c>
      <c r="F35">
        <v>1</v>
      </c>
      <c r="G35">
        <v>3</v>
      </c>
      <c r="H35">
        <v>1</v>
      </c>
      <c r="J35">
        <v>1</v>
      </c>
      <c r="K35" s="234" t="s">
        <v>934</v>
      </c>
      <c r="L35">
        <v>2030</v>
      </c>
      <c r="M35">
        <v>1</v>
      </c>
      <c r="N35" t="s">
        <v>932</v>
      </c>
      <c r="O35" t="s">
        <v>457</v>
      </c>
      <c r="Y35">
        <v>11.4</v>
      </c>
      <c r="Z35" t="s">
        <v>607</v>
      </c>
    </row>
    <row r="36" spans="1:26">
      <c r="A36" t="s">
        <v>792</v>
      </c>
      <c r="B36" t="s">
        <v>802</v>
      </c>
      <c r="C36" t="s">
        <v>803</v>
      </c>
      <c r="D36" t="s">
        <v>298</v>
      </c>
      <c r="E36">
        <v>2023</v>
      </c>
      <c r="K36" t="s">
        <v>935</v>
      </c>
      <c r="Z36" t="e">
        <v>#N/A</v>
      </c>
    </row>
    <row r="37" spans="1:26">
      <c r="A37" t="s">
        <v>792</v>
      </c>
      <c r="B37" t="s">
        <v>802</v>
      </c>
      <c r="C37" t="s">
        <v>803</v>
      </c>
      <c r="D37" t="s">
        <v>298</v>
      </c>
      <c r="E37">
        <v>2023</v>
      </c>
      <c r="F37">
        <v>1</v>
      </c>
      <c r="G37">
        <v>3</v>
      </c>
      <c r="H37">
        <v>1</v>
      </c>
      <c r="J37">
        <v>1</v>
      </c>
      <c r="K37" t="s">
        <v>834</v>
      </c>
      <c r="M37">
        <v>1</v>
      </c>
      <c r="O37" t="s">
        <v>805</v>
      </c>
      <c r="R37" t="s">
        <v>835</v>
      </c>
      <c r="T37">
        <v>2</v>
      </c>
      <c r="Z37" t="e">
        <v>#N/A</v>
      </c>
    </row>
    <row r="38" spans="1:26">
      <c r="A38" t="s">
        <v>792</v>
      </c>
      <c r="B38" t="s">
        <v>802</v>
      </c>
      <c r="C38" t="s">
        <v>803</v>
      </c>
      <c r="D38" t="s">
        <v>298</v>
      </c>
      <c r="E38">
        <v>2023</v>
      </c>
      <c r="K38" t="s">
        <v>936</v>
      </c>
      <c r="Z38" t="e">
        <v>#N/A</v>
      </c>
    </row>
    <row r="39" spans="1:26">
      <c r="A39" t="s">
        <v>792</v>
      </c>
      <c r="B39" t="s">
        <v>802</v>
      </c>
      <c r="C39" t="s">
        <v>803</v>
      </c>
      <c r="D39" t="s">
        <v>298</v>
      </c>
      <c r="E39">
        <v>2023</v>
      </c>
      <c r="F39">
        <v>1</v>
      </c>
      <c r="G39">
        <v>3</v>
      </c>
      <c r="H39">
        <v>1</v>
      </c>
      <c r="J39">
        <v>1</v>
      </c>
      <c r="K39" t="s">
        <v>836</v>
      </c>
      <c r="L39">
        <v>2030</v>
      </c>
      <c r="M39">
        <v>1</v>
      </c>
      <c r="O39" t="s">
        <v>805</v>
      </c>
      <c r="R39" t="s">
        <v>837</v>
      </c>
      <c r="T39">
        <v>1</v>
      </c>
      <c r="Z39" t="e">
        <v>#N/A</v>
      </c>
    </row>
    <row r="40" spans="1:26" ht="288">
      <c r="A40" t="s">
        <v>792</v>
      </c>
      <c r="B40" t="s">
        <v>802</v>
      </c>
      <c r="C40" t="s">
        <v>803</v>
      </c>
      <c r="D40" t="s">
        <v>298</v>
      </c>
      <c r="E40">
        <v>2023</v>
      </c>
      <c r="F40">
        <v>1</v>
      </c>
      <c r="G40">
        <v>3</v>
      </c>
      <c r="H40">
        <v>1</v>
      </c>
      <c r="J40">
        <v>1</v>
      </c>
      <c r="K40" t="s">
        <v>838</v>
      </c>
      <c r="M40">
        <v>1</v>
      </c>
      <c r="O40" t="s">
        <v>805</v>
      </c>
      <c r="R40" s="234" t="s">
        <v>839</v>
      </c>
      <c r="T40">
        <v>2</v>
      </c>
      <c r="U40" t="s">
        <v>840</v>
      </c>
      <c r="V40" t="s">
        <v>841</v>
      </c>
      <c r="Z40" t="e">
        <v>#N/A</v>
      </c>
    </row>
    <row r="41" spans="1:26">
      <c r="A41" t="s">
        <v>792</v>
      </c>
      <c r="B41" t="s">
        <v>802</v>
      </c>
      <c r="C41" t="s">
        <v>803</v>
      </c>
      <c r="D41" t="s">
        <v>298</v>
      </c>
      <c r="E41">
        <v>2023</v>
      </c>
      <c r="F41">
        <v>1</v>
      </c>
      <c r="G41">
        <v>3</v>
      </c>
      <c r="H41">
        <v>1</v>
      </c>
      <c r="J41">
        <v>1</v>
      </c>
      <c r="K41" t="s">
        <v>937</v>
      </c>
      <c r="M41">
        <v>1</v>
      </c>
      <c r="O41" t="s">
        <v>805</v>
      </c>
      <c r="R41" t="s">
        <v>938</v>
      </c>
      <c r="Z41" t="e">
        <v>#N/A</v>
      </c>
    </row>
    <row r="42" spans="1:26" ht="409.6">
      <c r="A42" t="s">
        <v>792</v>
      </c>
      <c r="B42" t="s">
        <v>802</v>
      </c>
      <c r="C42" t="s">
        <v>803</v>
      </c>
      <c r="D42" t="s">
        <v>298</v>
      </c>
      <c r="E42">
        <v>2023</v>
      </c>
      <c r="F42">
        <v>1</v>
      </c>
      <c r="G42">
        <v>3</v>
      </c>
      <c r="H42">
        <v>1</v>
      </c>
      <c r="J42">
        <v>1</v>
      </c>
      <c r="K42" t="s">
        <v>842</v>
      </c>
      <c r="M42">
        <v>1</v>
      </c>
      <c r="O42" t="s">
        <v>805</v>
      </c>
      <c r="R42" s="234" t="s">
        <v>843</v>
      </c>
      <c r="T42">
        <v>2</v>
      </c>
      <c r="Z42" t="e">
        <v>#N/A</v>
      </c>
    </row>
    <row r="43" spans="1:26">
      <c r="A43" t="s">
        <v>792</v>
      </c>
      <c r="B43" t="s">
        <v>802</v>
      </c>
      <c r="C43" t="s">
        <v>803</v>
      </c>
      <c r="D43" t="s">
        <v>298</v>
      </c>
      <c r="E43">
        <v>2023</v>
      </c>
      <c r="K43" t="s">
        <v>939</v>
      </c>
      <c r="L43">
        <v>2050</v>
      </c>
      <c r="N43" t="s">
        <v>940</v>
      </c>
    </row>
    <row r="44" spans="1:26">
      <c r="A44" t="s">
        <v>792</v>
      </c>
      <c r="B44" t="s">
        <v>802</v>
      </c>
      <c r="C44" t="s">
        <v>803</v>
      </c>
      <c r="D44" t="s">
        <v>298</v>
      </c>
      <c r="E44">
        <v>2023</v>
      </c>
      <c r="F44">
        <v>1</v>
      </c>
      <c r="G44">
        <v>3</v>
      </c>
      <c r="H44">
        <v>1</v>
      </c>
      <c r="J44">
        <v>1</v>
      </c>
      <c r="K44" t="s">
        <v>844</v>
      </c>
      <c r="L44">
        <v>2030</v>
      </c>
      <c r="M44">
        <v>1</v>
      </c>
      <c r="O44" t="s">
        <v>805</v>
      </c>
      <c r="R44" t="s">
        <v>845</v>
      </c>
      <c r="T44">
        <v>2</v>
      </c>
      <c r="Y44">
        <v>14.2</v>
      </c>
      <c r="Z44" t="s">
        <v>826</v>
      </c>
    </row>
    <row r="45" spans="1:26">
      <c r="A45" t="s">
        <v>792</v>
      </c>
      <c r="B45" t="s">
        <v>802</v>
      </c>
      <c r="C45" t="s">
        <v>803</v>
      </c>
      <c r="D45" t="s">
        <v>298</v>
      </c>
      <c r="E45">
        <v>2023</v>
      </c>
      <c r="F45">
        <v>1</v>
      </c>
      <c r="G45">
        <v>3</v>
      </c>
      <c r="H45">
        <v>1</v>
      </c>
      <c r="J45">
        <v>1</v>
      </c>
      <c r="K45" t="s">
        <v>941</v>
      </c>
      <c r="L45">
        <v>2030</v>
      </c>
      <c r="M45">
        <v>1</v>
      </c>
      <c r="O45" t="s">
        <v>805</v>
      </c>
      <c r="R45" t="s">
        <v>942</v>
      </c>
      <c r="Y45">
        <v>15.1</v>
      </c>
      <c r="Z45" t="s">
        <v>799</v>
      </c>
    </row>
    <row r="46" spans="1:26">
      <c r="A46" t="s">
        <v>792</v>
      </c>
      <c r="B46" t="s">
        <v>802</v>
      </c>
      <c r="C46" t="s">
        <v>891</v>
      </c>
      <c r="D46" t="s">
        <v>110</v>
      </c>
      <c r="E46">
        <v>2023</v>
      </c>
      <c r="F46">
        <v>0</v>
      </c>
    </row>
    <row r="47" spans="1:26" ht="304">
      <c r="A47" t="s">
        <v>792</v>
      </c>
      <c r="B47" t="s">
        <v>802</v>
      </c>
      <c r="C47" s="234" t="s">
        <v>943</v>
      </c>
      <c r="D47" t="s">
        <v>110</v>
      </c>
      <c r="E47">
        <v>2023</v>
      </c>
      <c r="F47">
        <v>0</v>
      </c>
    </row>
    <row r="48" spans="1:26">
      <c r="A48" t="s">
        <v>792</v>
      </c>
      <c r="B48" t="s">
        <v>802</v>
      </c>
      <c r="C48" t="s">
        <v>892</v>
      </c>
      <c r="D48" t="s">
        <v>321</v>
      </c>
      <c r="E48">
        <v>2023</v>
      </c>
      <c r="F48">
        <v>0</v>
      </c>
    </row>
    <row r="49" spans="1:39">
      <c r="A49" t="s">
        <v>792</v>
      </c>
      <c r="B49" t="s">
        <v>802</v>
      </c>
      <c r="C49" t="s">
        <v>846</v>
      </c>
      <c r="D49" t="s">
        <v>321</v>
      </c>
      <c r="E49">
        <v>2023</v>
      </c>
      <c r="F49">
        <v>0</v>
      </c>
      <c r="G49">
        <v>1</v>
      </c>
      <c r="H49">
        <v>0</v>
      </c>
      <c r="I49">
        <v>0</v>
      </c>
      <c r="J49">
        <v>1</v>
      </c>
      <c r="K49" t="s">
        <v>847</v>
      </c>
      <c r="M49">
        <v>1</v>
      </c>
      <c r="O49" t="s">
        <v>593</v>
      </c>
      <c r="R49" t="s">
        <v>848</v>
      </c>
      <c r="S49" t="s">
        <v>849</v>
      </c>
      <c r="T49">
        <v>2</v>
      </c>
      <c r="W49" t="s">
        <v>594</v>
      </c>
      <c r="X49" t="s">
        <v>850</v>
      </c>
      <c r="Y49">
        <v>14.4</v>
      </c>
      <c r="Z49" t="s">
        <v>826</v>
      </c>
      <c r="AB49" t="s">
        <v>851</v>
      </c>
      <c r="AM49" t="s">
        <v>309</v>
      </c>
    </row>
    <row r="50" spans="1:39">
      <c r="A50" t="s">
        <v>792</v>
      </c>
      <c r="B50" t="s">
        <v>802</v>
      </c>
      <c r="C50" t="s">
        <v>852</v>
      </c>
      <c r="D50" t="s">
        <v>298</v>
      </c>
      <c r="E50">
        <v>2019</v>
      </c>
      <c r="F50">
        <v>1</v>
      </c>
      <c r="G50">
        <v>3</v>
      </c>
      <c r="H50">
        <v>1</v>
      </c>
      <c r="J50">
        <v>1</v>
      </c>
      <c r="K50" t="s">
        <v>944</v>
      </c>
      <c r="M50">
        <v>1</v>
      </c>
      <c r="O50" t="s">
        <v>593</v>
      </c>
      <c r="W50" t="s">
        <v>862</v>
      </c>
      <c r="X50" t="s">
        <v>850</v>
      </c>
      <c r="Y50">
        <v>14.4</v>
      </c>
      <c r="Z50" t="s">
        <v>826</v>
      </c>
      <c r="AM50" t="s">
        <v>309</v>
      </c>
    </row>
    <row r="51" spans="1:39">
      <c r="A51" t="s">
        <v>792</v>
      </c>
      <c r="B51" t="s">
        <v>802</v>
      </c>
      <c r="C51" t="s">
        <v>852</v>
      </c>
      <c r="D51" t="s">
        <v>298</v>
      </c>
      <c r="E51">
        <v>2019</v>
      </c>
      <c r="F51">
        <v>1</v>
      </c>
      <c r="G51">
        <v>3</v>
      </c>
      <c r="H51">
        <v>1</v>
      </c>
      <c r="J51">
        <v>1</v>
      </c>
      <c r="K51" t="s">
        <v>853</v>
      </c>
      <c r="M51">
        <v>1</v>
      </c>
      <c r="N51" t="s">
        <v>854</v>
      </c>
      <c r="O51" t="s">
        <v>855</v>
      </c>
      <c r="R51" t="s">
        <v>856</v>
      </c>
      <c r="T51">
        <v>0</v>
      </c>
      <c r="W51" t="s">
        <v>594</v>
      </c>
      <c r="Y51">
        <v>14.6</v>
      </c>
      <c r="Z51" t="s">
        <v>826</v>
      </c>
      <c r="AM51" t="s">
        <v>309</v>
      </c>
    </row>
    <row r="52" spans="1:39">
      <c r="A52" t="s">
        <v>792</v>
      </c>
      <c r="B52" t="s">
        <v>802</v>
      </c>
      <c r="C52" t="s">
        <v>945</v>
      </c>
      <c r="D52" t="s">
        <v>321</v>
      </c>
      <c r="E52">
        <v>2023</v>
      </c>
      <c r="F52">
        <v>0</v>
      </c>
      <c r="M52" t="s">
        <v>424</v>
      </c>
    </row>
    <row r="53" spans="1:39">
      <c r="A53" t="s">
        <v>792</v>
      </c>
      <c r="B53" t="s">
        <v>802</v>
      </c>
      <c r="C53" t="s">
        <v>946</v>
      </c>
      <c r="D53" t="s">
        <v>321</v>
      </c>
      <c r="E53">
        <v>2022</v>
      </c>
      <c r="F53">
        <v>0</v>
      </c>
      <c r="M53" t="s">
        <v>424</v>
      </c>
      <c r="N53" t="s">
        <v>947</v>
      </c>
      <c r="W53" t="s">
        <v>862</v>
      </c>
      <c r="Z53" t="e">
        <v>#N/A</v>
      </c>
      <c r="AM53" t="s">
        <v>309</v>
      </c>
    </row>
    <row r="54" spans="1:39">
      <c r="A54" t="s">
        <v>792</v>
      </c>
      <c r="B54" t="s">
        <v>802</v>
      </c>
      <c r="C54" t="s">
        <v>857</v>
      </c>
      <c r="D54" t="s">
        <v>321</v>
      </c>
      <c r="E54">
        <v>2020</v>
      </c>
      <c r="F54">
        <v>0</v>
      </c>
      <c r="M54" t="s">
        <v>424</v>
      </c>
    </row>
    <row r="55" spans="1:39">
      <c r="A55" t="s">
        <v>792</v>
      </c>
      <c r="B55" t="s">
        <v>857</v>
      </c>
      <c r="C55" t="s">
        <v>794</v>
      </c>
      <c r="D55" t="s">
        <v>321</v>
      </c>
      <c r="E55">
        <v>2021</v>
      </c>
      <c r="F55">
        <v>0</v>
      </c>
      <c r="M55" t="s">
        <v>424</v>
      </c>
      <c r="Z55" t="e">
        <v>#N/A</v>
      </c>
      <c r="AA55" t="s">
        <v>203</v>
      </c>
      <c r="AB55" t="s">
        <v>812</v>
      </c>
      <c r="AM55" t="s">
        <v>309</v>
      </c>
    </row>
    <row r="56" spans="1:39">
      <c r="A56" t="s">
        <v>792</v>
      </c>
      <c r="B56" t="s">
        <v>857</v>
      </c>
      <c r="C56" t="s">
        <v>794</v>
      </c>
      <c r="D56" t="s">
        <v>321</v>
      </c>
      <c r="E56">
        <v>2021</v>
      </c>
      <c r="F56">
        <v>0</v>
      </c>
      <c r="G56">
        <v>0</v>
      </c>
      <c r="H56">
        <v>0</v>
      </c>
      <c r="I56">
        <v>0</v>
      </c>
      <c r="J56">
        <v>1</v>
      </c>
      <c r="K56" t="s">
        <v>948</v>
      </c>
      <c r="L56">
        <v>2030</v>
      </c>
      <c r="M56">
        <v>0</v>
      </c>
      <c r="O56" t="s">
        <v>796</v>
      </c>
      <c r="R56" t="s">
        <v>949</v>
      </c>
      <c r="T56">
        <v>2</v>
      </c>
      <c r="U56" t="s">
        <v>798</v>
      </c>
      <c r="W56" t="s">
        <v>344</v>
      </c>
      <c r="Y56">
        <v>15.3</v>
      </c>
      <c r="Z56" t="s">
        <v>799</v>
      </c>
      <c r="AA56" t="s">
        <v>209</v>
      </c>
      <c r="AB56" t="s">
        <v>950</v>
      </c>
      <c r="AM56" t="s">
        <v>309</v>
      </c>
    </row>
    <row r="57" spans="1:39">
      <c r="A57" t="s">
        <v>792</v>
      </c>
      <c r="B57" t="s">
        <v>857</v>
      </c>
      <c r="C57" t="s">
        <v>951</v>
      </c>
      <c r="D57" t="s">
        <v>101</v>
      </c>
      <c r="E57">
        <v>2023</v>
      </c>
      <c r="F57">
        <v>0</v>
      </c>
      <c r="M57" t="s">
        <v>424</v>
      </c>
    </row>
    <row r="58" spans="1:39">
      <c r="A58" t="s">
        <v>792</v>
      </c>
      <c r="B58" t="s">
        <v>857</v>
      </c>
      <c r="C58" t="s">
        <v>892</v>
      </c>
      <c r="D58" t="s">
        <v>321</v>
      </c>
      <c r="E58">
        <v>2023</v>
      </c>
      <c r="F58">
        <v>0</v>
      </c>
      <c r="M58" t="s">
        <v>424</v>
      </c>
      <c r="N58" t="s">
        <v>952</v>
      </c>
    </row>
    <row r="59" spans="1:39">
      <c r="A59" t="s">
        <v>792</v>
      </c>
      <c r="B59" t="s">
        <v>857</v>
      </c>
      <c r="C59" t="s">
        <v>857</v>
      </c>
      <c r="D59" t="s">
        <v>321</v>
      </c>
      <c r="E59">
        <v>2020</v>
      </c>
      <c r="F59">
        <v>0</v>
      </c>
      <c r="G59">
        <v>0</v>
      </c>
      <c r="H59">
        <v>0</v>
      </c>
      <c r="I59">
        <v>0</v>
      </c>
      <c r="J59">
        <v>1</v>
      </c>
      <c r="K59" t="s">
        <v>953</v>
      </c>
      <c r="L59">
        <v>2030</v>
      </c>
      <c r="M59">
        <v>0</v>
      </c>
      <c r="N59" t="s">
        <v>954</v>
      </c>
      <c r="O59" t="s">
        <v>859</v>
      </c>
      <c r="P59" t="s">
        <v>955</v>
      </c>
      <c r="Q59" t="s">
        <v>955</v>
      </c>
      <c r="R59" t="s">
        <v>956</v>
      </c>
      <c r="S59" t="s">
        <v>861</v>
      </c>
      <c r="T59">
        <v>0</v>
      </c>
      <c r="W59" t="s">
        <v>862</v>
      </c>
      <c r="X59" t="s">
        <v>594</v>
      </c>
      <c r="Y59">
        <v>14.4</v>
      </c>
      <c r="Z59" t="s">
        <v>826</v>
      </c>
      <c r="AA59" t="s">
        <v>212</v>
      </c>
      <c r="AM59" t="s">
        <v>309</v>
      </c>
    </row>
    <row r="60" spans="1:39">
      <c r="A60" t="s">
        <v>792</v>
      </c>
      <c r="B60" t="s">
        <v>857</v>
      </c>
      <c r="C60" t="s">
        <v>857</v>
      </c>
      <c r="D60" t="s">
        <v>321</v>
      </c>
      <c r="E60">
        <v>2020</v>
      </c>
      <c r="F60">
        <v>0</v>
      </c>
      <c r="G60">
        <v>0</v>
      </c>
      <c r="H60">
        <v>0</v>
      </c>
      <c r="I60">
        <v>0</v>
      </c>
      <c r="J60">
        <v>1</v>
      </c>
      <c r="K60" t="s">
        <v>957</v>
      </c>
      <c r="L60">
        <v>2030</v>
      </c>
      <c r="M60">
        <v>0</v>
      </c>
      <c r="O60" t="s">
        <v>859</v>
      </c>
      <c r="P60" t="s">
        <v>958</v>
      </c>
      <c r="R60" t="s">
        <v>959</v>
      </c>
      <c r="S60" t="s">
        <v>519</v>
      </c>
      <c r="T60">
        <v>2</v>
      </c>
      <c r="W60" t="s">
        <v>862</v>
      </c>
      <c r="X60" t="s">
        <v>594</v>
      </c>
      <c r="Y60">
        <v>14.4</v>
      </c>
      <c r="Z60" t="s">
        <v>826</v>
      </c>
      <c r="AA60" t="s">
        <v>212</v>
      </c>
      <c r="AM60" t="s">
        <v>309</v>
      </c>
    </row>
    <row r="61" spans="1:39">
      <c r="A61" t="s">
        <v>792</v>
      </c>
      <c r="B61" t="s">
        <v>857</v>
      </c>
      <c r="C61" t="s">
        <v>857</v>
      </c>
      <c r="D61" t="s">
        <v>321</v>
      </c>
      <c r="E61">
        <v>2020</v>
      </c>
      <c r="F61">
        <v>0</v>
      </c>
      <c r="G61">
        <v>1</v>
      </c>
      <c r="H61">
        <v>0</v>
      </c>
      <c r="I61">
        <v>0</v>
      </c>
      <c r="J61">
        <v>1</v>
      </c>
      <c r="K61" t="s">
        <v>858</v>
      </c>
      <c r="L61">
        <v>2030</v>
      </c>
      <c r="M61">
        <v>1</v>
      </c>
      <c r="O61" t="s">
        <v>859</v>
      </c>
      <c r="R61" t="s">
        <v>860</v>
      </c>
      <c r="S61" t="s">
        <v>861</v>
      </c>
      <c r="T61">
        <v>0</v>
      </c>
      <c r="X61" t="s">
        <v>862</v>
      </c>
      <c r="Y61" t="s">
        <v>863</v>
      </c>
      <c r="Z61" t="s">
        <v>607</v>
      </c>
      <c r="AA61" t="s">
        <v>212</v>
      </c>
      <c r="AM61" t="s">
        <v>309</v>
      </c>
    </row>
    <row r="62" spans="1:39">
      <c r="A62" t="s">
        <v>792</v>
      </c>
      <c r="B62" t="s">
        <v>857</v>
      </c>
      <c r="C62" t="s">
        <v>857</v>
      </c>
      <c r="D62" t="s">
        <v>321</v>
      </c>
      <c r="E62">
        <v>2020</v>
      </c>
      <c r="F62">
        <v>0</v>
      </c>
      <c r="G62">
        <v>1</v>
      </c>
      <c r="H62">
        <v>0</v>
      </c>
      <c r="I62">
        <v>0</v>
      </c>
      <c r="J62">
        <v>1</v>
      </c>
      <c r="K62" t="s">
        <v>864</v>
      </c>
      <c r="L62">
        <v>2030</v>
      </c>
      <c r="M62">
        <v>1</v>
      </c>
      <c r="N62" t="s">
        <v>865</v>
      </c>
      <c r="O62" t="s">
        <v>859</v>
      </c>
      <c r="R62" t="s">
        <v>866</v>
      </c>
      <c r="S62" t="s">
        <v>303</v>
      </c>
      <c r="T62">
        <v>2</v>
      </c>
      <c r="U62" t="s">
        <v>867</v>
      </c>
      <c r="V62" t="s">
        <v>868</v>
      </c>
      <c r="X62" t="s">
        <v>862</v>
      </c>
      <c r="Y62">
        <v>15.5</v>
      </c>
      <c r="Z62" t="s">
        <v>799</v>
      </c>
      <c r="AA62" t="s">
        <v>212</v>
      </c>
    </row>
    <row r="63" spans="1:39">
      <c r="A63" t="s">
        <v>792</v>
      </c>
      <c r="B63" t="s">
        <v>857</v>
      </c>
      <c r="C63" t="s">
        <v>857</v>
      </c>
      <c r="D63" t="s">
        <v>321</v>
      </c>
      <c r="E63">
        <v>2020</v>
      </c>
      <c r="F63">
        <v>0</v>
      </c>
      <c r="G63">
        <v>1</v>
      </c>
      <c r="H63">
        <v>0</v>
      </c>
      <c r="I63">
        <v>0</v>
      </c>
      <c r="J63">
        <v>1</v>
      </c>
      <c r="K63" t="s">
        <v>869</v>
      </c>
      <c r="L63">
        <v>2030</v>
      </c>
      <c r="M63">
        <v>1</v>
      </c>
      <c r="N63" t="s">
        <v>870</v>
      </c>
      <c r="O63" t="s">
        <v>859</v>
      </c>
      <c r="R63" t="s">
        <v>871</v>
      </c>
      <c r="S63" t="s">
        <v>872</v>
      </c>
      <c r="T63">
        <v>0</v>
      </c>
      <c r="X63" t="s">
        <v>862</v>
      </c>
      <c r="Y63">
        <v>15.5</v>
      </c>
      <c r="Z63" t="s">
        <v>799</v>
      </c>
      <c r="AA63" t="s">
        <v>212</v>
      </c>
    </row>
    <row r="64" spans="1:39">
      <c r="A64" t="s">
        <v>792</v>
      </c>
      <c r="B64" t="s">
        <v>857</v>
      </c>
      <c r="C64" t="s">
        <v>857</v>
      </c>
      <c r="D64" t="s">
        <v>321</v>
      </c>
      <c r="E64">
        <v>2020</v>
      </c>
      <c r="F64">
        <v>0</v>
      </c>
      <c r="H64">
        <v>0</v>
      </c>
      <c r="I64">
        <v>0</v>
      </c>
      <c r="K64" t="s">
        <v>960</v>
      </c>
      <c r="L64">
        <v>2030</v>
      </c>
      <c r="M64">
        <v>1</v>
      </c>
      <c r="N64" t="s">
        <v>961</v>
      </c>
      <c r="O64" t="s">
        <v>859</v>
      </c>
      <c r="R64" t="s">
        <v>962</v>
      </c>
      <c r="S64" t="s">
        <v>861</v>
      </c>
      <c r="T64">
        <v>0</v>
      </c>
      <c r="X64" t="s">
        <v>862</v>
      </c>
      <c r="Y64">
        <v>6.6</v>
      </c>
      <c r="Z64" t="s">
        <v>833</v>
      </c>
      <c r="AA64" t="s">
        <v>212</v>
      </c>
      <c r="AJ64" t="s">
        <v>310</v>
      </c>
      <c r="AM64" t="s">
        <v>309</v>
      </c>
    </row>
    <row r="65" spans="1:40">
      <c r="A65" t="s">
        <v>792</v>
      </c>
      <c r="B65" t="s">
        <v>857</v>
      </c>
      <c r="C65" t="s">
        <v>857</v>
      </c>
      <c r="D65" t="s">
        <v>321</v>
      </c>
      <c r="E65">
        <v>2020</v>
      </c>
      <c r="F65">
        <v>0</v>
      </c>
      <c r="G65">
        <v>0</v>
      </c>
      <c r="H65">
        <v>0</v>
      </c>
      <c r="I65">
        <v>0</v>
      </c>
      <c r="J65">
        <v>1</v>
      </c>
      <c r="K65" t="s">
        <v>963</v>
      </c>
      <c r="L65">
        <v>2030</v>
      </c>
      <c r="M65">
        <v>0</v>
      </c>
      <c r="O65" t="s">
        <v>859</v>
      </c>
      <c r="R65" t="s">
        <v>964</v>
      </c>
      <c r="S65" t="s">
        <v>303</v>
      </c>
      <c r="T65">
        <v>2</v>
      </c>
      <c r="X65" t="s">
        <v>862</v>
      </c>
      <c r="Y65">
        <v>15.3</v>
      </c>
      <c r="Z65" t="s">
        <v>799</v>
      </c>
      <c r="AA65" t="s">
        <v>212</v>
      </c>
      <c r="AM65" t="s">
        <v>309</v>
      </c>
      <c r="AN65" t="s">
        <v>310</v>
      </c>
    </row>
    <row r="66" spans="1:40">
      <c r="A66" t="s">
        <v>792</v>
      </c>
      <c r="B66" t="s">
        <v>857</v>
      </c>
      <c r="C66" t="s">
        <v>857</v>
      </c>
      <c r="D66" t="s">
        <v>321</v>
      </c>
      <c r="E66">
        <v>2020</v>
      </c>
      <c r="F66">
        <v>0</v>
      </c>
      <c r="H66">
        <v>0</v>
      </c>
      <c r="I66">
        <v>0</v>
      </c>
      <c r="K66" t="s">
        <v>965</v>
      </c>
      <c r="L66">
        <v>2030</v>
      </c>
      <c r="M66">
        <v>1</v>
      </c>
      <c r="N66" t="s">
        <v>961</v>
      </c>
      <c r="O66" t="s">
        <v>859</v>
      </c>
      <c r="R66" t="s">
        <v>966</v>
      </c>
      <c r="S66" t="s">
        <v>303</v>
      </c>
      <c r="T66">
        <v>2</v>
      </c>
      <c r="U66" t="s">
        <v>331</v>
      </c>
      <c r="X66" t="s">
        <v>862</v>
      </c>
      <c r="Y66">
        <v>15.2</v>
      </c>
      <c r="Z66" t="s">
        <v>799</v>
      </c>
      <c r="AA66" t="s">
        <v>212</v>
      </c>
      <c r="AM66" t="s">
        <v>309</v>
      </c>
    </row>
    <row r="67" spans="1:40">
      <c r="A67" t="s">
        <v>792</v>
      </c>
      <c r="B67" t="s">
        <v>857</v>
      </c>
      <c r="C67" t="s">
        <v>857</v>
      </c>
      <c r="D67" t="s">
        <v>321</v>
      </c>
      <c r="E67">
        <v>2020</v>
      </c>
      <c r="F67">
        <v>0</v>
      </c>
      <c r="G67">
        <v>1</v>
      </c>
      <c r="H67">
        <v>0</v>
      </c>
      <c r="I67">
        <v>0</v>
      </c>
      <c r="J67">
        <v>1</v>
      </c>
      <c r="K67" t="s">
        <v>873</v>
      </c>
      <c r="L67">
        <v>2030</v>
      </c>
      <c r="M67">
        <v>1</v>
      </c>
      <c r="O67" t="s">
        <v>859</v>
      </c>
      <c r="R67" t="s">
        <v>874</v>
      </c>
      <c r="S67" t="s">
        <v>303</v>
      </c>
      <c r="T67">
        <v>2</v>
      </c>
      <c r="U67" t="s">
        <v>875</v>
      </c>
      <c r="V67" t="s">
        <v>876</v>
      </c>
      <c r="X67" t="s">
        <v>862</v>
      </c>
      <c r="Y67">
        <v>2.4</v>
      </c>
      <c r="Z67" t="s">
        <v>877</v>
      </c>
      <c r="AA67" t="s">
        <v>212</v>
      </c>
      <c r="AM67" t="s">
        <v>309</v>
      </c>
    </row>
    <row r="68" spans="1:40">
      <c r="A68" t="s">
        <v>792</v>
      </c>
      <c r="B68" t="s">
        <v>857</v>
      </c>
      <c r="C68" t="s">
        <v>857</v>
      </c>
      <c r="D68" t="s">
        <v>321</v>
      </c>
      <c r="E68">
        <v>2020</v>
      </c>
      <c r="F68">
        <v>0</v>
      </c>
      <c r="G68">
        <v>1</v>
      </c>
      <c r="H68">
        <v>0</v>
      </c>
      <c r="I68">
        <v>0</v>
      </c>
      <c r="J68">
        <v>1</v>
      </c>
      <c r="K68" t="s">
        <v>878</v>
      </c>
      <c r="L68">
        <v>2030</v>
      </c>
      <c r="M68">
        <v>1</v>
      </c>
      <c r="O68" t="s">
        <v>859</v>
      </c>
      <c r="R68" t="s">
        <v>879</v>
      </c>
      <c r="S68" t="s">
        <v>861</v>
      </c>
      <c r="T68">
        <v>0</v>
      </c>
      <c r="X68" t="s">
        <v>862</v>
      </c>
      <c r="Y68">
        <v>2.4</v>
      </c>
      <c r="Z68" t="s">
        <v>877</v>
      </c>
      <c r="AA68" t="s">
        <v>212</v>
      </c>
    </row>
    <row r="69" spans="1:40" ht="395">
      <c r="A69" t="s">
        <v>792</v>
      </c>
      <c r="B69" t="s">
        <v>857</v>
      </c>
      <c r="C69" t="s">
        <v>857</v>
      </c>
      <c r="D69" t="s">
        <v>321</v>
      </c>
      <c r="E69">
        <v>2020</v>
      </c>
      <c r="F69">
        <v>0</v>
      </c>
      <c r="G69">
        <v>1</v>
      </c>
      <c r="H69">
        <v>0</v>
      </c>
      <c r="I69">
        <v>0</v>
      </c>
      <c r="J69">
        <v>1</v>
      </c>
      <c r="K69" t="s">
        <v>880</v>
      </c>
      <c r="L69">
        <v>2030</v>
      </c>
      <c r="M69">
        <v>1</v>
      </c>
      <c r="N69" s="234" t="s">
        <v>881</v>
      </c>
      <c r="O69" t="s">
        <v>859</v>
      </c>
      <c r="R69" t="s">
        <v>882</v>
      </c>
      <c r="S69" t="s">
        <v>440</v>
      </c>
      <c r="T69">
        <v>3</v>
      </c>
      <c r="U69" t="s">
        <v>331</v>
      </c>
      <c r="X69" t="s">
        <v>862</v>
      </c>
      <c r="Y69">
        <v>12.4</v>
      </c>
      <c r="Z69" t="s">
        <v>614</v>
      </c>
      <c r="AA69" t="s">
        <v>212</v>
      </c>
    </row>
    <row r="70" spans="1:40">
      <c r="A70" t="s">
        <v>792</v>
      </c>
      <c r="B70" t="s">
        <v>857</v>
      </c>
      <c r="C70" t="s">
        <v>857</v>
      </c>
      <c r="D70" t="s">
        <v>321</v>
      </c>
      <c r="E70">
        <v>2020</v>
      </c>
      <c r="F70">
        <v>0</v>
      </c>
      <c r="H70">
        <v>0</v>
      </c>
      <c r="I70">
        <v>0</v>
      </c>
      <c r="K70" t="s">
        <v>967</v>
      </c>
      <c r="L70">
        <v>2030</v>
      </c>
      <c r="M70">
        <v>1</v>
      </c>
      <c r="N70" t="s">
        <v>961</v>
      </c>
      <c r="O70" t="s">
        <v>859</v>
      </c>
      <c r="R70" t="s">
        <v>968</v>
      </c>
      <c r="S70" t="s">
        <v>969</v>
      </c>
      <c r="T70">
        <v>1</v>
      </c>
      <c r="U70" t="s">
        <v>331</v>
      </c>
      <c r="X70" t="s">
        <v>862</v>
      </c>
      <c r="Y70">
        <v>15.5</v>
      </c>
      <c r="Z70" t="s">
        <v>799</v>
      </c>
      <c r="AA70" t="s">
        <v>212</v>
      </c>
    </row>
    <row r="71" spans="1:40">
      <c r="A71" t="s">
        <v>792</v>
      </c>
      <c r="B71" t="s">
        <v>857</v>
      </c>
      <c r="C71" t="s">
        <v>857</v>
      </c>
      <c r="D71" t="s">
        <v>321</v>
      </c>
      <c r="E71">
        <v>2020</v>
      </c>
      <c r="F71">
        <v>0</v>
      </c>
      <c r="H71">
        <v>0</v>
      </c>
      <c r="I71">
        <v>0</v>
      </c>
      <c r="K71" t="s">
        <v>970</v>
      </c>
      <c r="L71">
        <v>2030</v>
      </c>
      <c r="M71">
        <v>1</v>
      </c>
      <c r="N71" t="s">
        <v>961</v>
      </c>
      <c r="O71" t="s">
        <v>859</v>
      </c>
      <c r="R71" t="s">
        <v>971</v>
      </c>
      <c r="S71" t="s">
        <v>861</v>
      </c>
      <c r="T71">
        <v>0</v>
      </c>
      <c r="U71" t="s">
        <v>331</v>
      </c>
      <c r="X71" t="s">
        <v>862</v>
      </c>
      <c r="Y71">
        <v>15.5</v>
      </c>
      <c r="Z71" t="s">
        <v>799</v>
      </c>
      <c r="AA71" t="s">
        <v>212</v>
      </c>
    </row>
    <row r="72" spans="1:40">
      <c r="A72" t="s">
        <v>792</v>
      </c>
      <c r="B72" t="s">
        <v>857</v>
      </c>
      <c r="C72" t="s">
        <v>857</v>
      </c>
      <c r="D72" t="s">
        <v>321</v>
      </c>
      <c r="E72">
        <v>2020</v>
      </c>
      <c r="F72">
        <v>0</v>
      </c>
      <c r="G72">
        <v>0</v>
      </c>
      <c r="H72">
        <v>0</v>
      </c>
      <c r="I72">
        <v>0</v>
      </c>
      <c r="J72">
        <v>1</v>
      </c>
      <c r="K72" t="s">
        <v>972</v>
      </c>
      <c r="L72">
        <v>2030</v>
      </c>
      <c r="M72">
        <v>0</v>
      </c>
      <c r="O72" t="s">
        <v>859</v>
      </c>
      <c r="R72" t="s">
        <v>973</v>
      </c>
      <c r="S72" t="s">
        <v>861</v>
      </c>
      <c r="T72">
        <v>0</v>
      </c>
      <c r="U72" t="s">
        <v>331</v>
      </c>
      <c r="X72" t="s">
        <v>862</v>
      </c>
      <c r="Y72">
        <v>15.1</v>
      </c>
      <c r="Z72" t="s">
        <v>799</v>
      </c>
      <c r="AA72" t="s">
        <v>212</v>
      </c>
    </row>
    <row r="73" spans="1:40">
      <c r="A73" t="s">
        <v>792</v>
      </c>
      <c r="B73" t="s">
        <v>857</v>
      </c>
      <c r="C73" t="s">
        <v>857</v>
      </c>
      <c r="D73" t="s">
        <v>321</v>
      </c>
      <c r="E73">
        <v>2020</v>
      </c>
      <c r="F73">
        <v>0</v>
      </c>
      <c r="G73">
        <v>1</v>
      </c>
      <c r="H73">
        <v>0</v>
      </c>
      <c r="I73">
        <v>0</v>
      </c>
      <c r="J73">
        <v>1</v>
      </c>
      <c r="K73" t="s">
        <v>883</v>
      </c>
      <c r="L73">
        <v>2030</v>
      </c>
      <c r="M73">
        <v>1</v>
      </c>
      <c r="O73" t="s">
        <v>859</v>
      </c>
      <c r="Q73" t="s">
        <v>884</v>
      </c>
      <c r="R73" t="s">
        <v>885</v>
      </c>
      <c r="S73" t="s">
        <v>886</v>
      </c>
      <c r="T73">
        <v>3</v>
      </c>
      <c r="U73" t="s">
        <v>331</v>
      </c>
      <c r="X73" t="s">
        <v>862</v>
      </c>
      <c r="Y73">
        <v>15.1</v>
      </c>
      <c r="Z73" t="s">
        <v>799</v>
      </c>
      <c r="AA73" t="s">
        <v>212</v>
      </c>
    </row>
    <row r="74" spans="1:40">
      <c r="A74" t="s">
        <v>792</v>
      </c>
      <c r="B74" t="s">
        <v>857</v>
      </c>
      <c r="C74" t="s">
        <v>857</v>
      </c>
      <c r="D74" t="s">
        <v>321</v>
      </c>
      <c r="E74">
        <v>2020</v>
      </c>
      <c r="F74">
        <v>0</v>
      </c>
      <c r="G74">
        <v>1</v>
      </c>
      <c r="H74">
        <v>0</v>
      </c>
      <c r="I74">
        <v>0</v>
      </c>
      <c r="J74">
        <v>1</v>
      </c>
      <c r="K74" t="s">
        <v>887</v>
      </c>
      <c r="L74">
        <v>2030</v>
      </c>
      <c r="M74">
        <v>1</v>
      </c>
      <c r="O74" t="s">
        <v>859</v>
      </c>
      <c r="Q74" t="s">
        <v>888</v>
      </c>
      <c r="R74" t="s">
        <v>889</v>
      </c>
      <c r="S74" t="s">
        <v>303</v>
      </c>
      <c r="T74">
        <v>2</v>
      </c>
      <c r="U74" t="s">
        <v>331</v>
      </c>
      <c r="X74" t="s">
        <v>862</v>
      </c>
      <c r="Y74">
        <v>15.1</v>
      </c>
      <c r="Z74" t="s">
        <v>799</v>
      </c>
      <c r="AA74" t="s">
        <v>212</v>
      </c>
    </row>
    <row r="75" spans="1:40" ht="80">
      <c r="A75" t="s">
        <v>792</v>
      </c>
      <c r="B75" t="s">
        <v>857</v>
      </c>
      <c r="C75" t="s">
        <v>857</v>
      </c>
      <c r="D75" t="s">
        <v>321</v>
      </c>
      <c r="E75">
        <v>2020</v>
      </c>
      <c r="F75">
        <v>0</v>
      </c>
      <c r="H75">
        <v>0</v>
      </c>
      <c r="I75">
        <v>0</v>
      </c>
      <c r="K75" t="s">
        <v>974</v>
      </c>
      <c r="L75">
        <v>2030</v>
      </c>
      <c r="M75">
        <v>1</v>
      </c>
      <c r="N75" t="s">
        <v>961</v>
      </c>
      <c r="O75" t="s">
        <v>859</v>
      </c>
      <c r="Q75" t="s">
        <v>975</v>
      </c>
      <c r="R75" t="s">
        <v>976</v>
      </c>
      <c r="S75" t="s">
        <v>519</v>
      </c>
      <c r="T75">
        <v>2</v>
      </c>
      <c r="U75" t="s">
        <v>977</v>
      </c>
      <c r="V75" s="234" t="s">
        <v>978</v>
      </c>
      <c r="X75" t="s">
        <v>862</v>
      </c>
      <c r="Y75">
        <v>14.5</v>
      </c>
      <c r="Z75" t="s">
        <v>826</v>
      </c>
      <c r="AA75" t="s">
        <v>212</v>
      </c>
    </row>
    <row r="76" spans="1:40">
      <c r="A76" t="s">
        <v>792</v>
      </c>
      <c r="B76" t="s">
        <v>857</v>
      </c>
      <c r="C76" t="s">
        <v>857</v>
      </c>
      <c r="D76" t="s">
        <v>321</v>
      </c>
      <c r="E76">
        <v>2020</v>
      </c>
      <c r="F76">
        <v>0</v>
      </c>
      <c r="H76">
        <v>0</v>
      </c>
      <c r="I76">
        <v>0</v>
      </c>
      <c r="K76" t="s">
        <v>979</v>
      </c>
      <c r="L76">
        <v>2030</v>
      </c>
      <c r="M76">
        <v>1</v>
      </c>
      <c r="N76" t="s">
        <v>961</v>
      </c>
      <c r="O76" t="s">
        <v>859</v>
      </c>
      <c r="Q76" t="s">
        <v>975</v>
      </c>
      <c r="R76" t="s">
        <v>980</v>
      </c>
      <c r="S76" t="s">
        <v>519</v>
      </c>
      <c r="T76">
        <v>2</v>
      </c>
      <c r="U76" t="s">
        <v>981</v>
      </c>
      <c r="V76" t="s">
        <v>982</v>
      </c>
      <c r="W76" t="s">
        <v>344</v>
      </c>
      <c r="X76" t="s">
        <v>862</v>
      </c>
      <c r="Y76">
        <v>15.1</v>
      </c>
      <c r="Z76" t="s">
        <v>799</v>
      </c>
      <c r="AA76" t="s">
        <v>212</v>
      </c>
      <c r="AM76" t="s">
        <v>309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79"/>
  <sheetViews>
    <sheetView workbookViewId="0">
      <selection activeCell="M76" sqref="M76"/>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hidden="1">
      <c r="A2" t="s">
        <v>792</v>
      </c>
      <c r="B2" t="s">
        <v>793</v>
      </c>
      <c r="C2" t="s">
        <v>794</v>
      </c>
      <c r="D2" t="s">
        <v>321</v>
      </c>
      <c r="E2">
        <v>2021</v>
      </c>
      <c r="F2">
        <v>0</v>
      </c>
      <c r="G2">
        <v>0</v>
      </c>
      <c r="H2">
        <v>0</v>
      </c>
      <c r="I2">
        <v>0</v>
      </c>
      <c r="J2">
        <v>1</v>
      </c>
      <c r="K2" t="s">
        <v>890</v>
      </c>
      <c r="L2">
        <v>2030</v>
      </c>
      <c r="M2">
        <v>0</v>
      </c>
      <c r="O2" t="s">
        <v>796</v>
      </c>
      <c r="U2" t="s">
        <v>798</v>
      </c>
      <c r="W2" t="s">
        <v>344</v>
      </c>
      <c r="Y2">
        <v>15.3</v>
      </c>
      <c r="Z2" t="s">
        <v>799</v>
      </c>
      <c r="AA2" t="s">
        <v>203</v>
      </c>
      <c r="AB2" t="s">
        <v>812</v>
      </c>
      <c r="AM2" t="s">
        <v>309</v>
      </c>
    </row>
    <row r="3" spans="1:62">
      <c r="A3" t="s">
        <v>792</v>
      </c>
      <c r="B3" t="s">
        <v>793</v>
      </c>
      <c r="C3" t="s">
        <v>794</v>
      </c>
      <c r="D3" t="s">
        <v>321</v>
      </c>
      <c r="E3">
        <v>2021</v>
      </c>
      <c r="F3">
        <v>0</v>
      </c>
      <c r="G3">
        <v>1</v>
      </c>
      <c r="H3">
        <v>0</v>
      </c>
      <c r="I3">
        <v>0</v>
      </c>
      <c r="J3">
        <v>1</v>
      </c>
      <c r="K3" t="s">
        <v>795</v>
      </c>
      <c r="L3">
        <v>2030</v>
      </c>
      <c r="M3">
        <v>1</v>
      </c>
      <c r="O3" t="s">
        <v>796</v>
      </c>
      <c r="R3" t="s">
        <v>797</v>
      </c>
      <c r="T3">
        <v>1</v>
      </c>
      <c r="U3" t="s">
        <v>798</v>
      </c>
      <c r="W3" t="s">
        <v>344</v>
      </c>
      <c r="Y3">
        <v>15.3</v>
      </c>
      <c r="Z3" t="s">
        <v>799</v>
      </c>
      <c r="AA3" t="s">
        <v>190</v>
      </c>
      <c r="AB3" t="s">
        <v>800</v>
      </c>
      <c r="AC3" t="s">
        <v>801</v>
      </c>
      <c r="AM3" t="s">
        <v>309</v>
      </c>
    </row>
    <row r="4" spans="1:62" hidden="1">
      <c r="A4" t="s">
        <v>792</v>
      </c>
      <c r="B4" t="s">
        <v>164</v>
      </c>
      <c r="C4" t="s">
        <v>891</v>
      </c>
      <c r="D4" t="s">
        <v>110</v>
      </c>
      <c r="E4">
        <v>2023</v>
      </c>
      <c r="F4">
        <v>0</v>
      </c>
      <c r="M4" t="s">
        <v>424</v>
      </c>
      <c r="Z4" t="e">
        <v>#N/A</v>
      </c>
    </row>
    <row r="5" spans="1:62" hidden="1">
      <c r="A5" t="s">
        <v>792</v>
      </c>
      <c r="B5" t="s">
        <v>164</v>
      </c>
      <c r="C5" t="s">
        <v>892</v>
      </c>
      <c r="D5" t="s">
        <v>321</v>
      </c>
      <c r="E5">
        <v>2023</v>
      </c>
      <c r="F5">
        <v>0</v>
      </c>
      <c r="K5" t="s">
        <v>893</v>
      </c>
      <c r="M5" t="s">
        <v>424</v>
      </c>
      <c r="R5" t="s">
        <v>894</v>
      </c>
      <c r="Z5" t="e">
        <v>#N/A</v>
      </c>
    </row>
    <row r="6" spans="1:62" hidden="1">
      <c r="A6" t="s">
        <v>792</v>
      </c>
      <c r="B6" t="s">
        <v>164</v>
      </c>
      <c r="C6" t="s">
        <v>895</v>
      </c>
      <c r="D6" t="s">
        <v>321</v>
      </c>
      <c r="E6">
        <v>2021</v>
      </c>
      <c r="F6">
        <v>0</v>
      </c>
      <c r="G6">
        <v>0</v>
      </c>
      <c r="H6">
        <v>0</v>
      </c>
      <c r="I6">
        <v>0</v>
      </c>
      <c r="J6">
        <v>1</v>
      </c>
      <c r="K6" t="s">
        <v>896</v>
      </c>
      <c r="L6">
        <v>2030</v>
      </c>
      <c r="M6">
        <v>0</v>
      </c>
      <c r="N6" t="s">
        <v>897</v>
      </c>
      <c r="O6" t="s">
        <v>898</v>
      </c>
      <c r="R6" t="s">
        <v>899</v>
      </c>
      <c r="T6">
        <v>3</v>
      </c>
      <c r="W6" t="s">
        <v>810</v>
      </c>
      <c r="Y6">
        <v>15.2</v>
      </c>
      <c r="Z6" t="s">
        <v>799</v>
      </c>
      <c r="AA6" t="s">
        <v>203</v>
      </c>
      <c r="AB6" t="s">
        <v>812</v>
      </c>
      <c r="AM6" t="s">
        <v>309</v>
      </c>
    </row>
    <row r="7" spans="1:62" ht="409.6" hidden="1">
      <c r="A7" t="s">
        <v>792</v>
      </c>
      <c r="B7" t="s">
        <v>164</v>
      </c>
      <c r="C7" t="s">
        <v>895</v>
      </c>
      <c r="D7" t="s">
        <v>321</v>
      </c>
      <c r="E7">
        <v>2021</v>
      </c>
      <c r="F7">
        <v>0</v>
      </c>
      <c r="G7">
        <v>0</v>
      </c>
      <c r="H7">
        <v>0</v>
      </c>
      <c r="I7">
        <v>0</v>
      </c>
      <c r="J7">
        <v>1</v>
      </c>
      <c r="K7" t="s">
        <v>900</v>
      </c>
      <c r="L7">
        <v>2030</v>
      </c>
      <c r="M7">
        <v>0</v>
      </c>
      <c r="N7" t="s">
        <v>897</v>
      </c>
      <c r="O7" t="s">
        <v>898</v>
      </c>
      <c r="R7" s="234" t="s">
        <v>901</v>
      </c>
      <c r="T7">
        <v>2</v>
      </c>
      <c r="W7" t="s">
        <v>810</v>
      </c>
      <c r="Y7">
        <v>15.2</v>
      </c>
      <c r="Z7" t="s">
        <v>799</v>
      </c>
      <c r="AA7" t="s">
        <v>203</v>
      </c>
      <c r="AB7" t="s">
        <v>812</v>
      </c>
      <c r="AK7" t="s">
        <v>310</v>
      </c>
      <c r="AM7" t="s">
        <v>309</v>
      </c>
    </row>
    <row r="8" spans="1:62" hidden="1">
      <c r="A8" t="s">
        <v>792</v>
      </c>
      <c r="B8" t="s">
        <v>164</v>
      </c>
      <c r="C8" t="s">
        <v>895</v>
      </c>
      <c r="D8" t="s">
        <v>321</v>
      </c>
      <c r="E8">
        <v>2021</v>
      </c>
      <c r="F8">
        <v>0</v>
      </c>
      <c r="G8">
        <v>0</v>
      </c>
      <c r="H8">
        <v>0</v>
      </c>
      <c r="I8">
        <v>0</v>
      </c>
      <c r="J8">
        <v>1</v>
      </c>
      <c r="K8" t="s">
        <v>902</v>
      </c>
      <c r="L8">
        <v>2030</v>
      </c>
      <c r="M8">
        <v>0</v>
      </c>
      <c r="N8" t="s">
        <v>897</v>
      </c>
      <c r="O8" t="s">
        <v>898</v>
      </c>
      <c r="R8" t="s">
        <v>903</v>
      </c>
      <c r="T8">
        <v>3</v>
      </c>
      <c r="W8" t="s">
        <v>810</v>
      </c>
      <c r="Y8">
        <v>15.2</v>
      </c>
      <c r="Z8" t="s">
        <v>799</v>
      </c>
      <c r="AA8" t="s">
        <v>203</v>
      </c>
      <c r="AB8" t="s">
        <v>812</v>
      </c>
      <c r="AM8" t="s">
        <v>309</v>
      </c>
    </row>
    <row r="9" spans="1:62" ht="335" hidden="1">
      <c r="A9" t="s">
        <v>792</v>
      </c>
      <c r="B9" t="s">
        <v>164</v>
      </c>
      <c r="C9" t="s">
        <v>895</v>
      </c>
      <c r="D9" t="s">
        <v>321</v>
      </c>
      <c r="E9">
        <v>2021</v>
      </c>
      <c r="F9">
        <v>0</v>
      </c>
      <c r="G9">
        <v>0</v>
      </c>
      <c r="H9">
        <v>0</v>
      </c>
      <c r="I9">
        <v>0</v>
      </c>
      <c r="J9">
        <v>1</v>
      </c>
      <c r="K9" t="s">
        <v>904</v>
      </c>
      <c r="L9">
        <v>2030</v>
      </c>
      <c r="M9">
        <v>0</v>
      </c>
      <c r="N9" s="234" t="s">
        <v>905</v>
      </c>
      <c r="O9" t="s">
        <v>906</v>
      </c>
      <c r="W9" t="s">
        <v>810</v>
      </c>
      <c r="Y9">
        <v>4.7</v>
      </c>
      <c r="Z9" t="s">
        <v>907</v>
      </c>
      <c r="AA9" t="s">
        <v>203</v>
      </c>
      <c r="AB9" t="s">
        <v>812</v>
      </c>
      <c r="AM9" t="s">
        <v>309</v>
      </c>
      <c r="AX9" t="s">
        <v>310</v>
      </c>
    </row>
    <row r="10" spans="1:62" ht="335" hidden="1">
      <c r="A10" t="s">
        <v>792</v>
      </c>
      <c r="B10" t="s">
        <v>908</v>
      </c>
      <c r="C10" t="s">
        <v>895</v>
      </c>
      <c r="D10" t="s">
        <v>321</v>
      </c>
      <c r="E10">
        <v>2021</v>
      </c>
      <c r="F10">
        <v>0</v>
      </c>
      <c r="G10">
        <v>0</v>
      </c>
      <c r="H10">
        <v>0</v>
      </c>
      <c r="I10">
        <v>0</v>
      </c>
      <c r="J10">
        <v>1</v>
      </c>
      <c r="K10" t="s">
        <v>909</v>
      </c>
      <c r="L10">
        <v>2030</v>
      </c>
      <c r="M10">
        <v>0</v>
      </c>
      <c r="N10" s="234" t="s">
        <v>905</v>
      </c>
      <c r="O10" t="s">
        <v>906</v>
      </c>
      <c r="W10" t="s">
        <v>810</v>
      </c>
      <c r="Y10">
        <v>15.2</v>
      </c>
      <c r="Z10" t="s">
        <v>799</v>
      </c>
      <c r="AA10" t="s">
        <v>203</v>
      </c>
      <c r="AB10" t="s">
        <v>812</v>
      </c>
      <c r="AM10" t="s">
        <v>309</v>
      </c>
    </row>
    <row r="11" spans="1:62" ht="335" hidden="1">
      <c r="A11" t="s">
        <v>792</v>
      </c>
      <c r="B11" t="s">
        <v>908</v>
      </c>
      <c r="C11" t="s">
        <v>895</v>
      </c>
      <c r="D11" t="s">
        <v>321</v>
      </c>
      <c r="E11">
        <v>2021</v>
      </c>
      <c r="F11">
        <v>0</v>
      </c>
      <c r="G11">
        <v>0</v>
      </c>
      <c r="H11">
        <v>0</v>
      </c>
      <c r="I11">
        <v>0</v>
      </c>
      <c r="J11">
        <v>1</v>
      </c>
      <c r="K11" t="s">
        <v>910</v>
      </c>
      <c r="L11">
        <v>2030</v>
      </c>
      <c r="M11">
        <v>0</v>
      </c>
      <c r="N11" s="234" t="s">
        <v>905</v>
      </c>
      <c r="O11" t="s">
        <v>906</v>
      </c>
      <c r="W11" t="s">
        <v>810</v>
      </c>
      <c r="X11" t="s">
        <v>416</v>
      </c>
      <c r="Y11">
        <v>15.2</v>
      </c>
      <c r="Z11" t="s">
        <v>799</v>
      </c>
      <c r="AA11" t="s">
        <v>203</v>
      </c>
      <c r="AB11" t="s">
        <v>812</v>
      </c>
      <c r="AM11" t="s">
        <v>309</v>
      </c>
    </row>
    <row r="12" spans="1:62" ht="335" hidden="1">
      <c r="A12" t="s">
        <v>792</v>
      </c>
      <c r="B12" t="s">
        <v>908</v>
      </c>
      <c r="C12" t="s">
        <v>895</v>
      </c>
      <c r="D12" t="s">
        <v>321</v>
      </c>
      <c r="E12">
        <v>2021</v>
      </c>
      <c r="F12">
        <v>0</v>
      </c>
      <c r="G12">
        <v>0</v>
      </c>
      <c r="H12">
        <v>0</v>
      </c>
      <c r="I12">
        <v>0</v>
      </c>
      <c r="J12">
        <v>1</v>
      </c>
      <c r="K12" t="s">
        <v>911</v>
      </c>
      <c r="L12">
        <v>2030</v>
      </c>
      <c r="M12">
        <v>0</v>
      </c>
      <c r="N12" s="234" t="s">
        <v>905</v>
      </c>
      <c r="O12" t="s">
        <v>906</v>
      </c>
      <c r="W12" t="s">
        <v>810</v>
      </c>
      <c r="Y12">
        <v>15.2</v>
      </c>
      <c r="Z12" t="s">
        <v>799</v>
      </c>
      <c r="AA12" t="s">
        <v>203</v>
      </c>
      <c r="AB12" t="s">
        <v>812</v>
      </c>
      <c r="AM12" t="s">
        <v>309</v>
      </c>
    </row>
    <row r="13" spans="1:62" ht="96" hidden="1">
      <c r="A13" t="s">
        <v>792</v>
      </c>
      <c r="B13" t="s">
        <v>908</v>
      </c>
      <c r="C13" t="s">
        <v>912</v>
      </c>
      <c r="D13" t="s">
        <v>298</v>
      </c>
      <c r="E13">
        <v>2023</v>
      </c>
      <c r="F13">
        <v>1</v>
      </c>
      <c r="K13" t="s">
        <v>913</v>
      </c>
      <c r="N13" s="234" t="s">
        <v>914</v>
      </c>
      <c r="W13" t="s">
        <v>810</v>
      </c>
      <c r="Z13" t="e">
        <v>#N/A</v>
      </c>
    </row>
    <row r="14" spans="1:62" hidden="1">
      <c r="A14" t="s">
        <v>792</v>
      </c>
      <c r="B14" t="s">
        <v>802</v>
      </c>
      <c r="C14" t="s">
        <v>915</v>
      </c>
      <c r="D14" t="s">
        <v>101</v>
      </c>
      <c r="E14">
        <v>2022</v>
      </c>
      <c r="F14">
        <v>0</v>
      </c>
      <c r="W14" t="s">
        <v>862</v>
      </c>
      <c r="X14" t="s">
        <v>811</v>
      </c>
      <c r="Z14" t="e">
        <v>#N/A</v>
      </c>
      <c r="AB14" t="s">
        <v>916</v>
      </c>
    </row>
    <row r="15" spans="1:62" hidden="1">
      <c r="A15" t="s">
        <v>792</v>
      </c>
      <c r="B15" t="s">
        <v>802</v>
      </c>
      <c r="C15" t="s">
        <v>915</v>
      </c>
      <c r="D15" t="s">
        <v>101</v>
      </c>
      <c r="E15">
        <v>2022</v>
      </c>
      <c r="F15">
        <v>0</v>
      </c>
      <c r="K15" t="s">
        <v>917</v>
      </c>
      <c r="W15" t="s">
        <v>862</v>
      </c>
      <c r="X15" t="s">
        <v>811</v>
      </c>
      <c r="Z15" t="e">
        <v>#N/A</v>
      </c>
      <c r="AB15" t="s">
        <v>916</v>
      </c>
    </row>
    <row r="16" spans="1:62" hidden="1">
      <c r="A16" t="s">
        <v>792</v>
      </c>
      <c r="B16" t="s">
        <v>802</v>
      </c>
      <c r="C16" t="s">
        <v>915</v>
      </c>
      <c r="D16" t="s">
        <v>101</v>
      </c>
      <c r="E16">
        <v>2022</v>
      </c>
      <c r="F16">
        <v>0</v>
      </c>
      <c r="K16" t="s">
        <v>918</v>
      </c>
      <c r="W16" t="s">
        <v>862</v>
      </c>
      <c r="X16" t="s">
        <v>811</v>
      </c>
      <c r="Y16">
        <v>15.1</v>
      </c>
      <c r="Z16" t="s">
        <v>799</v>
      </c>
      <c r="AB16" t="s">
        <v>916</v>
      </c>
    </row>
    <row r="17" spans="1:28" hidden="1">
      <c r="A17" t="s">
        <v>792</v>
      </c>
      <c r="B17" t="s">
        <v>802</v>
      </c>
      <c r="C17" t="s">
        <v>915</v>
      </c>
      <c r="D17" t="s">
        <v>101</v>
      </c>
      <c r="E17">
        <v>2022</v>
      </c>
      <c r="F17">
        <v>0</v>
      </c>
      <c r="K17" t="s">
        <v>919</v>
      </c>
      <c r="U17" t="s">
        <v>920</v>
      </c>
      <c r="V17" t="s">
        <v>809</v>
      </c>
      <c r="W17" t="s">
        <v>862</v>
      </c>
      <c r="X17" t="s">
        <v>811</v>
      </c>
      <c r="Y17">
        <v>15.1</v>
      </c>
      <c r="Z17" t="s">
        <v>799</v>
      </c>
      <c r="AB17" t="s">
        <v>916</v>
      </c>
    </row>
    <row r="18" spans="1:28">
      <c r="A18" t="s">
        <v>792</v>
      </c>
      <c r="B18" t="s">
        <v>802</v>
      </c>
      <c r="C18" t="s">
        <v>915</v>
      </c>
      <c r="D18" t="s">
        <v>101</v>
      </c>
      <c r="E18">
        <v>2022</v>
      </c>
      <c r="F18">
        <v>1</v>
      </c>
      <c r="G18">
        <v>3</v>
      </c>
      <c r="H18">
        <v>1</v>
      </c>
      <c r="J18">
        <v>1</v>
      </c>
      <c r="K18" t="s">
        <v>804</v>
      </c>
      <c r="L18">
        <v>2030</v>
      </c>
      <c r="M18">
        <v>1</v>
      </c>
      <c r="W18" t="s">
        <v>862</v>
      </c>
      <c r="X18" t="s">
        <v>811</v>
      </c>
      <c r="Y18">
        <v>15.5</v>
      </c>
      <c r="Z18" t="s">
        <v>799</v>
      </c>
      <c r="AB18" t="s">
        <v>916</v>
      </c>
    </row>
    <row r="19" spans="1:28" ht="96">
      <c r="A19" t="s">
        <v>792</v>
      </c>
      <c r="B19" t="s">
        <v>802</v>
      </c>
      <c r="C19" t="s">
        <v>803</v>
      </c>
      <c r="D19" t="s">
        <v>298</v>
      </c>
      <c r="E19">
        <v>2023</v>
      </c>
      <c r="F19">
        <v>1</v>
      </c>
      <c r="G19">
        <v>3</v>
      </c>
      <c r="H19">
        <v>1</v>
      </c>
      <c r="J19">
        <v>1</v>
      </c>
      <c r="K19" t="s">
        <v>804</v>
      </c>
      <c r="L19">
        <v>2030</v>
      </c>
      <c r="M19">
        <v>1</v>
      </c>
      <c r="O19" t="s">
        <v>805</v>
      </c>
      <c r="R19" s="234" t="s">
        <v>806</v>
      </c>
      <c r="S19" t="s">
        <v>807</v>
      </c>
      <c r="T19">
        <v>3</v>
      </c>
      <c r="U19" t="s">
        <v>808</v>
      </c>
      <c r="V19" t="s">
        <v>809</v>
      </c>
      <c r="W19" t="s">
        <v>810</v>
      </c>
      <c r="X19" t="s">
        <v>811</v>
      </c>
      <c r="Y19">
        <v>15.2</v>
      </c>
      <c r="Z19" t="s">
        <v>799</v>
      </c>
      <c r="AA19" t="s">
        <v>203</v>
      </c>
      <c r="AB19" t="s">
        <v>812</v>
      </c>
    </row>
    <row r="20" spans="1:28">
      <c r="A20" t="s">
        <v>792</v>
      </c>
      <c r="B20" t="s">
        <v>802</v>
      </c>
      <c r="C20" t="s">
        <v>803</v>
      </c>
      <c r="D20" t="s">
        <v>298</v>
      </c>
      <c r="E20">
        <v>2023</v>
      </c>
      <c r="F20">
        <v>1</v>
      </c>
      <c r="G20">
        <v>3</v>
      </c>
      <c r="H20">
        <v>1</v>
      </c>
      <c r="J20">
        <v>1</v>
      </c>
      <c r="K20" t="s">
        <v>921</v>
      </c>
      <c r="L20">
        <v>2030</v>
      </c>
      <c r="M20">
        <v>1</v>
      </c>
      <c r="N20" t="s">
        <v>814</v>
      </c>
      <c r="Y20">
        <v>15.2</v>
      </c>
      <c r="Z20" t="s">
        <v>799</v>
      </c>
    </row>
    <row r="21" spans="1:28">
      <c r="A21" t="s">
        <v>792</v>
      </c>
      <c r="B21" t="s">
        <v>802</v>
      </c>
      <c r="C21" t="s">
        <v>803</v>
      </c>
      <c r="D21" t="s">
        <v>298</v>
      </c>
      <c r="E21">
        <v>2023</v>
      </c>
      <c r="F21">
        <v>1</v>
      </c>
      <c r="G21">
        <v>3</v>
      </c>
      <c r="H21">
        <v>1</v>
      </c>
      <c r="J21">
        <v>1</v>
      </c>
      <c r="K21" t="s">
        <v>813</v>
      </c>
      <c r="L21">
        <v>2030</v>
      </c>
      <c r="M21">
        <v>1</v>
      </c>
      <c r="N21" t="s">
        <v>814</v>
      </c>
      <c r="R21" t="s">
        <v>815</v>
      </c>
      <c r="T21">
        <v>2</v>
      </c>
      <c r="Y21">
        <v>15.2</v>
      </c>
      <c r="Z21" t="s">
        <v>799</v>
      </c>
    </row>
    <row r="22" spans="1:28">
      <c r="A22" t="s">
        <v>792</v>
      </c>
      <c r="B22" t="s">
        <v>802</v>
      </c>
      <c r="C22" t="s">
        <v>803</v>
      </c>
      <c r="D22" t="s">
        <v>298</v>
      </c>
      <c r="E22">
        <v>2023</v>
      </c>
      <c r="F22">
        <v>1</v>
      </c>
      <c r="G22">
        <v>3</v>
      </c>
      <c r="H22">
        <v>1</v>
      </c>
      <c r="J22">
        <v>1</v>
      </c>
      <c r="K22" t="s">
        <v>922</v>
      </c>
      <c r="L22">
        <v>2030</v>
      </c>
      <c r="M22">
        <v>1</v>
      </c>
      <c r="O22" t="s">
        <v>805</v>
      </c>
      <c r="W22" t="s">
        <v>923</v>
      </c>
      <c r="X22" t="s">
        <v>811</v>
      </c>
      <c r="Y22">
        <v>15.3</v>
      </c>
      <c r="Z22" t="s">
        <v>799</v>
      </c>
    </row>
    <row r="23" spans="1:28">
      <c r="A23" t="s">
        <v>792</v>
      </c>
      <c r="B23" t="s">
        <v>802</v>
      </c>
      <c r="C23" t="s">
        <v>803</v>
      </c>
      <c r="D23" t="s">
        <v>298</v>
      </c>
      <c r="E23">
        <v>2023</v>
      </c>
      <c r="F23">
        <v>1</v>
      </c>
      <c r="G23">
        <v>3</v>
      </c>
      <c r="H23">
        <v>1</v>
      </c>
      <c r="J23">
        <v>1</v>
      </c>
      <c r="K23" t="s">
        <v>816</v>
      </c>
      <c r="L23">
        <v>2030</v>
      </c>
      <c r="M23">
        <v>1</v>
      </c>
      <c r="N23" t="s">
        <v>817</v>
      </c>
      <c r="O23" t="s">
        <v>805</v>
      </c>
      <c r="Q23" t="s">
        <v>818</v>
      </c>
      <c r="R23" t="s">
        <v>819</v>
      </c>
      <c r="T23">
        <v>1</v>
      </c>
      <c r="U23" t="s">
        <v>331</v>
      </c>
      <c r="W23" t="s">
        <v>820</v>
      </c>
      <c r="X23" t="s">
        <v>811</v>
      </c>
      <c r="Y23">
        <v>15.5</v>
      </c>
      <c r="Z23" t="s">
        <v>799</v>
      </c>
      <c r="AA23" t="s">
        <v>821</v>
      </c>
      <c r="AB23" t="s">
        <v>822</v>
      </c>
    </row>
    <row r="24" spans="1:28">
      <c r="A24" t="s">
        <v>792</v>
      </c>
      <c r="B24" t="s">
        <v>802</v>
      </c>
      <c r="C24" t="s">
        <v>803</v>
      </c>
      <c r="D24" t="s">
        <v>298</v>
      </c>
      <c r="E24">
        <v>2023</v>
      </c>
      <c r="F24">
        <v>1</v>
      </c>
      <c r="G24">
        <v>3</v>
      </c>
      <c r="H24">
        <v>1</v>
      </c>
      <c r="J24">
        <v>1</v>
      </c>
      <c r="K24" t="s">
        <v>924</v>
      </c>
      <c r="L24">
        <v>2030</v>
      </c>
      <c r="M24">
        <v>1</v>
      </c>
      <c r="N24" t="s">
        <v>925</v>
      </c>
      <c r="O24" t="s">
        <v>805</v>
      </c>
      <c r="R24" t="s">
        <v>926</v>
      </c>
      <c r="W24" t="s">
        <v>820</v>
      </c>
      <c r="X24" t="s">
        <v>811</v>
      </c>
      <c r="Y24">
        <v>2.4</v>
      </c>
      <c r="Z24" t="s">
        <v>877</v>
      </c>
    </row>
    <row r="25" spans="1:28" hidden="1">
      <c r="A25" t="s">
        <v>792</v>
      </c>
      <c r="B25" t="s">
        <v>802</v>
      </c>
      <c r="C25" t="s">
        <v>803</v>
      </c>
      <c r="D25" t="s">
        <v>298</v>
      </c>
      <c r="E25">
        <v>2023</v>
      </c>
      <c r="K25" t="s">
        <v>927</v>
      </c>
      <c r="Z25" t="e">
        <v>#N/A</v>
      </c>
    </row>
    <row r="26" spans="1:28" hidden="1">
      <c r="A26" t="s">
        <v>792</v>
      </c>
      <c r="B26" t="s">
        <v>802</v>
      </c>
      <c r="C26" t="s">
        <v>803</v>
      </c>
      <c r="D26" t="s">
        <v>298</v>
      </c>
      <c r="E26">
        <v>2023</v>
      </c>
      <c r="K26" t="s">
        <v>928</v>
      </c>
      <c r="Z26" t="e">
        <v>#N/A</v>
      </c>
    </row>
    <row r="27" spans="1:28">
      <c r="A27" t="s">
        <v>792</v>
      </c>
      <c r="B27" t="s">
        <v>802</v>
      </c>
      <c r="C27" t="s">
        <v>803</v>
      </c>
      <c r="D27" t="s">
        <v>298</v>
      </c>
      <c r="E27">
        <v>2023</v>
      </c>
      <c r="F27">
        <v>1</v>
      </c>
      <c r="G27">
        <v>3</v>
      </c>
      <c r="H27">
        <v>0</v>
      </c>
      <c r="J27">
        <v>1</v>
      </c>
      <c r="K27" t="s">
        <v>823</v>
      </c>
      <c r="L27">
        <v>2030</v>
      </c>
      <c r="M27">
        <v>1</v>
      </c>
      <c r="O27" t="s">
        <v>805</v>
      </c>
      <c r="R27" t="s">
        <v>824</v>
      </c>
      <c r="T27">
        <v>1</v>
      </c>
      <c r="Y27" t="s">
        <v>825</v>
      </c>
      <c r="Z27" t="s">
        <v>826</v>
      </c>
    </row>
    <row r="28" spans="1:28" hidden="1">
      <c r="A28" t="s">
        <v>792</v>
      </c>
      <c r="B28" t="s">
        <v>802</v>
      </c>
      <c r="C28" t="s">
        <v>803</v>
      </c>
      <c r="D28" t="s">
        <v>298</v>
      </c>
      <c r="E28">
        <v>2023</v>
      </c>
      <c r="K28" t="s">
        <v>929</v>
      </c>
      <c r="Z28" t="e">
        <v>#N/A</v>
      </c>
    </row>
    <row r="29" spans="1:28">
      <c r="A29" t="s">
        <v>792</v>
      </c>
      <c r="B29" t="s">
        <v>802</v>
      </c>
      <c r="C29" t="s">
        <v>803</v>
      </c>
      <c r="D29" t="s">
        <v>298</v>
      </c>
      <c r="E29">
        <v>2023</v>
      </c>
      <c r="F29">
        <v>1</v>
      </c>
      <c r="G29">
        <v>3</v>
      </c>
      <c r="H29">
        <v>1</v>
      </c>
      <c r="J29">
        <v>1</v>
      </c>
      <c r="K29" t="s">
        <v>827</v>
      </c>
      <c r="L29">
        <v>2040</v>
      </c>
      <c r="M29">
        <v>1</v>
      </c>
      <c r="O29" t="s">
        <v>805</v>
      </c>
      <c r="R29" t="s">
        <v>828</v>
      </c>
      <c r="T29">
        <v>1</v>
      </c>
      <c r="Y29">
        <v>14.2</v>
      </c>
      <c r="Z29" t="s">
        <v>826</v>
      </c>
    </row>
    <row r="30" spans="1:28" ht="409.6">
      <c r="A30" t="s">
        <v>792</v>
      </c>
      <c r="B30" t="s">
        <v>802</v>
      </c>
      <c r="C30" t="s">
        <v>803</v>
      </c>
      <c r="D30" t="s">
        <v>298</v>
      </c>
      <c r="E30">
        <v>2023</v>
      </c>
      <c r="F30">
        <v>1</v>
      </c>
      <c r="G30">
        <v>3</v>
      </c>
      <c r="H30">
        <v>1</v>
      </c>
      <c r="J30">
        <v>1</v>
      </c>
      <c r="K30" t="s">
        <v>829</v>
      </c>
      <c r="L30">
        <v>2030</v>
      </c>
      <c r="M30">
        <v>1</v>
      </c>
      <c r="O30" t="s">
        <v>805</v>
      </c>
      <c r="R30" s="234" t="s">
        <v>830</v>
      </c>
      <c r="T30">
        <v>2</v>
      </c>
      <c r="Y30">
        <v>14.2</v>
      </c>
      <c r="Z30" t="s">
        <v>826</v>
      </c>
    </row>
    <row r="31" spans="1:28">
      <c r="A31" t="s">
        <v>792</v>
      </c>
      <c r="B31" t="s">
        <v>802</v>
      </c>
      <c r="C31" t="s">
        <v>803</v>
      </c>
      <c r="D31" t="s">
        <v>298</v>
      </c>
      <c r="E31">
        <v>2023</v>
      </c>
      <c r="F31">
        <v>1</v>
      </c>
      <c r="G31">
        <v>3</v>
      </c>
      <c r="H31">
        <v>1</v>
      </c>
      <c r="J31">
        <v>1</v>
      </c>
      <c r="K31" t="s">
        <v>930</v>
      </c>
      <c r="L31">
        <v>2030</v>
      </c>
      <c r="M31">
        <v>1</v>
      </c>
      <c r="O31" t="s">
        <v>805</v>
      </c>
      <c r="Y31">
        <v>15.5</v>
      </c>
      <c r="Z31" t="s">
        <v>799</v>
      </c>
    </row>
    <row r="32" spans="1:28">
      <c r="A32" t="s">
        <v>792</v>
      </c>
      <c r="B32" t="s">
        <v>802</v>
      </c>
      <c r="C32" t="s">
        <v>803</v>
      </c>
      <c r="D32" t="s">
        <v>298</v>
      </c>
      <c r="E32">
        <v>2023</v>
      </c>
      <c r="F32">
        <v>1</v>
      </c>
      <c r="G32">
        <v>3</v>
      </c>
      <c r="H32">
        <v>1</v>
      </c>
      <c r="J32">
        <v>1</v>
      </c>
      <c r="K32" t="s">
        <v>831</v>
      </c>
      <c r="L32">
        <v>2030</v>
      </c>
      <c r="M32">
        <v>1</v>
      </c>
      <c r="O32" t="s">
        <v>805</v>
      </c>
      <c r="R32" t="s">
        <v>832</v>
      </c>
      <c r="T32">
        <v>0</v>
      </c>
      <c r="Y32">
        <v>6.6</v>
      </c>
      <c r="Z32" t="s">
        <v>833</v>
      </c>
    </row>
    <row r="33" spans="1:26">
      <c r="A33" t="s">
        <v>792</v>
      </c>
      <c r="B33" t="s">
        <v>802</v>
      </c>
      <c r="C33" t="s">
        <v>803</v>
      </c>
      <c r="D33" t="s">
        <v>298</v>
      </c>
      <c r="E33">
        <v>2023</v>
      </c>
      <c r="F33">
        <v>1</v>
      </c>
      <c r="G33">
        <v>3</v>
      </c>
      <c r="H33">
        <v>1</v>
      </c>
      <c r="J33">
        <v>1</v>
      </c>
      <c r="K33" t="s">
        <v>931</v>
      </c>
      <c r="L33">
        <v>2030</v>
      </c>
      <c r="M33">
        <v>1</v>
      </c>
      <c r="N33" t="s">
        <v>932</v>
      </c>
      <c r="O33" t="s">
        <v>457</v>
      </c>
      <c r="Y33">
        <v>15.2</v>
      </c>
      <c r="Z33" t="s">
        <v>799</v>
      </c>
    </row>
    <row r="34" spans="1:26">
      <c r="A34" t="s">
        <v>792</v>
      </c>
      <c r="B34" t="s">
        <v>802</v>
      </c>
      <c r="C34" t="s">
        <v>803</v>
      </c>
      <c r="D34" t="s">
        <v>298</v>
      </c>
      <c r="E34">
        <v>2023</v>
      </c>
      <c r="F34">
        <v>1</v>
      </c>
      <c r="G34">
        <v>3</v>
      </c>
      <c r="H34">
        <v>1</v>
      </c>
      <c r="J34">
        <v>1</v>
      </c>
      <c r="K34" t="s">
        <v>933</v>
      </c>
      <c r="L34">
        <v>2030</v>
      </c>
      <c r="M34">
        <v>1</v>
      </c>
      <c r="N34" t="s">
        <v>932</v>
      </c>
      <c r="O34" t="s">
        <v>457</v>
      </c>
      <c r="Y34">
        <v>11.4</v>
      </c>
      <c r="Z34" t="s">
        <v>607</v>
      </c>
    </row>
    <row r="35" spans="1:26" ht="409.6">
      <c r="A35" t="s">
        <v>792</v>
      </c>
      <c r="B35" t="s">
        <v>802</v>
      </c>
      <c r="C35" t="s">
        <v>803</v>
      </c>
      <c r="D35" t="s">
        <v>298</v>
      </c>
      <c r="E35">
        <v>2023</v>
      </c>
      <c r="F35">
        <v>1</v>
      </c>
      <c r="G35">
        <v>3</v>
      </c>
      <c r="H35">
        <v>1</v>
      </c>
      <c r="J35">
        <v>1</v>
      </c>
      <c r="K35" s="234" t="s">
        <v>934</v>
      </c>
      <c r="L35">
        <v>2030</v>
      </c>
      <c r="M35">
        <v>1</v>
      </c>
      <c r="N35" t="s">
        <v>932</v>
      </c>
      <c r="O35" t="s">
        <v>457</v>
      </c>
      <c r="Y35">
        <v>11.4</v>
      </c>
      <c r="Z35" t="s">
        <v>607</v>
      </c>
    </row>
    <row r="36" spans="1:26" hidden="1">
      <c r="A36" t="s">
        <v>792</v>
      </c>
      <c r="B36" t="s">
        <v>802</v>
      </c>
      <c r="C36" t="s">
        <v>803</v>
      </c>
      <c r="D36" t="s">
        <v>298</v>
      </c>
      <c r="E36">
        <v>2023</v>
      </c>
      <c r="K36" t="s">
        <v>935</v>
      </c>
      <c r="Z36" t="e">
        <v>#N/A</v>
      </c>
    </row>
    <row r="37" spans="1:26">
      <c r="A37" t="s">
        <v>792</v>
      </c>
      <c r="B37" t="s">
        <v>802</v>
      </c>
      <c r="C37" t="s">
        <v>803</v>
      </c>
      <c r="D37" t="s">
        <v>298</v>
      </c>
      <c r="E37">
        <v>2023</v>
      </c>
      <c r="F37">
        <v>1</v>
      </c>
      <c r="G37">
        <v>3</v>
      </c>
      <c r="H37">
        <v>1</v>
      </c>
      <c r="J37">
        <v>1</v>
      </c>
      <c r="K37" t="s">
        <v>834</v>
      </c>
      <c r="M37">
        <v>1</v>
      </c>
      <c r="O37" t="s">
        <v>805</v>
      </c>
      <c r="R37" t="s">
        <v>835</v>
      </c>
      <c r="T37">
        <v>2</v>
      </c>
      <c r="Z37" t="e">
        <v>#N/A</v>
      </c>
    </row>
    <row r="38" spans="1:26" hidden="1">
      <c r="A38" t="s">
        <v>792</v>
      </c>
      <c r="B38" t="s">
        <v>802</v>
      </c>
      <c r="C38" t="s">
        <v>803</v>
      </c>
      <c r="D38" t="s">
        <v>298</v>
      </c>
      <c r="E38">
        <v>2023</v>
      </c>
      <c r="K38" t="s">
        <v>936</v>
      </c>
      <c r="Z38" t="e">
        <v>#N/A</v>
      </c>
    </row>
    <row r="39" spans="1:26">
      <c r="A39" t="s">
        <v>792</v>
      </c>
      <c r="B39" t="s">
        <v>802</v>
      </c>
      <c r="C39" t="s">
        <v>803</v>
      </c>
      <c r="D39" t="s">
        <v>298</v>
      </c>
      <c r="E39">
        <v>2023</v>
      </c>
      <c r="F39">
        <v>1</v>
      </c>
      <c r="G39">
        <v>3</v>
      </c>
      <c r="H39">
        <v>1</v>
      </c>
      <c r="J39">
        <v>1</v>
      </c>
      <c r="K39" t="s">
        <v>836</v>
      </c>
      <c r="L39">
        <v>2030</v>
      </c>
      <c r="M39">
        <v>1</v>
      </c>
      <c r="O39" t="s">
        <v>805</v>
      </c>
      <c r="R39" t="s">
        <v>837</v>
      </c>
      <c r="T39">
        <v>1</v>
      </c>
      <c r="Z39" t="e">
        <v>#N/A</v>
      </c>
    </row>
    <row r="40" spans="1:26" ht="288">
      <c r="A40" t="s">
        <v>792</v>
      </c>
      <c r="B40" t="s">
        <v>802</v>
      </c>
      <c r="C40" t="s">
        <v>803</v>
      </c>
      <c r="D40" t="s">
        <v>298</v>
      </c>
      <c r="E40">
        <v>2023</v>
      </c>
      <c r="F40">
        <v>1</v>
      </c>
      <c r="G40">
        <v>3</v>
      </c>
      <c r="H40">
        <v>1</v>
      </c>
      <c r="J40">
        <v>1</v>
      </c>
      <c r="K40" t="s">
        <v>838</v>
      </c>
      <c r="M40">
        <v>1</v>
      </c>
      <c r="O40" t="s">
        <v>805</v>
      </c>
      <c r="R40" s="234" t="s">
        <v>839</v>
      </c>
      <c r="T40">
        <v>2</v>
      </c>
      <c r="U40" t="s">
        <v>840</v>
      </c>
      <c r="V40" t="s">
        <v>841</v>
      </c>
      <c r="Z40" t="e">
        <v>#N/A</v>
      </c>
    </row>
    <row r="41" spans="1:26">
      <c r="A41" t="s">
        <v>792</v>
      </c>
      <c r="B41" t="s">
        <v>802</v>
      </c>
      <c r="C41" t="s">
        <v>803</v>
      </c>
      <c r="D41" t="s">
        <v>298</v>
      </c>
      <c r="E41">
        <v>2023</v>
      </c>
      <c r="F41">
        <v>1</v>
      </c>
      <c r="G41">
        <v>3</v>
      </c>
      <c r="H41">
        <v>1</v>
      </c>
      <c r="J41">
        <v>1</v>
      </c>
      <c r="K41" t="s">
        <v>937</v>
      </c>
      <c r="M41">
        <v>1</v>
      </c>
      <c r="O41" t="s">
        <v>805</v>
      </c>
      <c r="R41" t="s">
        <v>938</v>
      </c>
      <c r="Z41" t="e">
        <v>#N/A</v>
      </c>
    </row>
    <row r="42" spans="1:26" ht="409.6">
      <c r="A42" t="s">
        <v>792</v>
      </c>
      <c r="B42" t="s">
        <v>802</v>
      </c>
      <c r="C42" t="s">
        <v>803</v>
      </c>
      <c r="D42" t="s">
        <v>298</v>
      </c>
      <c r="E42">
        <v>2023</v>
      </c>
      <c r="F42">
        <v>1</v>
      </c>
      <c r="G42">
        <v>3</v>
      </c>
      <c r="H42">
        <v>1</v>
      </c>
      <c r="J42">
        <v>1</v>
      </c>
      <c r="K42" t="s">
        <v>842</v>
      </c>
      <c r="M42">
        <v>1</v>
      </c>
      <c r="O42" t="s">
        <v>805</v>
      </c>
      <c r="R42" s="234" t="s">
        <v>843</v>
      </c>
      <c r="T42">
        <v>2</v>
      </c>
      <c r="Z42" t="e">
        <v>#N/A</v>
      </c>
    </row>
    <row r="43" spans="1:26" hidden="1">
      <c r="A43" t="s">
        <v>792</v>
      </c>
      <c r="B43" t="s">
        <v>802</v>
      </c>
      <c r="C43" t="s">
        <v>803</v>
      </c>
      <c r="D43" t="s">
        <v>298</v>
      </c>
      <c r="E43">
        <v>2023</v>
      </c>
      <c r="K43" t="s">
        <v>939</v>
      </c>
      <c r="L43">
        <v>2050</v>
      </c>
      <c r="N43" t="s">
        <v>940</v>
      </c>
    </row>
    <row r="44" spans="1:26">
      <c r="A44" t="s">
        <v>792</v>
      </c>
      <c r="B44" t="s">
        <v>802</v>
      </c>
      <c r="C44" t="s">
        <v>803</v>
      </c>
      <c r="D44" t="s">
        <v>298</v>
      </c>
      <c r="E44">
        <v>2023</v>
      </c>
      <c r="F44">
        <v>1</v>
      </c>
      <c r="G44">
        <v>3</v>
      </c>
      <c r="H44">
        <v>1</v>
      </c>
      <c r="J44">
        <v>1</v>
      </c>
      <c r="K44" t="s">
        <v>844</v>
      </c>
      <c r="L44">
        <v>2030</v>
      </c>
      <c r="M44">
        <v>1</v>
      </c>
      <c r="O44" t="s">
        <v>805</v>
      </c>
      <c r="R44" t="s">
        <v>845</v>
      </c>
      <c r="T44">
        <v>2</v>
      </c>
      <c r="Y44">
        <v>14.2</v>
      </c>
      <c r="Z44" t="s">
        <v>826</v>
      </c>
    </row>
    <row r="45" spans="1:26">
      <c r="A45" t="s">
        <v>792</v>
      </c>
      <c r="B45" t="s">
        <v>802</v>
      </c>
      <c r="C45" t="s">
        <v>803</v>
      </c>
      <c r="D45" t="s">
        <v>298</v>
      </c>
      <c r="E45">
        <v>2023</v>
      </c>
      <c r="F45">
        <v>1</v>
      </c>
      <c r="G45">
        <v>3</v>
      </c>
      <c r="H45">
        <v>1</v>
      </c>
      <c r="J45">
        <v>1</v>
      </c>
      <c r="K45" t="s">
        <v>941</v>
      </c>
      <c r="L45">
        <v>2030</v>
      </c>
      <c r="M45">
        <v>1</v>
      </c>
      <c r="O45" t="s">
        <v>805</v>
      </c>
      <c r="R45" t="s">
        <v>942</v>
      </c>
      <c r="Y45">
        <v>15.1</v>
      </c>
      <c r="Z45" t="s">
        <v>799</v>
      </c>
    </row>
    <row r="46" spans="1:26" hidden="1">
      <c r="A46" t="s">
        <v>792</v>
      </c>
      <c r="B46" t="s">
        <v>802</v>
      </c>
      <c r="C46" t="s">
        <v>891</v>
      </c>
      <c r="D46" t="s">
        <v>110</v>
      </c>
      <c r="E46">
        <v>2023</v>
      </c>
      <c r="F46">
        <v>0</v>
      </c>
    </row>
    <row r="47" spans="1:26" ht="304" hidden="1">
      <c r="A47" t="s">
        <v>792</v>
      </c>
      <c r="B47" t="s">
        <v>802</v>
      </c>
      <c r="C47" s="234" t="s">
        <v>943</v>
      </c>
      <c r="D47" t="s">
        <v>110</v>
      </c>
      <c r="E47">
        <v>2023</v>
      </c>
      <c r="F47">
        <v>0</v>
      </c>
    </row>
    <row r="48" spans="1:26" hidden="1">
      <c r="A48" t="s">
        <v>792</v>
      </c>
      <c r="B48" t="s">
        <v>802</v>
      </c>
      <c r="C48" t="s">
        <v>892</v>
      </c>
      <c r="D48" t="s">
        <v>321</v>
      </c>
      <c r="E48">
        <v>2023</v>
      </c>
      <c r="F48">
        <v>0</v>
      </c>
    </row>
    <row r="49" spans="1:39">
      <c r="A49" t="s">
        <v>792</v>
      </c>
      <c r="B49" t="s">
        <v>802</v>
      </c>
      <c r="C49" t="s">
        <v>846</v>
      </c>
      <c r="D49" t="s">
        <v>321</v>
      </c>
      <c r="E49">
        <v>2023</v>
      </c>
      <c r="F49">
        <v>0</v>
      </c>
      <c r="G49">
        <v>1</v>
      </c>
      <c r="H49">
        <v>0</v>
      </c>
      <c r="I49">
        <v>0</v>
      </c>
      <c r="J49">
        <v>1</v>
      </c>
      <c r="K49" t="s">
        <v>847</v>
      </c>
      <c r="M49">
        <v>1</v>
      </c>
      <c r="O49" t="s">
        <v>593</v>
      </c>
      <c r="R49" t="s">
        <v>848</v>
      </c>
      <c r="S49" t="s">
        <v>849</v>
      </c>
      <c r="T49">
        <v>2</v>
      </c>
      <c r="W49" t="s">
        <v>594</v>
      </c>
      <c r="X49" t="s">
        <v>850</v>
      </c>
      <c r="Y49">
        <v>14.4</v>
      </c>
      <c r="Z49" t="s">
        <v>826</v>
      </c>
      <c r="AB49" t="s">
        <v>851</v>
      </c>
      <c r="AM49" t="s">
        <v>309</v>
      </c>
    </row>
    <row r="50" spans="1:39">
      <c r="A50" t="s">
        <v>792</v>
      </c>
      <c r="B50" t="s">
        <v>802</v>
      </c>
      <c r="C50" t="s">
        <v>852</v>
      </c>
      <c r="D50" t="s">
        <v>298</v>
      </c>
      <c r="E50">
        <v>2019</v>
      </c>
      <c r="F50">
        <v>1</v>
      </c>
      <c r="G50">
        <v>3</v>
      </c>
      <c r="H50">
        <v>1</v>
      </c>
      <c r="J50">
        <v>1</v>
      </c>
      <c r="K50" t="s">
        <v>944</v>
      </c>
      <c r="M50">
        <v>1</v>
      </c>
      <c r="O50" t="s">
        <v>593</v>
      </c>
      <c r="W50" t="s">
        <v>862</v>
      </c>
      <c r="X50" t="s">
        <v>850</v>
      </c>
      <c r="Y50">
        <v>14.4</v>
      </c>
      <c r="Z50" t="s">
        <v>826</v>
      </c>
      <c r="AM50" t="s">
        <v>309</v>
      </c>
    </row>
    <row r="51" spans="1:39">
      <c r="A51" t="s">
        <v>792</v>
      </c>
      <c r="B51" t="s">
        <v>802</v>
      </c>
      <c r="C51" t="s">
        <v>852</v>
      </c>
      <c r="D51" t="s">
        <v>298</v>
      </c>
      <c r="E51">
        <v>2019</v>
      </c>
      <c r="F51">
        <v>1</v>
      </c>
      <c r="G51">
        <v>3</v>
      </c>
      <c r="H51">
        <v>1</v>
      </c>
      <c r="J51">
        <v>1</v>
      </c>
      <c r="K51" t="s">
        <v>853</v>
      </c>
      <c r="M51">
        <v>1</v>
      </c>
      <c r="N51" t="s">
        <v>854</v>
      </c>
      <c r="O51" t="s">
        <v>855</v>
      </c>
      <c r="R51" t="s">
        <v>856</v>
      </c>
      <c r="T51">
        <v>0</v>
      </c>
      <c r="W51" t="s">
        <v>594</v>
      </c>
      <c r="Y51">
        <v>14.6</v>
      </c>
      <c r="Z51" t="s">
        <v>826</v>
      </c>
      <c r="AM51" t="s">
        <v>309</v>
      </c>
    </row>
    <row r="52" spans="1:39" hidden="1">
      <c r="A52" t="s">
        <v>792</v>
      </c>
      <c r="B52" t="s">
        <v>802</v>
      </c>
      <c r="C52" t="s">
        <v>945</v>
      </c>
      <c r="D52" t="s">
        <v>321</v>
      </c>
      <c r="E52">
        <v>2023</v>
      </c>
      <c r="F52">
        <v>0</v>
      </c>
      <c r="M52" t="s">
        <v>424</v>
      </c>
    </row>
    <row r="53" spans="1:39" hidden="1">
      <c r="A53" t="s">
        <v>792</v>
      </c>
      <c r="B53" t="s">
        <v>802</v>
      </c>
      <c r="C53" t="s">
        <v>946</v>
      </c>
      <c r="D53" t="s">
        <v>321</v>
      </c>
      <c r="E53">
        <v>2022</v>
      </c>
      <c r="F53">
        <v>0</v>
      </c>
      <c r="M53" t="s">
        <v>424</v>
      </c>
      <c r="N53" t="s">
        <v>947</v>
      </c>
      <c r="W53" t="s">
        <v>862</v>
      </c>
      <c r="Z53" t="e">
        <v>#N/A</v>
      </c>
      <c r="AM53" t="s">
        <v>309</v>
      </c>
    </row>
    <row r="54" spans="1:39" hidden="1">
      <c r="A54" t="s">
        <v>792</v>
      </c>
      <c r="B54" t="s">
        <v>802</v>
      </c>
      <c r="C54" t="s">
        <v>857</v>
      </c>
      <c r="D54" t="s">
        <v>321</v>
      </c>
      <c r="E54">
        <v>2020</v>
      </c>
      <c r="F54">
        <v>0</v>
      </c>
      <c r="M54" t="s">
        <v>424</v>
      </c>
    </row>
    <row r="55" spans="1:39" hidden="1">
      <c r="A55" t="s">
        <v>792</v>
      </c>
      <c r="B55" t="s">
        <v>857</v>
      </c>
      <c r="C55" t="s">
        <v>794</v>
      </c>
      <c r="D55" t="s">
        <v>321</v>
      </c>
      <c r="E55">
        <v>2021</v>
      </c>
      <c r="F55">
        <v>0</v>
      </c>
      <c r="M55" t="s">
        <v>424</v>
      </c>
      <c r="Z55" t="e">
        <v>#N/A</v>
      </c>
      <c r="AA55" t="s">
        <v>203</v>
      </c>
      <c r="AB55" t="s">
        <v>812</v>
      </c>
      <c r="AM55" t="s">
        <v>309</v>
      </c>
    </row>
    <row r="56" spans="1:39" hidden="1">
      <c r="A56" t="s">
        <v>792</v>
      </c>
      <c r="B56" t="s">
        <v>857</v>
      </c>
      <c r="C56" t="s">
        <v>794</v>
      </c>
      <c r="D56" t="s">
        <v>321</v>
      </c>
      <c r="E56">
        <v>2021</v>
      </c>
      <c r="F56">
        <v>0</v>
      </c>
      <c r="G56">
        <v>0</v>
      </c>
      <c r="H56">
        <v>0</v>
      </c>
      <c r="I56">
        <v>0</v>
      </c>
      <c r="J56">
        <v>1</v>
      </c>
      <c r="K56" t="s">
        <v>948</v>
      </c>
      <c r="L56">
        <v>2030</v>
      </c>
      <c r="M56">
        <v>0</v>
      </c>
      <c r="O56" t="s">
        <v>796</v>
      </c>
      <c r="R56" t="s">
        <v>949</v>
      </c>
      <c r="T56">
        <v>2</v>
      </c>
      <c r="U56" t="s">
        <v>798</v>
      </c>
      <c r="W56" t="s">
        <v>344</v>
      </c>
      <c r="Y56">
        <v>15.3</v>
      </c>
      <c r="Z56" t="s">
        <v>799</v>
      </c>
      <c r="AA56" t="s">
        <v>209</v>
      </c>
      <c r="AB56" t="s">
        <v>950</v>
      </c>
      <c r="AM56" t="s">
        <v>309</v>
      </c>
    </row>
    <row r="57" spans="1:39" hidden="1">
      <c r="A57" t="s">
        <v>792</v>
      </c>
      <c r="B57" t="s">
        <v>857</v>
      </c>
      <c r="C57" t="s">
        <v>951</v>
      </c>
      <c r="D57" t="s">
        <v>101</v>
      </c>
      <c r="E57">
        <v>2023</v>
      </c>
      <c r="F57">
        <v>0</v>
      </c>
      <c r="M57" t="s">
        <v>424</v>
      </c>
    </row>
    <row r="58" spans="1:39" hidden="1">
      <c r="A58" t="s">
        <v>792</v>
      </c>
      <c r="B58" t="s">
        <v>857</v>
      </c>
      <c r="C58" t="s">
        <v>892</v>
      </c>
      <c r="D58" t="s">
        <v>321</v>
      </c>
      <c r="E58">
        <v>2023</v>
      </c>
      <c r="F58">
        <v>0</v>
      </c>
      <c r="M58" t="s">
        <v>424</v>
      </c>
      <c r="N58" t="s">
        <v>952</v>
      </c>
    </row>
    <row r="59" spans="1:39" hidden="1">
      <c r="A59" t="s">
        <v>792</v>
      </c>
      <c r="B59" t="s">
        <v>857</v>
      </c>
      <c r="C59" t="s">
        <v>857</v>
      </c>
      <c r="D59" t="s">
        <v>321</v>
      </c>
      <c r="E59">
        <v>2020</v>
      </c>
      <c r="F59">
        <v>0</v>
      </c>
      <c r="G59">
        <v>0</v>
      </c>
      <c r="H59">
        <v>0</v>
      </c>
      <c r="I59">
        <v>0</v>
      </c>
      <c r="J59">
        <v>1</v>
      </c>
      <c r="K59" t="s">
        <v>953</v>
      </c>
      <c r="L59">
        <v>2030</v>
      </c>
      <c r="M59">
        <v>0</v>
      </c>
      <c r="N59" t="s">
        <v>954</v>
      </c>
      <c r="O59" t="s">
        <v>859</v>
      </c>
      <c r="P59" t="s">
        <v>955</v>
      </c>
      <c r="Q59" t="s">
        <v>955</v>
      </c>
      <c r="R59" t="s">
        <v>956</v>
      </c>
      <c r="S59" t="s">
        <v>861</v>
      </c>
      <c r="T59">
        <v>0</v>
      </c>
      <c r="W59" t="s">
        <v>862</v>
      </c>
      <c r="X59" t="s">
        <v>594</v>
      </c>
      <c r="Y59">
        <v>14.4</v>
      </c>
      <c r="Z59" t="s">
        <v>826</v>
      </c>
      <c r="AA59" t="s">
        <v>212</v>
      </c>
      <c r="AM59" t="s">
        <v>309</v>
      </c>
    </row>
    <row r="60" spans="1:39" hidden="1">
      <c r="A60" t="s">
        <v>792</v>
      </c>
      <c r="B60" t="s">
        <v>857</v>
      </c>
      <c r="C60" t="s">
        <v>857</v>
      </c>
      <c r="D60" t="s">
        <v>321</v>
      </c>
      <c r="E60">
        <v>2020</v>
      </c>
      <c r="F60">
        <v>0</v>
      </c>
      <c r="G60">
        <v>0</v>
      </c>
      <c r="H60">
        <v>0</v>
      </c>
      <c r="I60">
        <v>0</v>
      </c>
      <c r="J60">
        <v>1</v>
      </c>
      <c r="K60" t="s">
        <v>957</v>
      </c>
      <c r="L60">
        <v>2030</v>
      </c>
      <c r="M60">
        <v>0</v>
      </c>
      <c r="O60" t="s">
        <v>859</v>
      </c>
      <c r="P60" t="s">
        <v>958</v>
      </c>
      <c r="R60" t="s">
        <v>959</v>
      </c>
      <c r="S60" t="s">
        <v>519</v>
      </c>
      <c r="T60">
        <v>2</v>
      </c>
      <c r="W60" t="s">
        <v>862</v>
      </c>
      <c r="X60" t="s">
        <v>594</v>
      </c>
      <c r="Y60">
        <v>14.4</v>
      </c>
      <c r="Z60" t="s">
        <v>826</v>
      </c>
      <c r="AA60" t="s">
        <v>212</v>
      </c>
      <c r="AM60" t="s">
        <v>309</v>
      </c>
    </row>
    <row r="61" spans="1:39">
      <c r="A61" t="s">
        <v>792</v>
      </c>
      <c r="B61" t="s">
        <v>857</v>
      </c>
      <c r="C61" t="s">
        <v>857</v>
      </c>
      <c r="D61" t="s">
        <v>321</v>
      </c>
      <c r="E61">
        <v>2020</v>
      </c>
      <c r="F61">
        <v>0</v>
      </c>
      <c r="G61">
        <v>1</v>
      </c>
      <c r="H61">
        <v>0</v>
      </c>
      <c r="I61">
        <v>0</v>
      </c>
      <c r="J61">
        <v>1</v>
      </c>
      <c r="K61" t="s">
        <v>858</v>
      </c>
      <c r="L61">
        <v>2030</v>
      </c>
      <c r="M61">
        <v>1</v>
      </c>
      <c r="O61" t="s">
        <v>859</v>
      </c>
      <c r="R61" t="s">
        <v>860</v>
      </c>
      <c r="S61" t="s">
        <v>861</v>
      </c>
      <c r="T61">
        <v>0</v>
      </c>
      <c r="X61" t="s">
        <v>862</v>
      </c>
      <c r="Y61" t="s">
        <v>863</v>
      </c>
      <c r="Z61" t="s">
        <v>607</v>
      </c>
      <c r="AA61" t="s">
        <v>212</v>
      </c>
      <c r="AM61" t="s">
        <v>309</v>
      </c>
    </row>
    <row r="62" spans="1:39">
      <c r="A62" t="s">
        <v>792</v>
      </c>
      <c r="B62" t="s">
        <v>857</v>
      </c>
      <c r="C62" t="s">
        <v>857</v>
      </c>
      <c r="D62" t="s">
        <v>321</v>
      </c>
      <c r="E62">
        <v>2020</v>
      </c>
      <c r="F62">
        <v>0</v>
      </c>
      <c r="G62">
        <v>1</v>
      </c>
      <c r="H62">
        <v>0</v>
      </c>
      <c r="I62">
        <v>0</v>
      </c>
      <c r="J62">
        <v>1</v>
      </c>
      <c r="K62" t="s">
        <v>864</v>
      </c>
      <c r="L62">
        <v>2030</v>
      </c>
      <c r="M62">
        <v>1</v>
      </c>
      <c r="N62" t="s">
        <v>865</v>
      </c>
      <c r="O62" t="s">
        <v>859</v>
      </c>
      <c r="R62" t="s">
        <v>866</v>
      </c>
      <c r="S62" t="s">
        <v>303</v>
      </c>
      <c r="T62">
        <v>2</v>
      </c>
      <c r="U62" t="s">
        <v>867</v>
      </c>
      <c r="V62" t="s">
        <v>868</v>
      </c>
      <c r="X62" t="s">
        <v>862</v>
      </c>
      <c r="Y62">
        <v>15.5</v>
      </c>
      <c r="Z62" t="s">
        <v>799</v>
      </c>
      <c r="AA62" t="s">
        <v>212</v>
      </c>
    </row>
    <row r="63" spans="1:39">
      <c r="A63" t="s">
        <v>792</v>
      </c>
      <c r="B63" t="s">
        <v>857</v>
      </c>
      <c r="C63" t="s">
        <v>857</v>
      </c>
      <c r="D63" t="s">
        <v>321</v>
      </c>
      <c r="E63">
        <v>2020</v>
      </c>
      <c r="F63">
        <v>0</v>
      </c>
      <c r="G63">
        <v>1</v>
      </c>
      <c r="H63">
        <v>0</v>
      </c>
      <c r="I63">
        <v>0</v>
      </c>
      <c r="J63">
        <v>1</v>
      </c>
      <c r="K63" t="s">
        <v>869</v>
      </c>
      <c r="L63">
        <v>2030</v>
      </c>
      <c r="M63">
        <v>1</v>
      </c>
      <c r="N63" t="s">
        <v>870</v>
      </c>
      <c r="O63" t="s">
        <v>859</v>
      </c>
      <c r="R63" t="s">
        <v>871</v>
      </c>
      <c r="S63" t="s">
        <v>872</v>
      </c>
      <c r="T63">
        <v>0</v>
      </c>
      <c r="X63" t="s">
        <v>862</v>
      </c>
      <c r="Y63">
        <v>15.5</v>
      </c>
      <c r="Z63" t="s">
        <v>799</v>
      </c>
      <c r="AA63" t="s">
        <v>212</v>
      </c>
    </row>
    <row r="64" spans="1:39">
      <c r="A64" t="s">
        <v>792</v>
      </c>
      <c r="B64" t="s">
        <v>857</v>
      </c>
      <c r="C64" t="s">
        <v>857</v>
      </c>
      <c r="D64" t="s">
        <v>321</v>
      </c>
      <c r="E64">
        <v>2020</v>
      </c>
      <c r="F64">
        <v>0</v>
      </c>
      <c r="H64">
        <v>0</v>
      </c>
      <c r="I64">
        <v>0</v>
      </c>
      <c r="K64" t="s">
        <v>960</v>
      </c>
      <c r="L64">
        <v>2030</v>
      </c>
      <c r="M64">
        <v>1</v>
      </c>
      <c r="N64" t="s">
        <v>961</v>
      </c>
      <c r="O64" t="s">
        <v>859</v>
      </c>
      <c r="R64" t="s">
        <v>962</v>
      </c>
      <c r="S64" t="s">
        <v>861</v>
      </c>
      <c r="T64">
        <v>0</v>
      </c>
      <c r="X64" t="s">
        <v>862</v>
      </c>
      <c r="Y64">
        <v>6.6</v>
      </c>
      <c r="Z64" t="s">
        <v>833</v>
      </c>
      <c r="AA64" t="s">
        <v>212</v>
      </c>
      <c r="AJ64" t="s">
        <v>310</v>
      </c>
      <c r="AM64" t="s">
        <v>309</v>
      </c>
    </row>
    <row r="65" spans="1:40" hidden="1">
      <c r="A65" t="s">
        <v>792</v>
      </c>
      <c r="B65" t="s">
        <v>857</v>
      </c>
      <c r="C65" t="s">
        <v>857</v>
      </c>
      <c r="D65" t="s">
        <v>321</v>
      </c>
      <c r="E65">
        <v>2020</v>
      </c>
      <c r="F65">
        <v>0</v>
      </c>
      <c r="G65">
        <v>0</v>
      </c>
      <c r="H65">
        <v>0</v>
      </c>
      <c r="I65">
        <v>0</v>
      </c>
      <c r="J65">
        <v>1</v>
      </c>
      <c r="K65" t="s">
        <v>963</v>
      </c>
      <c r="L65">
        <v>2030</v>
      </c>
      <c r="M65">
        <v>0</v>
      </c>
      <c r="O65" t="s">
        <v>859</v>
      </c>
      <c r="R65" t="s">
        <v>964</v>
      </c>
      <c r="S65" t="s">
        <v>303</v>
      </c>
      <c r="T65">
        <v>2</v>
      </c>
      <c r="X65" t="s">
        <v>862</v>
      </c>
      <c r="Y65">
        <v>15.3</v>
      </c>
      <c r="Z65" t="s">
        <v>799</v>
      </c>
      <c r="AA65" t="s">
        <v>212</v>
      </c>
      <c r="AM65" t="s">
        <v>309</v>
      </c>
      <c r="AN65" t="s">
        <v>310</v>
      </c>
    </row>
    <row r="66" spans="1:40">
      <c r="A66" t="s">
        <v>792</v>
      </c>
      <c r="B66" t="s">
        <v>857</v>
      </c>
      <c r="C66" t="s">
        <v>857</v>
      </c>
      <c r="D66" t="s">
        <v>321</v>
      </c>
      <c r="E66">
        <v>2020</v>
      </c>
      <c r="F66">
        <v>0</v>
      </c>
      <c r="H66">
        <v>0</v>
      </c>
      <c r="I66">
        <v>0</v>
      </c>
      <c r="K66" t="s">
        <v>965</v>
      </c>
      <c r="L66">
        <v>2030</v>
      </c>
      <c r="M66">
        <v>1</v>
      </c>
      <c r="N66" t="s">
        <v>961</v>
      </c>
      <c r="O66" t="s">
        <v>859</v>
      </c>
      <c r="R66" t="s">
        <v>966</v>
      </c>
      <c r="S66" t="s">
        <v>303</v>
      </c>
      <c r="T66">
        <v>2</v>
      </c>
      <c r="U66" t="s">
        <v>331</v>
      </c>
      <c r="X66" t="s">
        <v>862</v>
      </c>
      <c r="Y66">
        <v>15.2</v>
      </c>
      <c r="Z66" t="s">
        <v>799</v>
      </c>
      <c r="AA66" t="s">
        <v>212</v>
      </c>
      <c r="AM66" t="s">
        <v>309</v>
      </c>
    </row>
    <row r="67" spans="1:40">
      <c r="A67" t="s">
        <v>792</v>
      </c>
      <c r="B67" t="s">
        <v>857</v>
      </c>
      <c r="C67" t="s">
        <v>857</v>
      </c>
      <c r="D67" t="s">
        <v>321</v>
      </c>
      <c r="E67">
        <v>2020</v>
      </c>
      <c r="F67">
        <v>0</v>
      </c>
      <c r="G67">
        <v>1</v>
      </c>
      <c r="H67">
        <v>0</v>
      </c>
      <c r="I67">
        <v>0</v>
      </c>
      <c r="J67">
        <v>1</v>
      </c>
      <c r="K67" t="s">
        <v>873</v>
      </c>
      <c r="L67">
        <v>2030</v>
      </c>
      <c r="M67">
        <v>1</v>
      </c>
      <c r="O67" t="s">
        <v>859</v>
      </c>
      <c r="R67" t="s">
        <v>874</v>
      </c>
      <c r="S67" t="s">
        <v>303</v>
      </c>
      <c r="T67">
        <v>2</v>
      </c>
      <c r="U67" t="s">
        <v>875</v>
      </c>
      <c r="V67" t="s">
        <v>876</v>
      </c>
      <c r="X67" t="s">
        <v>862</v>
      </c>
      <c r="Y67">
        <v>2.4</v>
      </c>
      <c r="Z67" t="s">
        <v>877</v>
      </c>
      <c r="AA67" t="s">
        <v>212</v>
      </c>
      <c r="AM67" t="s">
        <v>309</v>
      </c>
    </row>
    <row r="68" spans="1:40">
      <c r="A68" t="s">
        <v>792</v>
      </c>
      <c r="B68" t="s">
        <v>857</v>
      </c>
      <c r="C68" t="s">
        <v>857</v>
      </c>
      <c r="D68" t="s">
        <v>321</v>
      </c>
      <c r="E68">
        <v>2020</v>
      </c>
      <c r="F68">
        <v>0</v>
      </c>
      <c r="G68">
        <v>1</v>
      </c>
      <c r="H68">
        <v>0</v>
      </c>
      <c r="I68">
        <v>0</v>
      </c>
      <c r="J68">
        <v>1</v>
      </c>
      <c r="K68" t="s">
        <v>878</v>
      </c>
      <c r="L68">
        <v>2030</v>
      </c>
      <c r="M68">
        <v>1</v>
      </c>
      <c r="O68" t="s">
        <v>859</v>
      </c>
      <c r="R68" t="s">
        <v>879</v>
      </c>
      <c r="S68" t="s">
        <v>861</v>
      </c>
      <c r="T68">
        <v>0</v>
      </c>
      <c r="X68" t="s">
        <v>862</v>
      </c>
      <c r="Y68">
        <v>2.4</v>
      </c>
      <c r="Z68" t="s">
        <v>877</v>
      </c>
      <c r="AA68" t="s">
        <v>212</v>
      </c>
    </row>
    <row r="69" spans="1:40" ht="395">
      <c r="A69" t="s">
        <v>792</v>
      </c>
      <c r="B69" t="s">
        <v>857</v>
      </c>
      <c r="C69" t="s">
        <v>857</v>
      </c>
      <c r="D69" t="s">
        <v>321</v>
      </c>
      <c r="E69">
        <v>2020</v>
      </c>
      <c r="F69">
        <v>0</v>
      </c>
      <c r="G69">
        <v>1</v>
      </c>
      <c r="H69">
        <v>0</v>
      </c>
      <c r="I69">
        <v>0</v>
      </c>
      <c r="J69">
        <v>1</v>
      </c>
      <c r="K69" t="s">
        <v>880</v>
      </c>
      <c r="L69">
        <v>2030</v>
      </c>
      <c r="M69">
        <v>1</v>
      </c>
      <c r="N69" s="234" t="s">
        <v>881</v>
      </c>
      <c r="O69" t="s">
        <v>859</v>
      </c>
      <c r="R69" t="s">
        <v>882</v>
      </c>
      <c r="S69" t="s">
        <v>440</v>
      </c>
      <c r="T69">
        <v>3</v>
      </c>
      <c r="U69" t="s">
        <v>331</v>
      </c>
      <c r="X69" t="s">
        <v>862</v>
      </c>
      <c r="Y69">
        <v>12.4</v>
      </c>
      <c r="Z69" t="s">
        <v>614</v>
      </c>
      <c r="AA69" t="s">
        <v>212</v>
      </c>
    </row>
    <row r="70" spans="1:40">
      <c r="A70" t="s">
        <v>792</v>
      </c>
      <c r="B70" t="s">
        <v>857</v>
      </c>
      <c r="C70" t="s">
        <v>857</v>
      </c>
      <c r="D70" t="s">
        <v>321</v>
      </c>
      <c r="E70">
        <v>2020</v>
      </c>
      <c r="F70">
        <v>0</v>
      </c>
      <c r="H70">
        <v>0</v>
      </c>
      <c r="I70">
        <v>0</v>
      </c>
      <c r="K70" t="s">
        <v>967</v>
      </c>
      <c r="L70">
        <v>2030</v>
      </c>
      <c r="M70">
        <v>1</v>
      </c>
      <c r="N70" t="s">
        <v>961</v>
      </c>
      <c r="O70" t="s">
        <v>859</v>
      </c>
      <c r="R70" t="s">
        <v>968</v>
      </c>
      <c r="S70" t="s">
        <v>969</v>
      </c>
      <c r="T70">
        <v>1</v>
      </c>
      <c r="U70" t="s">
        <v>331</v>
      </c>
      <c r="X70" t="s">
        <v>862</v>
      </c>
      <c r="Y70">
        <v>15.5</v>
      </c>
      <c r="Z70" t="s">
        <v>799</v>
      </c>
      <c r="AA70" t="s">
        <v>212</v>
      </c>
    </row>
    <row r="71" spans="1:40">
      <c r="A71" t="s">
        <v>792</v>
      </c>
      <c r="B71" t="s">
        <v>857</v>
      </c>
      <c r="C71" t="s">
        <v>857</v>
      </c>
      <c r="D71" t="s">
        <v>321</v>
      </c>
      <c r="E71">
        <v>2020</v>
      </c>
      <c r="F71">
        <v>0</v>
      </c>
      <c r="H71">
        <v>0</v>
      </c>
      <c r="I71">
        <v>0</v>
      </c>
      <c r="K71" t="s">
        <v>970</v>
      </c>
      <c r="L71">
        <v>2030</v>
      </c>
      <c r="M71">
        <v>1</v>
      </c>
      <c r="N71" t="s">
        <v>961</v>
      </c>
      <c r="O71" t="s">
        <v>859</v>
      </c>
      <c r="R71" t="s">
        <v>971</v>
      </c>
      <c r="S71" t="s">
        <v>861</v>
      </c>
      <c r="T71">
        <v>0</v>
      </c>
      <c r="U71" t="s">
        <v>331</v>
      </c>
      <c r="X71" t="s">
        <v>862</v>
      </c>
      <c r="Y71">
        <v>15.5</v>
      </c>
      <c r="Z71" t="s">
        <v>799</v>
      </c>
      <c r="AA71" t="s">
        <v>212</v>
      </c>
    </row>
    <row r="72" spans="1:40" hidden="1">
      <c r="A72" t="s">
        <v>792</v>
      </c>
      <c r="B72" t="s">
        <v>857</v>
      </c>
      <c r="C72" t="s">
        <v>857</v>
      </c>
      <c r="D72" t="s">
        <v>321</v>
      </c>
      <c r="E72">
        <v>2020</v>
      </c>
      <c r="F72">
        <v>0</v>
      </c>
      <c r="G72">
        <v>0</v>
      </c>
      <c r="H72">
        <v>0</v>
      </c>
      <c r="I72">
        <v>0</v>
      </c>
      <c r="J72">
        <v>1</v>
      </c>
      <c r="K72" t="s">
        <v>972</v>
      </c>
      <c r="L72">
        <v>2030</v>
      </c>
      <c r="M72">
        <v>0</v>
      </c>
      <c r="O72" t="s">
        <v>859</v>
      </c>
      <c r="R72" t="s">
        <v>973</v>
      </c>
      <c r="S72" t="s">
        <v>861</v>
      </c>
      <c r="T72">
        <v>0</v>
      </c>
      <c r="U72" t="s">
        <v>331</v>
      </c>
      <c r="X72" t="s">
        <v>862</v>
      </c>
      <c r="Y72">
        <v>15.1</v>
      </c>
      <c r="Z72" t="s">
        <v>799</v>
      </c>
      <c r="AA72" t="s">
        <v>212</v>
      </c>
    </row>
    <row r="73" spans="1:40">
      <c r="A73" t="s">
        <v>792</v>
      </c>
      <c r="B73" t="s">
        <v>857</v>
      </c>
      <c r="C73" t="s">
        <v>857</v>
      </c>
      <c r="D73" t="s">
        <v>321</v>
      </c>
      <c r="E73">
        <v>2020</v>
      </c>
      <c r="F73">
        <v>0</v>
      </c>
      <c r="G73">
        <v>1</v>
      </c>
      <c r="H73">
        <v>0</v>
      </c>
      <c r="I73">
        <v>0</v>
      </c>
      <c r="J73">
        <v>1</v>
      </c>
      <c r="K73" t="s">
        <v>883</v>
      </c>
      <c r="L73">
        <v>2030</v>
      </c>
      <c r="M73">
        <v>1</v>
      </c>
      <c r="O73" t="s">
        <v>859</v>
      </c>
      <c r="Q73" t="s">
        <v>884</v>
      </c>
      <c r="R73" t="s">
        <v>885</v>
      </c>
      <c r="S73" t="s">
        <v>886</v>
      </c>
      <c r="T73">
        <v>3</v>
      </c>
      <c r="U73" t="s">
        <v>331</v>
      </c>
      <c r="X73" t="s">
        <v>862</v>
      </c>
      <c r="Y73">
        <v>15.1</v>
      </c>
      <c r="Z73" t="s">
        <v>799</v>
      </c>
      <c r="AA73" t="s">
        <v>212</v>
      </c>
    </row>
    <row r="74" spans="1:40">
      <c r="A74" t="s">
        <v>792</v>
      </c>
      <c r="B74" t="s">
        <v>857</v>
      </c>
      <c r="C74" t="s">
        <v>857</v>
      </c>
      <c r="D74" t="s">
        <v>321</v>
      </c>
      <c r="E74">
        <v>2020</v>
      </c>
      <c r="F74">
        <v>0</v>
      </c>
      <c r="G74">
        <v>1</v>
      </c>
      <c r="H74">
        <v>0</v>
      </c>
      <c r="I74">
        <v>0</v>
      </c>
      <c r="J74">
        <v>1</v>
      </c>
      <c r="K74" t="s">
        <v>887</v>
      </c>
      <c r="L74">
        <v>2030</v>
      </c>
      <c r="M74">
        <v>1</v>
      </c>
      <c r="O74" t="s">
        <v>859</v>
      </c>
      <c r="Q74" t="s">
        <v>888</v>
      </c>
      <c r="R74" t="s">
        <v>889</v>
      </c>
      <c r="S74" t="s">
        <v>303</v>
      </c>
      <c r="T74">
        <v>2</v>
      </c>
      <c r="U74" t="s">
        <v>331</v>
      </c>
      <c r="X74" t="s">
        <v>862</v>
      </c>
      <c r="Y74">
        <v>15.1</v>
      </c>
      <c r="Z74" t="s">
        <v>799</v>
      </c>
      <c r="AA74" t="s">
        <v>212</v>
      </c>
    </row>
    <row r="75" spans="1:40" ht="80">
      <c r="A75" t="s">
        <v>792</v>
      </c>
      <c r="B75" t="s">
        <v>857</v>
      </c>
      <c r="C75" t="s">
        <v>857</v>
      </c>
      <c r="D75" t="s">
        <v>321</v>
      </c>
      <c r="E75">
        <v>2020</v>
      </c>
      <c r="F75">
        <v>0</v>
      </c>
      <c r="H75">
        <v>0</v>
      </c>
      <c r="I75">
        <v>0</v>
      </c>
      <c r="K75" t="s">
        <v>974</v>
      </c>
      <c r="L75">
        <v>2030</v>
      </c>
      <c r="M75">
        <v>1</v>
      </c>
      <c r="N75" t="s">
        <v>961</v>
      </c>
      <c r="O75" t="s">
        <v>859</v>
      </c>
      <c r="Q75" t="s">
        <v>975</v>
      </c>
      <c r="R75" t="s">
        <v>976</v>
      </c>
      <c r="S75" t="s">
        <v>519</v>
      </c>
      <c r="T75">
        <v>2</v>
      </c>
      <c r="U75" t="s">
        <v>977</v>
      </c>
      <c r="V75" s="234" t="s">
        <v>978</v>
      </c>
      <c r="X75" t="s">
        <v>862</v>
      </c>
      <c r="Y75">
        <v>14.5</v>
      </c>
      <c r="Z75" t="s">
        <v>826</v>
      </c>
      <c r="AA75" t="s">
        <v>212</v>
      </c>
    </row>
    <row r="76" spans="1:40">
      <c r="A76" t="s">
        <v>792</v>
      </c>
      <c r="B76" t="s">
        <v>857</v>
      </c>
      <c r="C76" t="s">
        <v>857</v>
      </c>
      <c r="D76" t="s">
        <v>321</v>
      </c>
      <c r="E76">
        <v>2020</v>
      </c>
      <c r="F76">
        <v>0</v>
      </c>
      <c r="H76">
        <v>0</v>
      </c>
      <c r="I76">
        <v>0</v>
      </c>
      <c r="K76" t="s">
        <v>979</v>
      </c>
      <c r="L76">
        <v>2030</v>
      </c>
      <c r="M76">
        <v>1</v>
      </c>
      <c r="N76" t="s">
        <v>961</v>
      </c>
      <c r="O76" t="s">
        <v>859</v>
      </c>
      <c r="Q76" t="s">
        <v>975</v>
      </c>
      <c r="R76" t="s">
        <v>980</v>
      </c>
      <c r="S76" t="s">
        <v>519</v>
      </c>
      <c r="T76">
        <v>2</v>
      </c>
      <c r="U76" t="s">
        <v>981</v>
      </c>
      <c r="V76" t="s">
        <v>982</v>
      </c>
      <c r="W76" t="s">
        <v>344</v>
      </c>
      <c r="X76" t="s">
        <v>862</v>
      </c>
      <c r="Y76">
        <v>15.1</v>
      </c>
      <c r="Z76" t="s">
        <v>799</v>
      </c>
      <c r="AA76" t="s">
        <v>212</v>
      </c>
      <c r="AM76" t="s">
        <v>309</v>
      </c>
    </row>
    <row r="79" spans="1:40">
      <c r="J79">
        <f>SUM(Table9[n])</f>
        <v>47</v>
      </c>
      <c r="M79">
        <f>SUM(Table9[Quantified])</f>
        <v>40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49"/>
  <sheetViews>
    <sheetView workbookViewId="0">
      <selection activeCell="J49" sqref="J49"/>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hidden="1">
      <c r="A2" t="s">
        <v>598</v>
      </c>
      <c r="B2" t="s">
        <v>599</v>
      </c>
      <c r="C2" t="s">
        <v>600</v>
      </c>
      <c r="D2" t="s">
        <v>102</v>
      </c>
      <c r="E2">
        <v>2018</v>
      </c>
      <c r="F2">
        <v>1</v>
      </c>
      <c r="L2">
        <v>2035</v>
      </c>
      <c r="M2" t="s">
        <v>424</v>
      </c>
      <c r="N2" t="s">
        <v>601</v>
      </c>
      <c r="O2" t="s">
        <v>602</v>
      </c>
      <c r="P2" t="s">
        <v>603</v>
      </c>
      <c r="Q2" t="s">
        <v>604</v>
      </c>
      <c r="R2" t="s">
        <v>605</v>
      </c>
      <c r="S2" t="s">
        <v>519</v>
      </c>
      <c r="T2">
        <v>2</v>
      </c>
      <c r="U2" t="s">
        <v>331</v>
      </c>
      <c r="W2" t="s">
        <v>606</v>
      </c>
      <c r="Y2">
        <v>11.6</v>
      </c>
      <c r="Z2" t="s">
        <v>607</v>
      </c>
      <c r="AO2" t="s">
        <v>309</v>
      </c>
    </row>
    <row r="3" spans="1:62" ht="160">
      <c r="A3" t="s">
        <v>598</v>
      </c>
      <c r="B3" t="s">
        <v>599</v>
      </c>
      <c r="C3" t="s">
        <v>608</v>
      </c>
      <c r="D3" t="s">
        <v>102</v>
      </c>
      <c r="E3">
        <v>2018</v>
      </c>
      <c r="F3">
        <v>1</v>
      </c>
      <c r="G3">
        <v>3</v>
      </c>
      <c r="H3">
        <v>1</v>
      </c>
      <c r="J3">
        <v>1</v>
      </c>
      <c r="K3" t="s">
        <v>609</v>
      </c>
      <c r="L3">
        <v>2025</v>
      </c>
      <c r="M3">
        <v>1</v>
      </c>
      <c r="O3" t="s">
        <v>610</v>
      </c>
      <c r="P3" t="s">
        <v>611</v>
      </c>
      <c r="Q3" t="s">
        <v>612</v>
      </c>
      <c r="R3" s="234" t="s">
        <v>613</v>
      </c>
      <c r="S3" t="s">
        <v>440</v>
      </c>
      <c r="T3">
        <v>3</v>
      </c>
      <c r="U3" t="s">
        <v>331</v>
      </c>
      <c r="W3" t="s">
        <v>606</v>
      </c>
      <c r="Y3">
        <v>12.5</v>
      </c>
      <c r="Z3" t="s">
        <v>614</v>
      </c>
      <c r="AO3" t="s">
        <v>309</v>
      </c>
    </row>
    <row r="4" spans="1:62" hidden="1">
      <c r="A4" t="s">
        <v>598</v>
      </c>
      <c r="B4" t="s">
        <v>599</v>
      </c>
      <c r="C4" t="s">
        <v>608</v>
      </c>
      <c r="D4" t="s">
        <v>102</v>
      </c>
      <c r="E4">
        <v>2018</v>
      </c>
      <c r="F4">
        <v>1</v>
      </c>
      <c r="K4" t="s">
        <v>615</v>
      </c>
      <c r="L4">
        <v>2030</v>
      </c>
      <c r="M4" t="s">
        <v>424</v>
      </c>
      <c r="N4" t="s">
        <v>616</v>
      </c>
      <c r="W4" t="s">
        <v>617</v>
      </c>
      <c r="X4" t="s">
        <v>606</v>
      </c>
      <c r="Y4">
        <v>12.3</v>
      </c>
      <c r="Z4" t="s">
        <v>614</v>
      </c>
      <c r="AA4" t="s">
        <v>197</v>
      </c>
      <c r="AB4" t="s">
        <v>618</v>
      </c>
      <c r="AN4" t="s">
        <v>310</v>
      </c>
      <c r="AO4" t="s">
        <v>309</v>
      </c>
    </row>
    <row r="5" spans="1:62">
      <c r="A5" t="s">
        <v>598</v>
      </c>
      <c r="B5" t="s">
        <v>599</v>
      </c>
      <c r="C5" t="s">
        <v>608</v>
      </c>
      <c r="D5" t="s">
        <v>102</v>
      </c>
      <c r="E5">
        <v>2018</v>
      </c>
      <c r="F5">
        <v>1</v>
      </c>
      <c r="G5">
        <v>3</v>
      </c>
      <c r="H5">
        <v>1</v>
      </c>
      <c r="J5">
        <v>1</v>
      </c>
      <c r="K5" t="s">
        <v>619</v>
      </c>
      <c r="L5">
        <v>2025</v>
      </c>
      <c r="M5">
        <v>1</v>
      </c>
      <c r="O5" t="s">
        <v>602</v>
      </c>
      <c r="P5" t="s">
        <v>620</v>
      </c>
      <c r="Q5" t="s">
        <v>621</v>
      </c>
      <c r="R5" t="s">
        <v>622</v>
      </c>
      <c r="S5" t="s">
        <v>303</v>
      </c>
      <c r="T5">
        <v>2</v>
      </c>
      <c r="U5" t="s">
        <v>331</v>
      </c>
      <c r="W5" t="s">
        <v>623</v>
      </c>
      <c r="X5" t="s">
        <v>606</v>
      </c>
      <c r="Y5">
        <v>11.6</v>
      </c>
      <c r="Z5" t="s">
        <v>607</v>
      </c>
      <c r="AA5" t="s">
        <v>197</v>
      </c>
      <c r="AB5" t="s">
        <v>624</v>
      </c>
      <c r="AO5" t="s">
        <v>309</v>
      </c>
    </row>
    <row r="6" spans="1:62" ht="409.6" hidden="1">
      <c r="A6" t="s">
        <v>598</v>
      </c>
      <c r="B6" t="s">
        <v>599</v>
      </c>
      <c r="C6" t="s">
        <v>625</v>
      </c>
      <c r="D6" t="s">
        <v>102</v>
      </c>
      <c r="E6">
        <v>2012</v>
      </c>
      <c r="F6">
        <v>1</v>
      </c>
      <c r="G6">
        <v>2</v>
      </c>
      <c r="H6">
        <v>1</v>
      </c>
      <c r="K6" s="234" t="s">
        <v>626</v>
      </c>
      <c r="M6">
        <v>1</v>
      </c>
      <c r="N6" t="s">
        <v>627</v>
      </c>
      <c r="O6" t="s">
        <v>602</v>
      </c>
      <c r="U6" t="s">
        <v>331</v>
      </c>
      <c r="W6" t="s">
        <v>628</v>
      </c>
      <c r="X6" t="s">
        <v>623</v>
      </c>
      <c r="Y6">
        <v>12.5</v>
      </c>
      <c r="Z6" t="s">
        <v>614</v>
      </c>
      <c r="AA6" t="s">
        <v>197</v>
      </c>
      <c r="AB6" t="s">
        <v>629</v>
      </c>
      <c r="AO6" t="s">
        <v>309</v>
      </c>
    </row>
    <row r="7" spans="1:62" ht="409.6" hidden="1">
      <c r="A7" t="s">
        <v>598</v>
      </c>
      <c r="B7" t="s">
        <v>599</v>
      </c>
      <c r="C7" t="s">
        <v>625</v>
      </c>
      <c r="D7" t="s">
        <v>102</v>
      </c>
      <c r="E7">
        <v>2012</v>
      </c>
      <c r="F7">
        <v>1</v>
      </c>
      <c r="G7">
        <v>2</v>
      </c>
      <c r="H7">
        <v>1</v>
      </c>
      <c r="K7" s="234" t="s">
        <v>630</v>
      </c>
      <c r="M7">
        <v>1</v>
      </c>
      <c r="O7" t="s">
        <v>602</v>
      </c>
      <c r="U7" t="s">
        <v>331</v>
      </c>
      <c r="W7" t="s">
        <v>628</v>
      </c>
      <c r="X7" t="s">
        <v>623</v>
      </c>
      <c r="Y7">
        <v>12.5</v>
      </c>
      <c r="Z7" t="s">
        <v>614</v>
      </c>
      <c r="AA7" t="s">
        <v>197</v>
      </c>
      <c r="AB7" t="s">
        <v>629</v>
      </c>
      <c r="AO7" t="s">
        <v>309</v>
      </c>
    </row>
    <row r="8" spans="1:62" ht="409.6" hidden="1">
      <c r="A8" t="s">
        <v>598</v>
      </c>
      <c r="B8" t="s">
        <v>599</v>
      </c>
      <c r="C8" t="s">
        <v>625</v>
      </c>
      <c r="D8" t="s">
        <v>102</v>
      </c>
      <c r="E8">
        <v>2012</v>
      </c>
      <c r="F8">
        <v>1</v>
      </c>
      <c r="G8">
        <v>2</v>
      </c>
      <c r="H8">
        <v>1</v>
      </c>
      <c r="K8" s="234" t="s">
        <v>631</v>
      </c>
      <c r="M8">
        <v>1</v>
      </c>
      <c r="O8" t="s">
        <v>602</v>
      </c>
      <c r="U8" t="s">
        <v>331</v>
      </c>
      <c r="W8" t="s">
        <v>628</v>
      </c>
      <c r="X8" t="s">
        <v>623</v>
      </c>
      <c r="Y8">
        <v>12.5</v>
      </c>
      <c r="Z8" t="s">
        <v>614</v>
      </c>
      <c r="AA8" t="s">
        <v>197</v>
      </c>
      <c r="AB8" t="s">
        <v>629</v>
      </c>
      <c r="AO8" t="s">
        <v>309</v>
      </c>
    </row>
    <row r="9" spans="1:62" hidden="1">
      <c r="A9" t="s">
        <v>598</v>
      </c>
      <c r="B9" t="s">
        <v>599</v>
      </c>
      <c r="C9" t="s">
        <v>625</v>
      </c>
      <c r="D9" t="s">
        <v>102</v>
      </c>
      <c r="E9">
        <v>2012</v>
      </c>
      <c r="F9">
        <v>1</v>
      </c>
      <c r="G9">
        <v>2</v>
      </c>
      <c r="H9">
        <v>1</v>
      </c>
      <c r="K9" t="s">
        <v>632</v>
      </c>
      <c r="M9">
        <v>1</v>
      </c>
      <c r="O9" t="s">
        <v>602</v>
      </c>
      <c r="U9" t="s">
        <v>331</v>
      </c>
      <c r="W9" t="s">
        <v>628</v>
      </c>
      <c r="X9" t="s">
        <v>623</v>
      </c>
      <c r="Y9">
        <v>12.5</v>
      </c>
      <c r="Z9" t="s">
        <v>614</v>
      </c>
      <c r="AA9" t="s">
        <v>197</v>
      </c>
      <c r="AB9" t="s">
        <v>633</v>
      </c>
    </row>
    <row r="10" spans="1:62">
      <c r="A10" t="s">
        <v>598</v>
      </c>
      <c r="B10" t="s">
        <v>599</v>
      </c>
      <c r="C10" t="s">
        <v>634</v>
      </c>
      <c r="D10" t="s">
        <v>102</v>
      </c>
      <c r="E10">
        <v>2019</v>
      </c>
      <c r="F10">
        <v>1</v>
      </c>
      <c r="G10">
        <v>3</v>
      </c>
      <c r="H10">
        <v>1</v>
      </c>
      <c r="J10">
        <v>1</v>
      </c>
      <c r="K10" t="s">
        <v>635</v>
      </c>
      <c r="L10">
        <v>2029</v>
      </c>
      <c r="M10">
        <v>1</v>
      </c>
      <c r="O10" t="s">
        <v>636</v>
      </c>
      <c r="P10" t="s">
        <v>637</v>
      </c>
      <c r="Q10" t="s">
        <v>638</v>
      </c>
      <c r="R10" t="s">
        <v>639</v>
      </c>
      <c r="S10" t="s">
        <v>363</v>
      </c>
      <c r="T10">
        <v>2</v>
      </c>
      <c r="U10" t="s">
        <v>331</v>
      </c>
      <c r="W10" t="s">
        <v>640</v>
      </c>
      <c r="X10" t="s">
        <v>623</v>
      </c>
      <c r="Y10">
        <v>12.5</v>
      </c>
      <c r="Z10" t="s">
        <v>614</v>
      </c>
      <c r="AO10" t="s">
        <v>309</v>
      </c>
    </row>
    <row r="11" spans="1:62">
      <c r="A11" t="s">
        <v>598</v>
      </c>
      <c r="B11" t="s">
        <v>599</v>
      </c>
      <c r="C11" t="s">
        <v>634</v>
      </c>
      <c r="D11" t="s">
        <v>102</v>
      </c>
      <c r="E11">
        <v>2019</v>
      </c>
      <c r="F11">
        <v>1</v>
      </c>
      <c r="G11">
        <v>3</v>
      </c>
      <c r="H11">
        <v>1</v>
      </c>
      <c r="J11">
        <v>1</v>
      </c>
      <c r="K11" t="s">
        <v>641</v>
      </c>
      <c r="L11">
        <v>2030</v>
      </c>
      <c r="M11">
        <v>1</v>
      </c>
      <c r="O11" t="s">
        <v>636</v>
      </c>
      <c r="P11" t="s">
        <v>642</v>
      </c>
      <c r="Q11" t="s">
        <v>643</v>
      </c>
      <c r="R11" t="s">
        <v>644</v>
      </c>
      <c r="S11" t="s">
        <v>303</v>
      </c>
      <c r="T11">
        <v>2</v>
      </c>
      <c r="U11" t="s">
        <v>331</v>
      </c>
      <c r="W11" t="s">
        <v>640</v>
      </c>
      <c r="X11" t="s">
        <v>623</v>
      </c>
      <c r="Y11">
        <v>12.5</v>
      </c>
      <c r="Z11" t="s">
        <v>614</v>
      </c>
      <c r="AO11" t="s">
        <v>309</v>
      </c>
    </row>
    <row r="12" spans="1:62" hidden="1">
      <c r="A12" t="s">
        <v>598</v>
      </c>
      <c r="B12" t="s">
        <v>599</v>
      </c>
      <c r="C12" t="s">
        <v>645</v>
      </c>
      <c r="D12" t="s">
        <v>321</v>
      </c>
      <c r="E12">
        <v>2022</v>
      </c>
      <c r="F12">
        <v>0</v>
      </c>
      <c r="AO12" t="s">
        <v>309</v>
      </c>
    </row>
    <row r="13" spans="1:62">
      <c r="A13" t="s">
        <v>598</v>
      </c>
      <c r="B13" t="s">
        <v>599</v>
      </c>
      <c r="C13" t="s">
        <v>646</v>
      </c>
      <c r="D13" t="s">
        <v>110</v>
      </c>
      <c r="E13">
        <v>2022</v>
      </c>
      <c r="F13">
        <v>0</v>
      </c>
      <c r="G13">
        <v>2</v>
      </c>
      <c r="H13">
        <v>0</v>
      </c>
      <c r="I13">
        <v>1</v>
      </c>
      <c r="J13">
        <v>1</v>
      </c>
      <c r="K13" t="s">
        <v>647</v>
      </c>
      <c r="L13">
        <v>2030</v>
      </c>
      <c r="M13">
        <v>1</v>
      </c>
      <c r="O13" t="s">
        <v>648</v>
      </c>
      <c r="P13" t="s">
        <v>649</v>
      </c>
      <c r="Q13" t="s">
        <v>650</v>
      </c>
      <c r="R13" t="s">
        <v>651</v>
      </c>
      <c r="S13" t="s">
        <v>363</v>
      </c>
      <c r="T13">
        <v>3</v>
      </c>
      <c r="U13" t="s">
        <v>331</v>
      </c>
      <c r="W13" t="s">
        <v>623</v>
      </c>
      <c r="X13" t="s">
        <v>606</v>
      </c>
      <c r="Y13">
        <v>12.5</v>
      </c>
      <c r="Z13" t="s">
        <v>614</v>
      </c>
      <c r="AO13" t="s">
        <v>309</v>
      </c>
    </row>
    <row r="14" spans="1:62">
      <c r="A14" t="s">
        <v>598</v>
      </c>
      <c r="B14" t="s">
        <v>599</v>
      </c>
      <c r="C14" t="s">
        <v>646</v>
      </c>
      <c r="D14" t="s">
        <v>110</v>
      </c>
      <c r="E14">
        <v>2022</v>
      </c>
      <c r="F14">
        <v>0</v>
      </c>
      <c r="G14">
        <v>2</v>
      </c>
      <c r="H14">
        <v>0</v>
      </c>
      <c r="I14">
        <v>1</v>
      </c>
      <c r="J14">
        <v>1</v>
      </c>
      <c r="K14" t="s">
        <v>652</v>
      </c>
      <c r="L14">
        <v>2030</v>
      </c>
      <c r="M14">
        <v>1</v>
      </c>
      <c r="O14" t="s">
        <v>648</v>
      </c>
      <c r="P14" t="s">
        <v>653</v>
      </c>
      <c r="Q14" t="s">
        <v>654</v>
      </c>
      <c r="R14" t="s">
        <v>655</v>
      </c>
      <c r="S14" t="s">
        <v>363</v>
      </c>
      <c r="T14">
        <v>3</v>
      </c>
      <c r="U14" t="s">
        <v>331</v>
      </c>
      <c r="W14" t="s">
        <v>623</v>
      </c>
      <c r="X14" t="s">
        <v>606</v>
      </c>
      <c r="Y14">
        <v>12.5</v>
      </c>
      <c r="Z14" t="s">
        <v>614</v>
      </c>
      <c r="AO14" t="s">
        <v>309</v>
      </c>
    </row>
    <row r="15" spans="1:62">
      <c r="A15" t="s">
        <v>598</v>
      </c>
      <c r="B15" t="s">
        <v>599</v>
      </c>
      <c r="C15" t="s">
        <v>646</v>
      </c>
      <c r="D15" t="s">
        <v>110</v>
      </c>
      <c r="E15">
        <v>2022</v>
      </c>
      <c r="F15">
        <v>0</v>
      </c>
      <c r="G15">
        <v>2</v>
      </c>
      <c r="H15">
        <v>0</v>
      </c>
      <c r="I15">
        <v>1</v>
      </c>
      <c r="J15">
        <v>1</v>
      </c>
      <c r="K15" t="s">
        <v>656</v>
      </c>
      <c r="L15">
        <v>2030</v>
      </c>
      <c r="M15">
        <v>1</v>
      </c>
      <c r="O15" t="s">
        <v>648</v>
      </c>
      <c r="P15" t="s">
        <v>657</v>
      </c>
      <c r="Q15" t="s">
        <v>658</v>
      </c>
      <c r="R15" t="s">
        <v>659</v>
      </c>
      <c r="S15" t="s">
        <v>363</v>
      </c>
      <c r="T15">
        <v>3</v>
      </c>
      <c r="U15" t="s">
        <v>331</v>
      </c>
      <c r="W15" t="s">
        <v>623</v>
      </c>
      <c r="X15" t="s">
        <v>606</v>
      </c>
      <c r="Y15">
        <v>12.5</v>
      </c>
      <c r="Z15" t="s">
        <v>614</v>
      </c>
      <c r="AO15" t="s">
        <v>309</v>
      </c>
    </row>
    <row r="16" spans="1:62">
      <c r="A16" t="s">
        <v>598</v>
      </c>
      <c r="B16" t="s">
        <v>599</v>
      </c>
      <c r="C16" t="s">
        <v>646</v>
      </c>
      <c r="D16" t="s">
        <v>110</v>
      </c>
      <c r="E16">
        <v>2022</v>
      </c>
      <c r="F16">
        <v>0</v>
      </c>
      <c r="G16">
        <v>2</v>
      </c>
      <c r="H16">
        <v>0</v>
      </c>
      <c r="I16">
        <v>1</v>
      </c>
      <c r="J16">
        <v>1</v>
      </c>
      <c r="K16" t="s">
        <v>660</v>
      </c>
      <c r="L16">
        <v>2030</v>
      </c>
      <c r="M16">
        <v>1</v>
      </c>
      <c r="O16" t="s">
        <v>648</v>
      </c>
      <c r="P16" t="s">
        <v>661</v>
      </c>
      <c r="Q16" t="s">
        <v>662</v>
      </c>
      <c r="R16" t="s">
        <v>663</v>
      </c>
      <c r="S16" t="s">
        <v>363</v>
      </c>
      <c r="T16">
        <v>3</v>
      </c>
      <c r="U16" t="s">
        <v>331</v>
      </c>
      <c r="W16" t="s">
        <v>623</v>
      </c>
      <c r="X16" t="s">
        <v>606</v>
      </c>
      <c r="Y16">
        <v>12.5</v>
      </c>
      <c r="Z16" t="s">
        <v>614</v>
      </c>
      <c r="AO16" t="s">
        <v>309</v>
      </c>
    </row>
    <row r="17" spans="1:41">
      <c r="A17" t="s">
        <v>598</v>
      </c>
      <c r="B17" t="s">
        <v>599</v>
      </c>
      <c r="C17" t="s">
        <v>646</v>
      </c>
      <c r="D17" t="s">
        <v>110</v>
      </c>
      <c r="E17">
        <v>2022</v>
      </c>
      <c r="F17">
        <v>0</v>
      </c>
      <c r="G17">
        <v>2</v>
      </c>
      <c r="H17">
        <v>0</v>
      </c>
      <c r="I17">
        <v>1</v>
      </c>
      <c r="J17">
        <v>1</v>
      </c>
      <c r="K17" t="s">
        <v>664</v>
      </c>
      <c r="L17">
        <v>2030</v>
      </c>
      <c r="M17">
        <v>1</v>
      </c>
      <c r="O17" t="s">
        <v>648</v>
      </c>
      <c r="P17" t="s">
        <v>665</v>
      </c>
      <c r="Q17" t="s">
        <v>643</v>
      </c>
      <c r="R17" t="s">
        <v>666</v>
      </c>
      <c r="S17" t="s">
        <v>363</v>
      </c>
      <c r="T17">
        <v>3</v>
      </c>
      <c r="U17" t="s">
        <v>331</v>
      </c>
      <c r="W17" t="s">
        <v>623</v>
      </c>
      <c r="X17" t="s">
        <v>606</v>
      </c>
      <c r="Y17">
        <v>12.5</v>
      </c>
      <c r="Z17" t="s">
        <v>614</v>
      </c>
      <c r="AO17" t="s">
        <v>309</v>
      </c>
    </row>
    <row r="18" spans="1:41">
      <c r="A18" t="s">
        <v>598</v>
      </c>
      <c r="B18" t="s">
        <v>599</v>
      </c>
      <c r="C18" t="s">
        <v>646</v>
      </c>
      <c r="D18" t="s">
        <v>110</v>
      </c>
      <c r="E18">
        <v>2022</v>
      </c>
      <c r="F18">
        <v>0</v>
      </c>
      <c r="G18">
        <v>2</v>
      </c>
      <c r="H18">
        <v>0</v>
      </c>
      <c r="I18">
        <v>1</v>
      </c>
      <c r="J18">
        <v>1</v>
      </c>
      <c r="K18" t="s">
        <v>667</v>
      </c>
      <c r="L18">
        <v>2030</v>
      </c>
      <c r="M18">
        <v>1</v>
      </c>
      <c r="O18" t="s">
        <v>648</v>
      </c>
      <c r="P18" t="s">
        <v>668</v>
      </c>
      <c r="Q18" t="s">
        <v>669</v>
      </c>
      <c r="R18" t="s">
        <v>670</v>
      </c>
      <c r="S18" t="s">
        <v>519</v>
      </c>
      <c r="T18">
        <v>2</v>
      </c>
      <c r="U18" t="s">
        <v>331</v>
      </c>
      <c r="W18" t="s">
        <v>640</v>
      </c>
      <c r="X18" t="s">
        <v>623</v>
      </c>
      <c r="Y18">
        <v>12.5</v>
      </c>
      <c r="Z18" t="s">
        <v>614</v>
      </c>
      <c r="AO18" t="s">
        <v>309</v>
      </c>
    </row>
    <row r="19" spans="1:41">
      <c r="A19" t="s">
        <v>598</v>
      </c>
      <c r="B19" t="s">
        <v>599</v>
      </c>
      <c r="C19" t="s">
        <v>646</v>
      </c>
      <c r="D19" t="s">
        <v>110</v>
      </c>
      <c r="E19">
        <v>2022</v>
      </c>
      <c r="F19">
        <v>0</v>
      </c>
      <c r="G19">
        <v>2</v>
      </c>
      <c r="H19">
        <v>0</v>
      </c>
      <c r="I19">
        <v>1</v>
      </c>
      <c r="J19">
        <v>1</v>
      </c>
      <c r="K19" t="s">
        <v>671</v>
      </c>
      <c r="L19">
        <v>2030</v>
      </c>
      <c r="M19">
        <v>1</v>
      </c>
      <c r="O19" t="s">
        <v>648</v>
      </c>
      <c r="P19" t="s">
        <v>672</v>
      </c>
      <c r="Q19" t="s">
        <v>673</v>
      </c>
      <c r="R19" t="s">
        <v>674</v>
      </c>
      <c r="S19" t="s">
        <v>363</v>
      </c>
      <c r="T19">
        <v>2</v>
      </c>
      <c r="U19" t="s">
        <v>331</v>
      </c>
      <c r="W19" t="s">
        <v>606</v>
      </c>
      <c r="X19" t="s">
        <v>623</v>
      </c>
      <c r="Y19">
        <v>12.5</v>
      </c>
      <c r="Z19" t="s">
        <v>614</v>
      </c>
      <c r="AA19" t="s">
        <v>197</v>
      </c>
      <c r="AB19" t="s">
        <v>675</v>
      </c>
      <c r="AO19" t="s">
        <v>309</v>
      </c>
    </row>
    <row r="20" spans="1:41">
      <c r="A20" t="s">
        <v>598</v>
      </c>
      <c r="B20" t="s">
        <v>599</v>
      </c>
      <c r="C20" t="s">
        <v>646</v>
      </c>
      <c r="D20" t="s">
        <v>110</v>
      </c>
      <c r="E20">
        <v>2022</v>
      </c>
      <c r="F20">
        <v>0</v>
      </c>
      <c r="G20">
        <v>2</v>
      </c>
      <c r="H20">
        <v>0</v>
      </c>
      <c r="I20">
        <v>1</v>
      </c>
      <c r="J20">
        <v>1</v>
      </c>
      <c r="K20" t="s">
        <v>676</v>
      </c>
      <c r="L20">
        <v>2030</v>
      </c>
      <c r="M20">
        <v>1</v>
      </c>
      <c r="O20" t="s">
        <v>648</v>
      </c>
      <c r="P20" t="s">
        <v>677</v>
      </c>
      <c r="Q20" t="s">
        <v>678</v>
      </c>
      <c r="R20" t="s">
        <v>679</v>
      </c>
      <c r="S20" t="s">
        <v>356</v>
      </c>
      <c r="T20">
        <v>1</v>
      </c>
      <c r="U20" t="s">
        <v>331</v>
      </c>
      <c r="W20" t="s">
        <v>606</v>
      </c>
      <c r="X20" t="s">
        <v>623</v>
      </c>
      <c r="Y20">
        <v>12.5</v>
      </c>
      <c r="Z20" t="s">
        <v>614</v>
      </c>
      <c r="AO20" t="s">
        <v>309</v>
      </c>
    </row>
    <row r="21" spans="1:41">
      <c r="A21" t="s">
        <v>598</v>
      </c>
      <c r="B21" t="s">
        <v>599</v>
      </c>
      <c r="C21" t="s">
        <v>646</v>
      </c>
      <c r="D21" t="s">
        <v>110</v>
      </c>
      <c r="E21">
        <v>2022</v>
      </c>
      <c r="F21">
        <v>0</v>
      </c>
      <c r="G21">
        <v>2</v>
      </c>
      <c r="H21">
        <v>0</v>
      </c>
      <c r="I21">
        <v>1</v>
      </c>
      <c r="J21">
        <v>1</v>
      </c>
      <c r="K21" t="s">
        <v>680</v>
      </c>
      <c r="L21">
        <v>2025</v>
      </c>
      <c r="M21">
        <v>1</v>
      </c>
      <c r="O21" t="s">
        <v>636</v>
      </c>
      <c r="P21" t="s">
        <v>681</v>
      </c>
      <c r="Q21" t="s">
        <v>682</v>
      </c>
      <c r="R21" t="s">
        <v>683</v>
      </c>
      <c r="S21" t="s">
        <v>363</v>
      </c>
      <c r="T21">
        <v>2</v>
      </c>
      <c r="U21" t="s">
        <v>331</v>
      </c>
      <c r="W21" t="s">
        <v>640</v>
      </c>
      <c r="Y21">
        <v>12.5</v>
      </c>
      <c r="Z21" t="s">
        <v>614</v>
      </c>
      <c r="AA21" t="s">
        <v>197</v>
      </c>
      <c r="AB21" t="s">
        <v>684</v>
      </c>
      <c r="AO21" t="s">
        <v>309</v>
      </c>
    </row>
    <row r="22" spans="1:41" ht="409.6">
      <c r="A22" t="s">
        <v>598</v>
      </c>
      <c r="B22" t="s">
        <v>599</v>
      </c>
      <c r="C22" t="s">
        <v>646</v>
      </c>
      <c r="D22" t="s">
        <v>110</v>
      </c>
      <c r="E22">
        <v>2022</v>
      </c>
      <c r="F22">
        <v>0</v>
      </c>
      <c r="G22">
        <v>2</v>
      </c>
      <c r="H22">
        <v>0</v>
      </c>
      <c r="I22">
        <v>1</v>
      </c>
      <c r="J22">
        <v>1</v>
      </c>
      <c r="K22" s="234" t="s">
        <v>685</v>
      </c>
      <c r="L22">
        <v>2030</v>
      </c>
      <c r="M22">
        <v>1</v>
      </c>
      <c r="N22" t="s">
        <v>686</v>
      </c>
      <c r="O22" t="s">
        <v>636</v>
      </c>
      <c r="R22" t="s">
        <v>687</v>
      </c>
      <c r="S22" t="s">
        <v>303</v>
      </c>
      <c r="T22">
        <v>2</v>
      </c>
      <c r="U22" t="s">
        <v>331</v>
      </c>
      <c r="W22" t="s">
        <v>640</v>
      </c>
      <c r="X22" t="s">
        <v>623</v>
      </c>
      <c r="Y22">
        <v>12.5</v>
      </c>
      <c r="Z22" t="s">
        <v>614</v>
      </c>
      <c r="AO22" t="s">
        <v>309</v>
      </c>
    </row>
    <row r="23" spans="1:41">
      <c r="A23" t="s">
        <v>598</v>
      </c>
      <c r="B23" t="s">
        <v>599</v>
      </c>
      <c r="C23" t="s">
        <v>646</v>
      </c>
      <c r="D23" t="s">
        <v>110</v>
      </c>
      <c r="E23">
        <v>2022</v>
      </c>
      <c r="F23">
        <v>0</v>
      </c>
      <c r="G23">
        <v>2</v>
      </c>
      <c r="H23">
        <v>0</v>
      </c>
      <c r="I23">
        <v>1</v>
      </c>
      <c r="J23">
        <v>1</v>
      </c>
      <c r="K23" t="s">
        <v>688</v>
      </c>
      <c r="L23">
        <v>2030</v>
      </c>
      <c r="M23">
        <v>1</v>
      </c>
      <c r="N23" t="s">
        <v>689</v>
      </c>
      <c r="O23" t="s">
        <v>636</v>
      </c>
      <c r="P23" t="s">
        <v>690</v>
      </c>
      <c r="Q23" t="s">
        <v>691</v>
      </c>
      <c r="R23" t="s">
        <v>692</v>
      </c>
      <c r="T23">
        <v>0</v>
      </c>
      <c r="U23" t="s">
        <v>331</v>
      </c>
      <c r="W23" t="s">
        <v>623</v>
      </c>
      <c r="Y23">
        <v>12.5</v>
      </c>
      <c r="Z23" t="s">
        <v>614</v>
      </c>
      <c r="AA23" t="s">
        <v>197</v>
      </c>
      <c r="AB23" t="s">
        <v>675</v>
      </c>
      <c r="AO23" t="s">
        <v>309</v>
      </c>
    </row>
    <row r="24" spans="1:41" hidden="1">
      <c r="A24" t="s">
        <v>598</v>
      </c>
      <c r="B24" t="s">
        <v>599</v>
      </c>
      <c r="C24" t="s">
        <v>693</v>
      </c>
      <c r="D24" t="s">
        <v>110</v>
      </c>
      <c r="E24">
        <v>2023</v>
      </c>
      <c r="F24">
        <v>0</v>
      </c>
      <c r="M24" t="s">
        <v>424</v>
      </c>
    </row>
    <row r="25" spans="1:41" ht="272">
      <c r="A25" t="s">
        <v>598</v>
      </c>
      <c r="B25" t="s">
        <v>599</v>
      </c>
      <c r="C25" t="s">
        <v>608</v>
      </c>
      <c r="D25" t="s">
        <v>101</v>
      </c>
      <c r="E25">
        <v>2023</v>
      </c>
      <c r="F25">
        <v>0</v>
      </c>
      <c r="G25">
        <v>2</v>
      </c>
      <c r="H25">
        <v>0</v>
      </c>
      <c r="I25">
        <v>1</v>
      </c>
      <c r="J25">
        <v>1</v>
      </c>
      <c r="K25" t="s">
        <v>694</v>
      </c>
      <c r="L25">
        <v>2030</v>
      </c>
      <c r="M25">
        <v>1</v>
      </c>
      <c r="N25" s="234" t="s">
        <v>695</v>
      </c>
      <c r="O25" t="s">
        <v>696</v>
      </c>
      <c r="P25" t="s">
        <v>697</v>
      </c>
      <c r="Q25" t="s">
        <v>698</v>
      </c>
      <c r="R25" t="s">
        <v>699</v>
      </c>
      <c r="S25" t="s">
        <v>519</v>
      </c>
      <c r="T25">
        <v>2</v>
      </c>
      <c r="U25" t="s">
        <v>700</v>
      </c>
      <c r="V25" t="s">
        <v>701</v>
      </c>
      <c r="W25" t="s">
        <v>606</v>
      </c>
      <c r="X25" t="s">
        <v>617</v>
      </c>
      <c r="Y25">
        <v>12.3</v>
      </c>
      <c r="Z25" t="s">
        <v>614</v>
      </c>
      <c r="AA25" t="s">
        <v>702</v>
      </c>
      <c r="AB25" t="s">
        <v>618</v>
      </c>
    </row>
    <row r="26" spans="1:41" ht="208">
      <c r="A26" t="s">
        <v>598</v>
      </c>
      <c r="B26" t="s">
        <v>599</v>
      </c>
      <c r="C26" t="s">
        <v>608</v>
      </c>
      <c r="D26" t="s">
        <v>101</v>
      </c>
      <c r="E26">
        <v>2023</v>
      </c>
      <c r="F26">
        <v>0</v>
      </c>
      <c r="G26">
        <v>2</v>
      </c>
      <c r="H26">
        <v>0</v>
      </c>
      <c r="I26">
        <v>1</v>
      </c>
      <c r="J26">
        <v>1</v>
      </c>
      <c r="K26" t="s">
        <v>703</v>
      </c>
      <c r="L26">
        <v>2030</v>
      </c>
      <c r="M26">
        <v>1</v>
      </c>
      <c r="N26" s="234" t="s">
        <v>704</v>
      </c>
      <c r="O26" t="s">
        <v>696</v>
      </c>
      <c r="P26" t="s">
        <v>697</v>
      </c>
      <c r="Q26" t="s">
        <v>705</v>
      </c>
      <c r="R26" t="s">
        <v>699</v>
      </c>
      <c r="S26" t="s">
        <v>519</v>
      </c>
      <c r="T26">
        <v>2</v>
      </c>
      <c r="U26" t="s">
        <v>700</v>
      </c>
      <c r="V26" t="s">
        <v>701</v>
      </c>
      <c r="W26" t="s">
        <v>606</v>
      </c>
      <c r="X26" t="s">
        <v>617</v>
      </c>
      <c r="Y26">
        <v>12.3</v>
      </c>
      <c r="Z26" t="s">
        <v>614</v>
      </c>
      <c r="AA26" t="s">
        <v>702</v>
      </c>
      <c r="AB26" t="s">
        <v>618</v>
      </c>
    </row>
    <row r="27" spans="1:41" ht="350">
      <c r="A27" t="s">
        <v>598</v>
      </c>
      <c r="B27" t="s">
        <v>706</v>
      </c>
      <c r="C27" t="s">
        <v>707</v>
      </c>
      <c r="D27" t="s">
        <v>298</v>
      </c>
      <c r="E27">
        <v>2023</v>
      </c>
      <c r="F27">
        <v>1</v>
      </c>
      <c r="G27">
        <v>3</v>
      </c>
      <c r="H27">
        <v>1</v>
      </c>
      <c r="J27">
        <v>1</v>
      </c>
      <c r="K27" s="234" t="s">
        <v>708</v>
      </c>
      <c r="L27">
        <v>2027</v>
      </c>
      <c r="M27">
        <v>1</v>
      </c>
      <c r="O27" t="s">
        <v>709</v>
      </c>
      <c r="R27" t="s">
        <v>710</v>
      </c>
      <c r="T27">
        <v>2</v>
      </c>
      <c r="U27" t="s">
        <v>331</v>
      </c>
      <c r="W27" t="s">
        <v>711</v>
      </c>
      <c r="X27" t="s">
        <v>623</v>
      </c>
      <c r="Y27">
        <v>12.5</v>
      </c>
      <c r="Z27" t="s">
        <v>614</v>
      </c>
    </row>
    <row r="28" spans="1:41" ht="409.6">
      <c r="A28" t="s">
        <v>598</v>
      </c>
      <c r="B28" t="s">
        <v>706</v>
      </c>
      <c r="C28" t="s">
        <v>707</v>
      </c>
      <c r="D28" t="s">
        <v>298</v>
      </c>
      <c r="E28">
        <v>2023</v>
      </c>
      <c r="F28">
        <v>1</v>
      </c>
      <c r="G28">
        <v>3</v>
      </c>
      <c r="H28">
        <v>1</v>
      </c>
      <c r="J28">
        <v>1</v>
      </c>
      <c r="K28" s="234" t="s">
        <v>712</v>
      </c>
      <c r="L28">
        <v>2027</v>
      </c>
      <c r="M28">
        <v>1</v>
      </c>
      <c r="N28" t="s">
        <v>713</v>
      </c>
      <c r="O28" t="s">
        <v>709</v>
      </c>
      <c r="R28" t="s">
        <v>714</v>
      </c>
      <c r="T28">
        <v>3</v>
      </c>
      <c r="U28" t="s">
        <v>331</v>
      </c>
      <c r="W28" t="s">
        <v>711</v>
      </c>
      <c r="X28" t="s">
        <v>623</v>
      </c>
      <c r="Y28">
        <v>12.5</v>
      </c>
      <c r="Z28" t="s">
        <v>614</v>
      </c>
    </row>
    <row r="29" spans="1:41" ht="409.6">
      <c r="A29" t="s">
        <v>598</v>
      </c>
      <c r="B29" t="s">
        <v>706</v>
      </c>
      <c r="C29" t="s">
        <v>707</v>
      </c>
      <c r="D29" t="s">
        <v>298</v>
      </c>
      <c r="E29">
        <v>2023</v>
      </c>
      <c r="F29">
        <v>1</v>
      </c>
      <c r="G29">
        <v>3</v>
      </c>
      <c r="H29">
        <v>1</v>
      </c>
      <c r="J29">
        <v>1</v>
      </c>
      <c r="K29" s="234" t="s">
        <v>715</v>
      </c>
      <c r="L29">
        <v>2030</v>
      </c>
      <c r="M29">
        <v>1</v>
      </c>
      <c r="O29" t="s">
        <v>709</v>
      </c>
      <c r="R29" t="s">
        <v>716</v>
      </c>
      <c r="T29">
        <v>2</v>
      </c>
      <c r="U29" t="s">
        <v>331</v>
      </c>
      <c r="W29" t="s">
        <v>711</v>
      </c>
      <c r="X29" t="s">
        <v>623</v>
      </c>
      <c r="Y29">
        <v>12.5</v>
      </c>
      <c r="Z29" t="s">
        <v>614</v>
      </c>
    </row>
    <row r="30" spans="1:41" ht="409.6">
      <c r="A30" t="s">
        <v>598</v>
      </c>
      <c r="B30" t="s">
        <v>706</v>
      </c>
      <c r="C30" t="s">
        <v>707</v>
      </c>
      <c r="D30" t="s">
        <v>298</v>
      </c>
      <c r="E30">
        <v>2023</v>
      </c>
      <c r="F30">
        <v>1</v>
      </c>
      <c r="G30">
        <v>3</v>
      </c>
      <c r="H30">
        <v>1</v>
      </c>
      <c r="J30">
        <v>1</v>
      </c>
      <c r="K30" s="234" t="s">
        <v>717</v>
      </c>
      <c r="L30">
        <v>2030</v>
      </c>
      <c r="M30">
        <v>1</v>
      </c>
      <c r="N30" t="s">
        <v>718</v>
      </c>
      <c r="O30" t="s">
        <v>709</v>
      </c>
      <c r="R30" s="234" t="s">
        <v>719</v>
      </c>
      <c r="T30">
        <v>3</v>
      </c>
      <c r="U30" t="s">
        <v>331</v>
      </c>
      <c r="W30" t="s">
        <v>711</v>
      </c>
      <c r="X30" t="s">
        <v>623</v>
      </c>
      <c r="Y30">
        <v>12.5</v>
      </c>
      <c r="Z30" t="s">
        <v>614</v>
      </c>
      <c r="AO30" t="s">
        <v>309</v>
      </c>
    </row>
    <row r="31" spans="1:41" ht="350">
      <c r="A31" t="s">
        <v>598</v>
      </c>
      <c r="B31" t="s">
        <v>706</v>
      </c>
      <c r="C31" t="s">
        <v>707</v>
      </c>
      <c r="D31" t="s">
        <v>298</v>
      </c>
      <c r="E31">
        <v>2023</v>
      </c>
      <c r="F31">
        <v>1</v>
      </c>
      <c r="G31">
        <v>3</v>
      </c>
      <c r="H31">
        <v>1</v>
      </c>
      <c r="J31">
        <v>1</v>
      </c>
      <c r="K31" s="234" t="s">
        <v>720</v>
      </c>
      <c r="L31">
        <v>2027</v>
      </c>
      <c r="M31">
        <v>1</v>
      </c>
      <c r="O31" t="s">
        <v>709</v>
      </c>
      <c r="P31" t="s">
        <v>721</v>
      </c>
      <c r="Q31" t="s">
        <v>722</v>
      </c>
      <c r="R31" t="s">
        <v>723</v>
      </c>
      <c r="T31">
        <v>1</v>
      </c>
      <c r="U31" t="s">
        <v>331</v>
      </c>
      <c r="W31" t="s">
        <v>711</v>
      </c>
      <c r="X31" t="s">
        <v>623</v>
      </c>
      <c r="Y31">
        <v>12.5</v>
      </c>
      <c r="Z31" t="s">
        <v>614</v>
      </c>
    </row>
    <row r="32" spans="1:41" ht="365">
      <c r="A32" t="s">
        <v>598</v>
      </c>
      <c r="B32" t="s">
        <v>706</v>
      </c>
      <c r="C32" t="s">
        <v>707</v>
      </c>
      <c r="D32" t="s">
        <v>298</v>
      </c>
      <c r="E32">
        <v>2023</v>
      </c>
      <c r="F32">
        <v>1</v>
      </c>
      <c r="G32">
        <v>3</v>
      </c>
      <c r="H32">
        <v>1</v>
      </c>
      <c r="J32">
        <v>1</v>
      </c>
      <c r="K32" s="234" t="s">
        <v>724</v>
      </c>
      <c r="L32">
        <v>2031</v>
      </c>
      <c r="M32">
        <v>1</v>
      </c>
      <c r="O32" t="s">
        <v>709</v>
      </c>
      <c r="P32" t="s">
        <v>725</v>
      </c>
      <c r="Q32" t="s">
        <v>726</v>
      </c>
      <c r="R32" t="s">
        <v>727</v>
      </c>
      <c r="T32">
        <v>0</v>
      </c>
      <c r="U32" t="s">
        <v>331</v>
      </c>
      <c r="W32" t="s">
        <v>711</v>
      </c>
      <c r="X32" t="s">
        <v>623</v>
      </c>
      <c r="Y32">
        <v>12.5</v>
      </c>
      <c r="Z32" t="s">
        <v>614</v>
      </c>
    </row>
    <row r="33" spans="1:41">
      <c r="A33" t="s">
        <v>598</v>
      </c>
      <c r="B33" t="s">
        <v>706</v>
      </c>
      <c r="C33" t="s">
        <v>707</v>
      </c>
      <c r="D33" t="s">
        <v>298</v>
      </c>
      <c r="E33">
        <v>2023</v>
      </c>
      <c r="F33">
        <v>1</v>
      </c>
      <c r="G33">
        <v>3</v>
      </c>
      <c r="H33">
        <v>1</v>
      </c>
      <c r="J33">
        <v>1</v>
      </c>
      <c r="K33" t="s">
        <v>728</v>
      </c>
      <c r="L33">
        <v>2028</v>
      </c>
      <c r="M33">
        <v>1</v>
      </c>
      <c r="O33" t="s">
        <v>709</v>
      </c>
      <c r="P33" t="s">
        <v>729</v>
      </c>
      <c r="Q33" t="s">
        <v>730</v>
      </c>
      <c r="R33" t="s">
        <v>731</v>
      </c>
      <c r="T33">
        <v>0</v>
      </c>
      <c r="U33" t="s">
        <v>331</v>
      </c>
      <c r="W33" t="s">
        <v>711</v>
      </c>
      <c r="X33" t="s">
        <v>623</v>
      </c>
      <c r="Y33">
        <v>12.5</v>
      </c>
      <c r="Z33" t="s">
        <v>614</v>
      </c>
    </row>
    <row r="34" spans="1:41" ht="409.6">
      <c r="A34" t="s">
        <v>598</v>
      </c>
      <c r="B34" t="s">
        <v>706</v>
      </c>
      <c r="C34" t="s">
        <v>707</v>
      </c>
      <c r="D34" t="s">
        <v>298</v>
      </c>
      <c r="E34">
        <v>2023</v>
      </c>
      <c r="F34">
        <v>1</v>
      </c>
      <c r="G34">
        <v>3</v>
      </c>
      <c r="H34">
        <v>1</v>
      </c>
      <c r="J34">
        <v>1</v>
      </c>
      <c r="K34" s="234" t="s">
        <v>732</v>
      </c>
      <c r="L34">
        <v>2023</v>
      </c>
      <c r="M34">
        <v>1</v>
      </c>
      <c r="N34" t="s">
        <v>733</v>
      </c>
      <c r="O34" t="s">
        <v>709</v>
      </c>
      <c r="P34" t="s">
        <v>734</v>
      </c>
      <c r="Q34" t="s">
        <v>735</v>
      </c>
      <c r="R34" s="234" t="s">
        <v>736</v>
      </c>
      <c r="T34">
        <v>0</v>
      </c>
      <c r="U34" t="s">
        <v>331</v>
      </c>
      <c r="W34" t="s">
        <v>711</v>
      </c>
      <c r="X34" t="s">
        <v>623</v>
      </c>
      <c r="Y34">
        <v>12.5</v>
      </c>
      <c r="Z34" t="s">
        <v>614</v>
      </c>
      <c r="AO34" t="s">
        <v>309</v>
      </c>
    </row>
    <row r="35" spans="1:41">
      <c r="A35" t="s">
        <v>598</v>
      </c>
      <c r="B35" t="s">
        <v>706</v>
      </c>
      <c r="C35" t="s">
        <v>707</v>
      </c>
      <c r="D35" t="s">
        <v>298</v>
      </c>
      <c r="E35">
        <v>2023</v>
      </c>
      <c r="F35">
        <v>1</v>
      </c>
      <c r="G35">
        <v>3</v>
      </c>
      <c r="H35">
        <v>1</v>
      </c>
      <c r="J35">
        <v>1</v>
      </c>
      <c r="K35" t="s">
        <v>737</v>
      </c>
      <c r="M35">
        <v>1</v>
      </c>
      <c r="O35" t="s">
        <v>709</v>
      </c>
      <c r="R35" t="s">
        <v>738</v>
      </c>
      <c r="T35">
        <v>1</v>
      </c>
      <c r="U35" t="s">
        <v>331</v>
      </c>
      <c r="W35" t="s">
        <v>711</v>
      </c>
      <c r="X35" t="s">
        <v>623</v>
      </c>
      <c r="Y35">
        <v>12.5</v>
      </c>
      <c r="Z35" t="s">
        <v>614</v>
      </c>
    </row>
    <row r="36" spans="1:41" hidden="1">
      <c r="A36" t="s">
        <v>598</v>
      </c>
      <c r="B36" t="s">
        <v>739</v>
      </c>
    </row>
    <row r="37" spans="1:41" hidden="1">
      <c r="A37" t="s">
        <v>598</v>
      </c>
      <c r="B37" t="s">
        <v>740</v>
      </c>
      <c r="C37" t="s">
        <v>741</v>
      </c>
      <c r="D37" t="s">
        <v>321</v>
      </c>
      <c r="E37">
        <v>2023</v>
      </c>
      <c r="F37">
        <v>0</v>
      </c>
    </row>
    <row r="38" spans="1:41">
      <c r="A38" t="s">
        <v>598</v>
      </c>
      <c r="B38" t="s">
        <v>740</v>
      </c>
      <c r="C38" t="s">
        <v>742</v>
      </c>
      <c r="D38" t="s">
        <v>110</v>
      </c>
      <c r="E38">
        <v>2023</v>
      </c>
      <c r="F38">
        <v>0</v>
      </c>
      <c r="G38">
        <v>2</v>
      </c>
      <c r="H38">
        <v>0</v>
      </c>
      <c r="I38">
        <v>1</v>
      </c>
      <c r="J38">
        <v>1</v>
      </c>
      <c r="K38" t="s">
        <v>743</v>
      </c>
      <c r="L38">
        <v>2040</v>
      </c>
      <c r="M38">
        <v>1</v>
      </c>
      <c r="O38" t="s">
        <v>744</v>
      </c>
      <c r="U38" t="s">
        <v>331</v>
      </c>
      <c r="W38" t="s">
        <v>401</v>
      </c>
      <c r="Y38">
        <v>12.2</v>
      </c>
      <c r="Z38" t="s">
        <v>614</v>
      </c>
    </row>
    <row r="39" spans="1:41">
      <c r="A39" t="s">
        <v>598</v>
      </c>
      <c r="B39" t="s">
        <v>740</v>
      </c>
      <c r="C39" t="s">
        <v>745</v>
      </c>
      <c r="D39" t="s">
        <v>110</v>
      </c>
      <c r="E39">
        <v>2023</v>
      </c>
      <c r="F39">
        <v>0</v>
      </c>
      <c r="G39">
        <v>2</v>
      </c>
      <c r="H39">
        <v>0</v>
      </c>
      <c r="I39">
        <v>1</v>
      </c>
      <c r="J39">
        <v>1</v>
      </c>
      <c r="K39" t="s">
        <v>746</v>
      </c>
      <c r="L39">
        <v>2030</v>
      </c>
      <c r="M39">
        <v>1</v>
      </c>
      <c r="O39" t="s">
        <v>744</v>
      </c>
      <c r="P39" t="s">
        <v>747</v>
      </c>
      <c r="Q39">
        <v>0.65</v>
      </c>
      <c r="R39" t="s">
        <v>748</v>
      </c>
      <c r="T39">
        <v>2</v>
      </c>
      <c r="U39" t="s">
        <v>331</v>
      </c>
      <c r="W39" t="s">
        <v>401</v>
      </c>
      <c r="Y39">
        <v>12.2</v>
      </c>
      <c r="Z39" t="s">
        <v>614</v>
      </c>
      <c r="AA39" t="s">
        <v>749</v>
      </c>
    </row>
    <row r="40" spans="1:41" ht="409.6">
      <c r="A40" t="s">
        <v>598</v>
      </c>
      <c r="B40" t="s">
        <v>740</v>
      </c>
      <c r="C40" t="s">
        <v>745</v>
      </c>
      <c r="D40" t="s">
        <v>110</v>
      </c>
      <c r="E40">
        <v>2023</v>
      </c>
      <c r="F40">
        <v>0</v>
      </c>
      <c r="G40">
        <v>2</v>
      </c>
      <c r="H40">
        <v>0</v>
      </c>
      <c r="I40">
        <v>1</v>
      </c>
      <c r="J40">
        <v>1</v>
      </c>
      <c r="K40" t="s">
        <v>750</v>
      </c>
      <c r="L40">
        <v>2030</v>
      </c>
      <c r="M40">
        <v>1</v>
      </c>
      <c r="N40" t="s">
        <v>751</v>
      </c>
      <c r="O40" t="s">
        <v>744</v>
      </c>
      <c r="P40" t="s">
        <v>752</v>
      </c>
      <c r="Q40">
        <v>0.15</v>
      </c>
      <c r="R40" s="234" t="s">
        <v>753</v>
      </c>
      <c r="T40">
        <v>2</v>
      </c>
      <c r="U40" t="s">
        <v>331</v>
      </c>
      <c r="W40" t="s">
        <v>401</v>
      </c>
      <c r="X40" t="s">
        <v>623</v>
      </c>
      <c r="Y40">
        <v>12.2</v>
      </c>
      <c r="Z40" t="s">
        <v>614</v>
      </c>
      <c r="AA40" t="s">
        <v>754</v>
      </c>
      <c r="AB40" t="s">
        <v>755</v>
      </c>
    </row>
    <row r="41" spans="1:41" ht="409.6">
      <c r="A41" t="s">
        <v>598</v>
      </c>
      <c r="B41" t="s">
        <v>740</v>
      </c>
      <c r="C41" t="s">
        <v>745</v>
      </c>
      <c r="D41" t="s">
        <v>110</v>
      </c>
      <c r="E41">
        <v>2023</v>
      </c>
      <c r="F41">
        <v>0</v>
      </c>
      <c r="G41">
        <v>2</v>
      </c>
      <c r="H41">
        <v>0</v>
      </c>
      <c r="I41">
        <v>1</v>
      </c>
      <c r="J41">
        <v>1</v>
      </c>
      <c r="K41" t="s">
        <v>756</v>
      </c>
      <c r="L41">
        <v>2030</v>
      </c>
      <c r="M41">
        <v>1</v>
      </c>
      <c r="N41" t="s">
        <v>757</v>
      </c>
      <c r="O41" t="s">
        <v>744</v>
      </c>
      <c r="P41" t="s">
        <v>758</v>
      </c>
      <c r="Q41">
        <v>0.4</v>
      </c>
      <c r="R41" s="234" t="s">
        <v>759</v>
      </c>
      <c r="T41">
        <v>2</v>
      </c>
      <c r="U41" t="s">
        <v>331</v>
      </c>
      <c r="W41" t="s">
        <v>401</v>
      </c>
      <c r="Y41">
        <v>12.2</v>
      </c>
      <c r="Z41" t="s">
        <v>614</v>
      </c>
      <c r="AA41" t="s">
        <v>754</v>
      </c>
      <c r="AB41" t="s">
        <v>760</v>
      </c>
      <c r="AC41" t="s">
        <v>761</v>
      </c>
    </row>
    <row r="42" spans="1:41" ht="409.6">
      <c r="A42" t="s">
        <v>598</v>
      </c>
      <c r="B42" t="s">
        <v>740</v>
      </c>
      <c r="C42" t="s">
        <v>745</v>
      </c>
      <c r="D42" t="s">
        <v>110</v>
      </c>
      <c r="E42">
        <v>2023</v>
      </c>
      <c r="F42">
        <v>0</v>
      </c>
      <c r="G42">
        <v>2</v>
      </c>
      <c r="H42">
        <v>0</v>
      </c>
      <c r="I42">
        <v>1</v>
      </c>
      <c r="J42">
        <v>1</v>
      </c>
      <c r="K42" t="s">
        <v>762</v>
      </c>
      <c r="L42">
        <v>2030</v>
      </c>
      <c r="M42">
        <v>1</v>
      </c>
      <c r="N42" t="s">
        <v>763</v>
      </c>
      <c r="O42" t="s">
        <v>744</v>
      </c>
      <c r="P42" t="s">
        <v>764</v>
      </c>
      <c r="Q42">
        <v>0.1</v>
      </c>
      <c r="R42" s="234" t="s">
        <v>765</v>
      </c>
      <c r="T42">
        <v>2</v>
      </c>
      <c r="U42" t="s">
        <v>498</v>
      </c>
      <c r="W42" t="s">
        <v>401</v>
      </c>
      <c r="Y42">
        <v>12.2</v>
      </c>
      <c r="Z42" t="s">
        <v>614</v>
      </c>
      <c r="AA42" t="s">
        <v>754</v>
      </c>
      <c r="AB42" t="s">
        <v>760</v>
      </c>
      <c r="AC42" t="s">
        <v>761</v>
      </c>
    </row>
    <row r="43" spans="1:41" hidden="1">
      <c r="A43" t="s">
        <v>598</v>
      </c>
      <c r="B43" t="s">
        <v>740</v>
      </c>
      <c r="C43" t="s">
        <v>766</v>
      </c>
      <c r="D43" t="s">
        <v>321</v>
      </c>
      <c r="E43">
        <v>2020</v>
      </c>
      <c r="F43">
        <v>0</v>
      </c>
      <c r="M43" t="s">
        <v>424</v>
      </c>
    </row>
    <row r="44" spans="1:41" hidden="1">
      <c r="A44" t="s">
        <v>598</v>
      </c>
      <c r="B44" t="s">
        <v>740</v>
      </c>
      <c r="C44" t="s">
        <v>767</v>
      </c>
      <c r="D44" t="s">
        <v>321</v>
      </c>
      <c r="E44">
        <v>2021</v>
      </c>
      <c r="F44">
        <v>0</v>
      </c>
      <c r="M44" t="s">
        <v>424</v>
      </c>
    </row>
    <row r="45" spans="1:41">
      <c r="A45" t="s">
        <v>598</v>
      </c>
      <c r="B45" t="s">
        <v>768</v>
      </c>
      <c r="C45" t="s">
        <v>769</v>
      </c>
      <c r="D45" t="s">
        <v>321</v>
      </c>
      <c r="E45">
        <v>2022</v>
      </c>
      <c r="F45">
        <v>0</v>
      </c>
      <c r="G45">
        <v>0</v>
      </c>
      <c r="H45">
        <v>0</v>
      </c>
      <c r="I45">
        <v>0</v>
      </c>
      <c r="J45">
        <v>1</v>
      </c>
      <c r="K45" t="s">
        <v>770</v>
      </c>
      <c r="L45">
        <v>2030</v>
      </c>
      <c r="M45">
        <v>0</v>
      </c>
      <c r="O45" t="s">
        <v>610</v>
      </c>
      <c r="R45" t="s">
        <v>771</v>
      </c>
      <c r="T45">
        <v>2</v>
      </c>
      <c r="Y45">
        <v>12.5</v>
      </c>
      <c r="Z45" t="s">
        <v>614</v>
      </c>
    </row>
    <row r="46" spans="1:41">
      <c r="A46" t="s">
        <v>598</v>
      </c>
      <c r="B46" t="s">
        <v>768</v>
      </c>
      <c r="C46" t="s">
        <v>769</v>
      </c>
      <c r="D46" t="s">
        <v>321</v>
      </c>
      <c r="E46">
        <v>2022</v>
      </c>
      <c r="F46">
        <v>0</v>
      </c>
      <c r="G46">
        <v>0</v>
      </c>
      <c r="H46">
        <v>0</v>
      </c>
      <c r="I46">
        <v>0</v>
      </c>
      <c r="J46">
        <v>1</v>
      </c>
      <c r="K46" t="s">
        <v>772</v>
      </c>
      <c r="L46">
        <v>2030</v>
      </c>
      <c r="M46">
        <v>0</v>
      </c>
      <c r="O46" t="s">
        <v>610</v>
      </c>
      <c r="R46" t="s">
        <v>773</v>
      </c>
      <c r="T46">
        <v>0</v>
      </c>
      <c r="Y46">
        <v>12.5</v>
      </c>
      <c r="Z46" t="s">
        <v>614</v>
      </c>
    </row>
    <row r="47" spans="1:41">
      <c r="A47" t="s">
        <v>598</v>
      </c>
      <c r="B47" t="s">
        <v>768</v>
      </c>
      <c r="C47" t="s">
        <v>774</v>
      </c>
      <c r="D47" t="s">
        <v>321</v>
      </c>
      <c r="E47">
        <v>2020</v>
      </c>
      <c r="F47">
        <v>0</v>
      </c>
      <c r="G47">
        <v>1</v>
      </c>
      <c r="H47">
        <v>0</v>
      </c>
      <c r="I47">
        <v>0</v>
      </c>
      <c r="J47">
        <v>1</v>
      </c>
      <c r="K47" t="s">
        <v>775</v>
      </c>
      <c r="L47">
        <v>2030</v>
      </c>
      <c r="M47">
        <v>1</v>
      </c>
      <c r="O47" t="s">
        <v>602</v>
      </c>
      <c r="P47" t="s">
        <v>776</v>
      </c>
      <c r="Q47">
        <v>0.23400000000000001</v>
      </c>
      <c r="R47" t="s">
        <v>777</v>
      </c>
      <c r="S47" t="s">
        <v>519</v>
      </c>
      <c r="T47">
        <v>1</v>
      </c>
      <c r="U47" t="s">
        <v>778</v>
      </c>
      <c r="V47" t="s">
        <v>779</v>
      </c>
      <c r="W47" t="s">
        <v>623</v>
      </c>
      <c r="Y47">
        <v>12.5</v>
      </c>
      <c r="Z47" t="s">
        <v>614</v>
      </c>
      <c r="AB47" t="s">
        <v>780</v>
      </c>
      <c r="AO47" t="s">
        <v>309</v>
      </c>
    </row>
    <row r="48" spans="1:41">
      <c r="A48" t="s">
        <v>598</v>
      </c>
      <c r="B48" t="s">
        <v>768</v>
      </c>
      <c r="C48" t="s">
        <v>774</v>
      </c>
      <c r="D48" t="s">
        <v>321</v>
      </c>
      <c r="E48">
        <v>2020</v>
      </c>
      <c r="F48">
        <v>0</v>
      </c>
      <c r="G48">
        <v>1</v>
      </c>
      <c r="H48">
        <v>0</v>
      </c>
      <c r="I48">
        <v>0</v>
      </c>
      <c r="J48">
        <v>1</v>
      </c>
      <c r="K48" t="s">
        <v>781</v>
      </c>
      <c r="L48">
        <v>2035</v>
      </c>
      <c r="M48">
        <v>1</v>
      </c>
      <c r="O48" t="s">
        <v>602</v>
      </c>
      <c r="P48" t="s">
        <v>782</v>
      </c>
      <c r="Q48">
        <v>0.1</v>
      </c>
      <c r="R48" t="s">
        <v>783</v>
      </c>
      <c r="T48">
        <v>2</v>
      </c>
      <c r="U48" t="s">
        <v>784</v>
      </c>
      <c r="V48" t="s">
        <v>785</v>
      </c>
      <c r="W48" t="s">
        <v>606</v>
      </c>
      <c r="Y48">
        <v>11.6</v>
      </c>
      <c r="Z48" t="s">
        <v>607</v>
      </c>
      <c r="AA48" t="s">
        <v>197</v>
      </c>
      <c r="AB48" t="s">
        <v>786</v>
      </c>
      <c r="AO48" t="s">
        <v>309</v>
      </c>
    </row>
    <row r="49" spans="1:41" ht="32">
      <c r="A49" t="s">
        <v>598</v>
      </c>
      <c r="B49" t="s">
        <v>768</v>
      </c>
      <c r="C49" t="s">
        <v>774</v>
      </c>
      <c r="D49" t="s">
        <v>321</v>
      </c>
      <c r="E49">
        <v>2020</v>
      </c>
      <c r="F49">
        <v>0</v>
      </c>
      <c r="G49">
        <v>1</v>
      </c>
      <c r="H49">
        <v>0</v>
      </c>
      <c r="I49">
        <v>0</v>
      </c>
      <c r="J49">
        <v>1</v>
      </c>
      <c r="K49" t="s">
        <v>787</v>
      </c>
      <c r="L49">
        <v>2030</v>
      </c>
      <c r="M49">
        <v>1</v>
      </c>
      <c r="O49" t="s">
        <v>602</v>
      </c>
      <c r="P49" t="s">
        <v>788</v>
      </c>
      <c r="Q49">
        <v>0.5</v>
      </c>
      <c r="R49" t="s">
        <v>789</v>
      </c>
      <c r="S49" t="s">
        <v>519</v>
      </c>
      <c r="T49">
        <v>2</v>
      </c>
      <c r="U49" t="s">
        <v>784</v>
      </c>
      <c r="V49" s="234" t="s">
        <v>790</v>
      </c>
      <c r="W49" t="s">
        <v>606</v>
      </c>
      <c r="Y49">
        <v>11.6</v>
      </c>
      <c r="Z49" t="s">
        <v>607</v>
      </c>
      <c r="AA49" t="s">
        <v>197</v>
      </c>
      <c r="AB49" t="s">
        <v>624</v>
      </c>
      <c r="AC49" t="s">
        <v>791</v>
      </c>
      <c r="AO49" t="s">
        <v>309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49"/>
  <sheetViews>
    <sheetView topLeftCell="B1" workbookViewId="0">
      <selection activeCell="J3" sqref="J3"/>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20.83203125"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hidden="1">
      <c r="A2" t="s">
        <v>598</v>
      </c>
      <c r="B2" t="s">
        <v>599</v>
      </c>
      <c r="C2" t="s">
        <v>600</v>
      </c>
      <c r="D2" t="s">
        <v>102</v>
      </c>
      <c r="E2">
        <v>2018</v>
      </c>
      <c r="F2">
        <v>1</v>
      </c>
      <c r="L2">
        <v>2035</v>
      </c>
      <c r="M2" t="s">
        <v>424</v>
      </c>
      <c r="N2" t="s">
        <v>601</v>
      </c>
      <c r="O2" t="s">
        <v>602</v>
      </c>
      <c r="P2" t="s">
        <v>603</v>
      </c>
      <c r="Q2" t="s">
        <v>604</v>
      </c>
      <c r="R2" t="s">
        <v>605</v>
      </c>
      <c r="S2" t="s">
        <v>519</v>
      </c>
      <c r="T2">
        <v>2</v>
      </c>
      <c r="U2" t="s">
        <v>331</v>
      </c>
      <c r="W2" t="s">
        <v>606</v>
      </c>
      <c r="Y2">
        <v>11.6</v>
      </c>
      <c r="Z2" t="s">
        <v>607</v>
      </c>
      <c r="AO2" t="s">
        <v>309</v>
      </c>
    </row>
    <row r="3" spans="1:62" ht="160">
      <c r="A3" t="s">
        <v>598</v>
      </c>
      <c r="B3" t="s">
        <v>599</v>
      </c>
      <c r="C3" t="s">
        <v>608</v>
      </c>
      <c r="D3" t="s">
        <v>102</v>
      </c>
      <c r="E3">
        <v>2018</v>
      </c>
      <c r="F3">
        <v>1</v>
      </c>
      <c r="G3">
        <v>3</v>
      </c>
      <c r="H3">
        <v>1</v>
      </c>
      <c r="J3">
        <v>1</v>
      </c>
      <c r="K3" t="s">
        <v>609</v>
      </c>
      <c r="L3">
        <v>2025</v>
      </c>
      <c r="M3">
        <v>1</v>
      </c>
      <c r="O3" t="s">
        <v>610</v>
      </c>
      <c r="P3" t="s">
        <v>611</v>
      </c>
      <c r="Q3" t="s">
        <v>612</v>
      </c>
      <c r="R3" s="234" t="s">
        <v>613</v>
      </c>
      <c r="S3" t="s">
        <v>440</v>
      </c>
      <c r="T3">
        <v>3</v>
      </c>
      <c r="U3" t="s">
        <v>331</v>
      </c>
      <c r="W3" t="s">
        <v>606</v>
      </c>
      <c r="Y3">
        <v>12.5</v>
      </c>
      <c r="Z3" t="s">
        <v>614</v>
      </c>
      <c r="AO3" t="s">
        <v>309</v>
      </c>
    </row>
    <row r="4" spans="1:62" hidden="1">
      <c r="A4" t="s">
        <v>598</v>
      </c>
      <c r="B4" t="s">
        <v>599</v>
      </c>
      <c r="C4" t="s">
        <v>608</v>
      </c>
      <c r="D4" t="s">
        <v>102</v>
      </c>
      <c r="E4">
        <v>2018</v>
      </c>
      <c r="F4">
        <v>1</v>
      </c>
      <c r="K4" t="s">
        <v>615</v>
      </c>
      <c r="L4">
        <v>2030</v>
      </c>
      <c r="M4" t="s">
        <v>424</v>
      </c>
      <c r="N4" t="s">
        <v>616</v>
      </c>
      <c r="W4" t="s">
        <v>617</v>
      </c>
      <c r="X4" t="s">
        <v>606</v>
      </c>
      <c r="Y4">
        <v>12.3</v>
      </c>
      <c r="Z4" t="s">
        <v>614</v>
      </c>
      <c r="AA4" t="s">
        <v>197</v>
      </c>
      <c r="AB4" t="s">
        <v>618</v>
      </c>
      <c r="AN4" t="s">
        <v>310</v>
      </c>
      <c r="AO4" t="s">
        <v>309</v>
      </c>
    </row>
    <row r="5" spans="1:62">
      <c r="A5" t="s">
        <v>598</v>
      </c>
      <c r="B5" t="s">
        <v>599</v>
      </c>
      <c r="C5" t="s">
        <v>608</v>
      </c>
      <c r="D5" t="s">
        <v>102</v>
      </c>
      <c r="E5">
        <v>2018</v>
      </c>
      <c r="F5">
        <v>1</v>
      </c>
      <c r="G5">
        <v>3</v>
      </c>
      <c r="H5">
        <v>1</v>
      </c>
      <c r="J5">
        <v>1</v>
      </c>
      <c r="K5" t="s">
        <v>619</v>
      </c>
      <c r="L5">
        <v>2025</v>
      </c>
      <c r="M5">
        <v>1</v>
      </c>
      <c r="O5" t="s">
        <v>602</v>
      </c>
      <c r="P5" t="s">
        <v>620</v>
      </c>
      <c r="Q5" t="s">
        <v>621</v>
      </c>
      <c r="R5" t="s">
        <v>622</v>
      </c>
      <c r="S5" t="s">
        <v>303</v>
      </c>
      <c r="T5">
        <v>2</v>
      </c>
      <c r="U5" t="s">
        <v>331</v>
      </c>
      <c r="W5" t="s">
        <v>623</v>
      </c>
      <c r="X5" t="s">
        <v>606</v>
      </c>
      <c r="Y5">
        <v>11.6</v>
      </c>
      <c r="Z5" t="s">
        <v>607</v>
      </c>
      <c r="AA5" t="s">
        <v>197</v>
      </c>
      <c r="AB5" t="s">
        <v>624</v>
      </c>
      <c r="AO5" t="s">
        <v>309</v>
      </c>
    </row>
    <row r="6" spans="1:62" ht="160" hidden="1">
      <c r="A6" t="s">
        <v>598</v>
      </c>
      <c r="B6" t="s">
        <v>599</v>
      </c>
      <c r="C6" t="s">
        <v>625</v>
      </c>
      <c r="D6" t="s">
        <v>102</v>
      </c>
      <c r="E6">
        <v>2012</v>
      </c>
      <c r="F6">
        <v>1</v>
      </c>
      <c r="G6">
        <v>2</v>
      </c>
      <c r="H6">
        <v>1</v>
      </c>
      <c r="K6" s="234" t="s">
        <v>626</v>
      </c>
      <c r="M6">
        <v>1</v>
      </c>
      <c r="N6" t="s">
        <v>627</v>
      </c>
      <c r="O6" t="s">
        <v>602</v>
      </c>
      <c r="U6" t="s">
        <v>331</v>
      </c>
      <c r="W6" t="s">
        <v>628</v>
      </c>
      <c r="X6" t="s">
        <v>623</v>
      </c>
      <c r="Y6">
        <v>12.5</v>
      </c>
      <c r="Z6" t="s">
        <v>614</v>
      </c>
      <c r="AA6" t="s">
        <v>197</v>
      </c>
      <c r="AB6" t="s">
        <v>629</v>
      </c>
      <c r="AO6" t="s">
        <v>309</v>
      </c>
    </row>
    <row r="7" spans="1:62" ht="192" hidden="1">
      <c r="A7" t="s">
        <v>598</v>
      </c>
      <c r="B7" t="s">
        <v>599</v>
      </c>
      <c r="C7" t="s">
        <v>625</v>
      </c>
      <c r="D7" t="s">
        <v>102</v>
      </c>
      <c r="E7">
        <v>2012</v>
      </c>
      <c r="F7">
        <v>1</v>
      </c>
      <c r="G7">
        <v>2</v>
      </c>
      <c r="H7">
        <v>1</v>
      </c>
      <c r="K7" s="234" t="s">
        <v>630</v>
      </c>
      <c r="M7">
        <v>1</v>
      </c>
      <c r="O7" t="s">
        <v>602</v>
      </c>
      <c r="U7" t="s">
        <v>331</v>
      </c>
      <c r="W7" t="s">
        <v>628</v>
      </c>
      <c r="X7" t="s">
        <v>623</v>
      </c>
      <c r="Y7">
        <v>12.5</v>
      </c>
      <c r="Z7" t="s">
        <v>614</v>
      </c>
      <c r="AA7" t="s">
        <v>197</v>
      </c>
      <c r="AB7" t="s">
        <v>629</v>
      </c>
      <c r="AO7" t="s">
        <v>309</v>
      </c>
    </row>
    <row r="8" spans="1:62" ht="350" hidden="1">
      <c r="A8" t="s">
        <v>598</v>
      </c>
      <c r="B8" t="s">
        <v>599</v>
      </c>
      <c r="C8" t="s">
        <v>625</v>
      </c>
      <c r="D8" t="s">
        <v>102</v>
      </c>
      <c r="E8">
        <v>2012</v>
      </c>
      <c r="F8">
        <v>1</v>
      </c>
      <c r="G8">
        <v>2</v>
      </c>
      <c r="H8">
        <v>1</v>
      </c>
      <c r="K8" s="234" t="s">
        <v>631</v>
      </c>
      <c r="M8">
        <v>1</v>
      </c>
      <c r="O8" t="s">
        <v>602</v>
      </c>
      <c r="U8" t="s">
        <v>331</v>
      </c>
      <c r="W8" t="s">
        <v>628</v>
      </c>
      <c r="X8" t="s">
        <v>623</v>
      </c>
      <c r="Y8">
        <v>12.5</v>
      </c>
      <c r="Z8" t="s">
        <v>614</v>
      </c>
      <c r="AA8" t="s">
        <v>197</v>
      </c>
      <c r="AB8" t="s">
        <v>629</v>
      </c>
      <c r="AO8" t="s">
        <v>309</v>
      </c>
    </row>
    <row r="9" spans="1:62" hidden="1">
      <c r="A9" t="s">
        <v>598</v>
      </c>
      <c r="B9" t="s">
        <v>599</v>
      </c>
      <c r="C9" t="s">
        <v>625</v>
      </c>
      <c r="D9" t="s">
        <v>102</v>
      </c>
      <c r="E9">
        <v>2012</v>
      </c>
      <c r="F9">
        <v>1</v>
      </c>
      <c r="G9">
        <v>2</v>
      </c>
      <c r="H9">
        <v>1</v>
      </c>
      <c r="K9" t="s">
        <v>632</v>
      </c>
      <c r="M9">
        <v>1</v>
      </c>
      <c r="O9" t="s">
        <v>602</v>
      </c>
      <c r="U9" t="s">
        <v>331</v>
      </c>
      <c r="W9" t="s">
        <v>628</v>
      </c>
      <c r="X9" t="s">
        <v>623</v>
      </c>
      <c r="Y9">
        <v>12.5</v>
      </c>
      <c r="Z9" t="s">
        <v>614</v>
      </c>
      <c r="AA9" t="s">
        <v>197</v>
      </c>
      <c r="AB9" t="s">
        <v>633</v>
      </c>
    </row>
    <row r="10" spans="1:62">
      <c r="A10" t="s">
        <v>598</v>
      </c>
      <c r="B10" t="s">
        <v>599</v>
      </c>
      <c r="C10" t="s">
        <v>634</v>
      </c>
      <c r="D10" t="s">
        <v>102</v>
      </c>
      <c r="E10">
        <v>2019</v>
      </c>
      <c r="F10">
        <v>1</v>
      </c>
      <c r="G10">
        <v>3</v>
      </c>
      <c r="H10">
        <v>1</v>
      </c>
      <c r="J10">
        <v>1</v>
      </c>
      <c r="K10" t="s">
        <v>635</v>
      </c>
      <c r="L10">
        <v>2029</v>
      </c>
      <c r="M10">
        <v>1</v>
      </c>
      <c r="O10" t="s">
        <v>636</v>
      </c>
      <c r="P10" t="s">
        <v>637</v>
      </c>
      <c r="Q10" t="s">
        <v>638</v>
      </c>
      <c r="R10" t="s">
        <v>639</v>
      </c>
      <c r="S10" t="s">
        <v>363</v>
      </c>
      <c r="T10">
        <v>2</v>
      </c>
      <c r="U10" t="s">
        <v>331</v>
      </c>
      <c r="W10" t="s">
        <v>640</v>
      </c>
      <c r="X10" t="s">
        <v>623</v>
      </c>
      <c r="Y10">
        <v>12.5</v>
      </c>
      <c r="Z10" t="s">
        <v>614</v>
      </c>
      <c r="AO10" t="s">
        <v>309</v>
      </c>
    </row>
    <row r="11" spans="1:62">
      <c r="A11" t="s">
        <v>598</v>
      </c>
      <c r="B11" t="s">
        <v>599</v>
      </c>
      <c r="C11" t="s">
        <v>634</v>
      </c>
      <c r="D11" t="s">
        <v>102</v>
      </c>
      <c r="E11">
        <v>2019</v>
      </c>
      <c r="F11">
        <v>1</v>
      </c>
      <c r="G11">
        <v>3</v>
      </c>
      <c r="H11">
        <v>1</v>
      </c>
      <c r="J11">
        <v>1</v>
      </c>
      <c r="K11" t="s">
        <v>641</v>
      </c>
      <c r="L11">
        <v>2030</v>
      </c>
      <c r="M11">
        <v>1</v>
      </c>
      <c r="O11" t="s">
        <v>636</v>
      </c>
      <c r="P11" t="s">
        <v>642</v>
      </c>
      <c r="Q11" t="s">
        <v>643</v>
      </c>
      <c r="R11" t="s">
        <v>644</v>
      </c>
      <c r="S11" t="s">
        <v>303</v>
      </c>
      <c r="T11">
        <v>2</v>
      </c>
      <c r="U11" t="s">
        <v>331</v>
      </c>
      <c r="W11" t="s">
        <v>640</v>
      </c>
      <c r="X11" t="s">
        <v>623</v>
      </c>
      <c r="Y11">
        <v>12.5</v>
      </c>
      <c r="Z11" t="s">
        <v>614</v>
      </c>
      <c r="AO11" t="s">
        <v>309</v>
      </c>
    </row>
    <row r="12" spans="1:62" hidden="1">
      <c r="A12" t="s">
        <v>598</v>
      </c>
      <c r="B12" t="s">
        <v>599</v>
      </c>
      <c r="C12" t="s">
        <v>645</v>
      </c>
      <c r="D12" t="s">
        <v>321</v>
      </c>
      <c r="E12">
        <v>2022</v>
      </c>
      <c r="F12">
        <v>0</v>
      </c>
      <c r="AO12" t="s">
        <v>309</v>
      </c>
    </row>
    <row r="13" spans="1:62">
      <c r="A13" t="s">
        <v>598</v>
      </c>
      <c r="B13" t="s">
        <v>599</v>
      </c>
      <c r="C13" t="s">
        <v>646</v>
      </c>
      <c r="D13" t="s">
        <v>110</v>
      </c>
      <c r="E13">
        <v>2022</v>
      </c>
      <c r="F13">
        <v>0</v>
      </c>
      <c r="G13">
        <v>2</v>
      </c>
      <c r="H13">
        <v>0</v>
      </c>
      <c r="I13">
        <v>1</v>
      </c>
      <c r="J13">
        <v>1</v>
      </c>
      <c r="K13" t="s">
        <v>647</v>
      </c>
      <c r="L13">
        <v>2030</v>
      </c>
      <c r="M13">
        <v>1</v>
      </c>
      <c r="O13" t="s">
        <v>648</v>
      </c>
      <c r="P13" t="s">
        <v>649</v>
      </c>
      <c r="Q13" t="s">
        <v>650</v>
      </c>
      <c r="R13" t="s">
        <v>651</v>
      </c>
      <c r="S13" t="s">
        <v>363</v>
      </c>
      <c r="T13">
        <v>3</v>
      </c>
      <c r="U13" t="s">
        <v>331</v>
      </c>
      <c r="W13" t="s">
        <v>623</v>
      </c>
      <c r="X13" t="s">
        <v>606</v>
      </c>
      <c r="Y13">
        <v>12.5</v>
      </c>
      <c r="Z13" t="s">
        <v>614</v>
      </c>
      <c r="AO13" t="s">
        <v>309</v>
      </c>
    </row>
    <row r="14" spans="1:62">
      <c r="A14" t="s">
        <v>598</v>
      </c>
      <c r="B14" t="s">
        <v>599</v>
      </c>
      <c r="C14" t="s">
        <v>646</v>
      </c>
      <c r="D14" t="s">
        <v>110</v>
      </c>
      <c r="E14">
        <v>2022</v>
      </c>
      <c r="F14">
        <v>0</v>
      </c>
      <c r="G14">
        <v>2</v>
      </c>
      <c r="H14">
        <v>0</v>
      </c>
      <c r="I14">
        <v>1</v>
      </c>
      <c r="J14">
        <v>1</v>
      </c>
      <c r="K14" t="s">
        <v>652</v>
      </c>
      <c r="L14">
        <v>2030</v>
      </c>
      <c r="M14">
        <v>1</v>
      </c>
      <c r="O14" t="s">
        <v>648</v>
      </c>
      <c r="P14" t="s">
        <v>653</v>
      </c>
      <c r="Q14" t="s">
        <v>654</v>
      </c>
      <c r="R14" t="s">
        <v>655</v>
      </c>
      <c r="S14" t="s">
        <v>363</v>
      </c>
      <c r="T14">
        <v>3</v>
      </c>
      <c r="U14" t="s">
        <v>331</v>
      </c>
      <c r="W14" t="s">
        <v>623</v>
      </c>
      <c r="X14" t="s">
        <v>606</v>
      </c>
      <c r="Y14">
        <v>12.5</v>
      </c>
      <c r="Z14" t="s">
        <v>614</v>
      </c>
      <c r="AO14" t="s">
        <v>309</v>
      </c>
    </row>
    <row r="15" spans="1:62">
      <c r="A15" t="s">
        <v>598</v>
      </c>
      <c r="B15" t="s">
        <v>599</v>
      </c>
      <c r="C15" t="s">
        <v>646</v>
      </c>
      <c r="D15" t="s">
        <v>110</v>
      </c>
      <c r="E15">
        <v>2022</v>
      </c>
      <c r="F15">
        <v>0</v>
      </c>
      <c r="G15">
        <v>2</v>
      </c>
      <c r="H15">
        <v>0</v>
      </c>
      <c r="I15">
        <v>1</v>
      </c>
      <c r="J15">
        <v>1</v>
      </c>
      <c r="K15" t="s">
        <v>656</v>
      </c>
      <c r="L15">
        <v>2030</v>
      </c>
      <c r="M15">
        <v>1</v>
      </c>
      <c r="O15" t="s">
        <v>648</v>
      </c>
      <c r="P15" t="s">
        <v>657</v>
      </c>
      <c r="Q15" t="s">
        <v>658</v>
      </c>
      <c r="R15" t="s">
        <v>659</v>
      </c>
      <c r="S15" t="s">
        <v>363</v>
      </c>
      <c r="T15">
        <v>3</v>
      </c>
      <c r="U15" t="s">
        <v>331</v>
      </c>
      <c r="W15" t="s">
        <v>623</v>
      </c>
      <c r="X15" t="s">
        <v>606</v>
      </c>
      <c r="Y15">
        <v>12.5</v>
      </c>
      <c r="Z15" t="s">
        <v>614</v>
      </c>
      <c r="AO15" t="s">
        <v>309</v>
      </c>
    </row>
    <row r="16" spans="1:62">
      <c r="A16" t="s">
        <v>598</v>
      </c>
      <c r="B16" t="s">
        <v>599</v>
      </c>
      <c r="C16" t="s">
        <v>646</v>
      </c>
      <c r="D16" t="s">
        <v>110</v>
      </c>
      <c r="E16">
        <v>2022</v>
      </c>
      <c r="F16">
        <v>0</v>
      </c>
      <c r="G16">
        <v>2</v>
      </c>
      <c r="H16">
        <v>0</v>
      </c>
      <c r="I16">
        <v>1</v>
      </c>
      <c r="J16">
        <v>1</v>
      </c>
      <c r="K16" t="s">
        <v>660</v>
      </c>
      <c r="L16">
        <v>2030</v>
      </c>
      <c r="M16">
        <v>1</v>
      </c>
      <c r="O16" t="s">
        <v>648</v>
      </c>
      <c r="P16" t="s">
        <v>661</v>
      </c>
      <c r="Q16" t="s">
        <v>662</v>
      </c>
      <c r="R16" t="s">
        <v>663</v>
      </c>
      <c r="S16" t="s">
        <v>363</v>
      </c>
      <c r="T16">
        <v>3</v>
      </c>
      <c r="U16" t="s">
        <v>331</v>
      </c>
      <c r="W16" t="s">
        <v>623</v>
      </c>
      <c r="X16" t="s">
        <v>606</v>
      </c>
      <c r="Y16">
        <v>12.5</v>
      </c>
      <c r="Z16" t="s">
        <v>614</v>
      </c>
      <c r="AO16" t="s">
        <v>309</v>
      </c>
    </row>
    <row r="17" spans="1:41">
      <c r="A17" t="s">
        <v>598</v>
      </c>
      <c r="B17" t="s">
        <v>599</v>
      </c>
      <c r="C17" t="s">
        <v>646</v>
      </c>
      <c r="D17" t="s">
        <v>110</v>
      </c>
      <c r="E17">
        <v>2022</v>
      </c>
      <c r="F17">
        <v>0</v>
      </c>
      <c r="G17">
        <v>2</v>
      </c>
      <c r="H17">
        <v>0</v>
      </c>
      <c r="I17">
        <v>1</v>
      </c>
      <c r="J17">
        <v>1</v>
      </c>
      <c r="K17" t="s">
        <v>664</v>
      </c>
      <c r="L17">
        <v>2030</v>
      </c>
      <c r="M17">
        <v>1</v>
      </c>
      <c r="O17" t="s">
        <v>648</v>
      </c>
      <c r="P17" t="s">
        <v>665</v>
      </c>
      <c r="Q17" t="s">
        <v>643</v>
      </c>
      <c r="R17" t="s">
        <v>666</v>
      </c>
      <c r="S17" t="s">
        <v>363</v>
      </c>
      <c r="T17">
        <v>3</v>
      </c>
      <c r="U17" t="s">
        <v>331</v>
      </c>
      <c r="W17" t="s">
        <v>623</v>
      </c>
      <c r="X17" t="s">
        <v>606</v>
      </c>
      <c r="Y17">
        <v>12.5</v>
      </c>
      <c r="Z17" t="s">
        <v>614</v>
      </c>
      <c r="AO17" t="s">
        <v>309</v>
      </c>
    </row>
    <row r="18" spans="1:41">
      <c r="A18" t="s">
        <v>598</v>
      </c>
      <c r="B18" t="s">
        <v>599</v>
      </c>
      <c r="C18" t="s">
        <v>646</v>
      </c>
      <c r="D18" t="s">
        <v>110</v>
      </c>
      <c r="E18">
        <v>2022</v>
      </c>
      <c r="F18">
        <v>0</v>
      </c>
      <c r="G18">
        <v>2</v>
      </c>
      <c r="H18">
        <v>0</v>
      </c>
      <c r="I18">
        <v>1</v>
      </c>
      <c r="J18">
        <v>1</v>
      </c>
      <c r="K18" t="s">
        <v>667</v>
      </c>
      <c r="L18">
        <v>2030</v>
      </c>
      <c r="M18">
        <v>1</v>
      </c>
      <c r="O18" t="s">
        <v>648</v>
      </c>
      <c r="P18" t="s">
        <v>668</v>
      </c>
      <c r="Q18" t="s">
        <v>669</v>
      </c>
      <c r="R18" t="s">
        <v>670</v>
      </c>
      <c r="S18" t="s">
        <v>519</v>
      </c>
      <c r="T18">
        <v>2</v>
      </c>
      <c r="U18" t="s">
        <v>331</v>
      </c>
      <c r="W18" t="s">
        <v>640</v>
      </c>
      <c r="X18" t="s">
        <v>623</v>
      </c>
      <c r="Y18">
        <v>12.5</v>
      </c>
      <c r="Z18" t="s">
        <v>614</v>
      </c>
      <c r="AO18" t="s">
        <v>309</v>
      </c>
    </row>
    <row r="19" spans="1:41">
      <c r="A19" t="s">
        <v>598</v>
      </c>
      <c r="B19" t="s">
        <v>599</v>
      </c>
      <c r="C19" t="s">
        <v>646</v>
      </c>
      <c r="D19" t="s">
        <v>110</v>
      </c>
      <c r="E19">
        <v>2022</v>
      </c>
      <c r="F19">
        <v>0</v>
      </c>
      <c r="G19">
        <v>2</v>
      </c>
      <c r="H19">
        <v>0</v>
      </c>
      <c r="I19">
        <v>1</v>
      </c>
      <c r="J19">
        <v>1</v>
      </c>
      <c r="K19" t="s">
        <v>671</v>
      </c>
      <c r="L19">
        <v>2030</v>
      </c>
      <c r="M19">
        <v>1</v>
      </c>
      <c r="O19" t="s">
        <v>648</v>
      </c>
      <c r="P19" t="s">
        <v>672</v>
      </c>
      <c r="Q19" t="s">
        <v>673</v>
      </c>
      <c r="R19" t="s">
        <v>674</v>
      </c>
      <c r="S19" t="s">
        <v>363</v>
      </c>
      <c r="T19">
        <v>2</v>
      </c>
      <c r="U19" t="s">
        <v>331</v>
      </c>
      <c r="W19" t="s">
        <v>606</v>
      </c>
      <c r="X19" t="s">
        <v>623</v>
      </c>
      <c r="Y19">
        <v>12.5</v>
      </c>
      <c r="Z19" t="s">
        <v>614</v>
      </c>
      <c r="AA19" t="s">
        <v>197</v>
      </c>
      <c r="AB19" t="s">
        <v>675</v>
      </c>
      <c r="AO19" t="s">
        <v>309</v>
      </c>
    </row>
    <row r="20" spans="1:41">
      <c r="A20" t="s">
        <v>598</v>
      </c>
      <c r="B20" t="s">
        <v>599</v>
      </c>
      <c r="C20" t="s">
        <v>646</v>
      </c>
      <c r="D20" t="s">
        <v>110</v>
      </c>
      <c r="E20">
        <v>2022</v>
      </c>
      <c r="F20">
        <v>0</v>
      </c>
      <c r="G20">
        <v>2</v>
      </c>
      <c r="H20">
        <v>0</v>
      </c>
      <c r="I20">
        <v>1</v>
      </c>
      <c r="J20">
        <v>1</v>
      </c>
      <c r="K20" t="s">
        <v>676</v>
      </c>
      <c r="L20">
        <v>2030</v>
      </c>
      <c r="M20">
        <v>1</v>
      </c>
      <c r="O20" t="s">
        <v>648</v>
      </c>
      <c r="P20" t="s">
        <v>677</v>
      </c>
      <c r="Q20" t="s">
        <v>678</v>
      </c>
      <c r="R20" t="s">
        <v>679</v>
      </c>
      <c r="S20" t="s">
        <v>356</v>
      </c>
      <c r="T20">
        <v>1</v>
      </c>
      <c r="U20" t="s">
        <v>331</v>
      </c>
      <c r="W20" t="s">
        <v>606</v>
      </c>
      <c r="X20" t="s">
        <v>623</v>
      </c>
      <c r="Y20">
        <v>12.5</v>
      </c>
      <c r="Z20" t="s">
        <v>614</v>
      </c>
      <c r="AO20" t="s">
        <v>309</v>
      </c>
    </row>
    <row r="21" spans="1:41">
      <c r="A21" t="s">
        <v>598</v>
      </c>
      <c r="B21" t="s">
        <v>599</v>
      </c>
      <c r="C21" t="s">
        <v>646</v>
      </c>
      <c r="D21" t="s">
        <v>110</v>
      </c>
      <c r="E21">
        <v>2022</v>
      </c>
      <c r="F21">
        <v>0</v>
      </c>
      <c r="G21">
        <v>2</v>
      </c>
      <c r="H21">
        <v>0</v>
      </c>
      <c r="I21">
        <v>1</v>
      </c>
      <c r="J21">
        <v>1</v>
      </c>
      <c r="K21" t="s">
        <v>680</v>
      </c>
      <c r="L21">
        <v>2025</v>
      </c>
      <c r="M21">
        <v>1</v>
      </c>
      <c r="O21" t="s">
        <v>636</v>
      </c>
      <c r="P21" t="s">
        <v>681</v>
      </c>
      <c r="Q21" t="s">
        <v>682</v>
      </c>
      <c r="R21" t="s">
        <v>683</v>
      </c>
      <c r="S21" t="s">
        <v>363</v>
      </c>
      <c r="T21">
        <v>2</v>
      </c>
      <c r="U21" t="s">
        <v>331</v>
      </c>
      <c r="W21" t="s">
        <v>640</v>
      </c>
      <c r="Y21">
        <v>12.5</v>
      </c>
      <c r="Z21" t="s">
        <v>614</v>
      </c>
      <c r="AA21" t="s">
        <v>197</v>
      </c>
      <c r="AB21" t="s">
        <v>684</v>
      </c>
      <c r="AO21" t="s">
        <v>309</v>
      </c>
    </row>
    <row r="22" spans="1:41" ht="409.6">
      <c r="A22" t="s">
        <v>598</v>
      </c>
      <c r="B22" t="s">
        <v>599</v>
      </c>
      <c r="C22" t="s">
        <v>646</v>
      </c>
      <c r="D22" t="s">
        <v>110</v>
      </c>
      <c r="E22">
        <v>2022</v>
      </c>
      <c r="F22">
        <v>0</v>
      </c>
      <c r="G22">
        <v>2</v>
      </c>
      <c r="H22">
        <v>0</v>
      </c>
      <c r="I22">
        <v>1</v>
      </c>
      <c r="J22">
        <v>1</v>
      </c>
      <c r="K22" s="234" t="s">
        <v>685</v>
      </c>
      <c r="L22">
        <v>2030</v>
      </c>
      <c r="M22">
        <v>1</v>
      </c>
      <c r="N22" t="s">
        <v>686</v>
      </c>
      <c r="O22" t="s">
        <v>636</v>
      </c>
      <c r="R22" t="s">
        <v>687</v>
      </c>
      <c r="S22" t="s">
        <v>303</v>
      </c>
      <c r="T22">
        <v>2</v>
      </c>
      <c r="U22" t="s">
        <v>331</v>
      </c>
      <c r="W22" t="s">
        <v>640</v>
      </c>
      <c r="X22" t="s">
        <v>623</v>
      </c>
      <c r="Y22">
        <v>12.5</v>
      </c>
      <c r="Z22" t="s">
        <v>614</v>
      </c>
      <c r="AO22" t="s">
        <v>309</v>
      </c>
    </row>
    <row r="23" spans="1:41">
      <c r="A23" t="s">
        <v>598</v>
      </c>
      <c r="B23" t="s">
        <v>599</v>
      </c>
      <c r="C23" t="s">
        <v>646</v>
      </c>
      <c r="D23" t="s">
        <v>110</v>
      </c>
      <c r="E23">
        <v>2022</v>
      </c>
      <c r="F23">
        <v>0</v>
      </c>
      <c r="G23">
        <v>2</v>
      </c>
      <c r="H23">
        <v>0</v>
      </c>
      <c r="I23">
        <v>1</v>
      </c>
      <c r="J23">
        <v>1</v>
      </c>
      <c r="K23" t="s">
        <v>688</v>
      </c>
      <c r="L23">
        <v>2030</v>
      </c>
      <c r="M23">
        <v>1</v>
      </c>
      <c r="N23" t="s">
        <v>689</v>
      </c>
      <c r="O23" t="s">
        <v>636</v>
      </c>
      <c r="P23" t="s">
        <v>690</v>
      </c>
      <c r="Q23" t="s">
        <v>691</v>
      </c>
      <c r="R23" t="s">
        <v>692</v>
      </c>
      <c r="T23">
        <v>0</v>
      </c>
      <c r="U23" t="s">
        <v>331</v>
      </c>
      <c r="W23" t="s">
        <v>623</v>
      </c>
      <c r="Y23">
        <v>12.5</v>
      </c>
      <c r="Z23" t="s">
        <v>614</v>
      </c>
      <c r="AA23" t="s">
        <v>197</v>
      </c>
      <c r="AB23" t="s">
        <v>675</v>
      </c>
      <c r="AO23" t="s">
        <v>309</v>
      </c>
    </row>
    <row r="24" spans="1:41" hidden="1">
      <c r="A24" t="s">
        <v>598</v>
      </c>
      <c r="B24" t="s">
        <v>599</v>
      </c>
      <c r="C24" t="s">
        <v>693</v>
      </c>
      <c r="D24" t="s">
        <v>110</v>
      </c>
      <c r="E24">
        <v>2023</v>
      </c>
      <c r="F24">
        <v>0</v>
      </c>
      <c r="M24" t="s">
        <v>424</v>
      </c>
    </row>
    <row r="25" spans="1:41" ht="272">
      <c r="A25" t="s">
        <v>598</v>
      </c>
      <c r="B25" t="s">
        <v>599</v>
      </c>
      <c r="C25" t="s">
        <v>608</v>
      </c>
      <c r="D25" t="s">
        <v>101</v>
      </c>
      <c r="E25">
        <v>2023</v>
      </c>
      <c r="F25">
        <v>0</v>
      </c>
      <c r="G25">
        <v>2</v>
      </c>
      <c r="H25">
        <v>0</v>
      </c>
      <c r="I25">
        <v>1</v>
      </c>
      <c r="J25">
        <v>1</v>
      </c>
      <c r="K25" t="s">
        <v>694</v>
      </c>
      <c r="L25">
        <v>2030</v>
      </c>
      <c r="M25">
        <v>1</v>
      </c>
      <c r="N25" s="234" t="s">
        <v>695</v>
      </c>
      <c r="O25" t="s">
        <v>696</v>
      </c>
      <c r="P25" t="s">
        <v>697</v>
      </c>
      <c r="Q25" t="s">
        <v>698</v>
      </c>
      <c r="R25" t="s">
        <v>699</v>
      </c>
      <c r="S25" t="s">
        <v>519</v>
      </c>
      <c r="T25">
        <v>2</v>
      </c>
      <c r="U25" t="s">
        <v>700</v>
      </c>
      <c r="V25" t="s">
        <v>701</v>
      </c>
      <c r="W25" t="s">
        <v>606</v>
      </c>
      <c r="X25" t="s">
        <v>617</v>
      </c>
      <c r="Y25">
        <v>12.3</v>
      </c>
      <c r="Z25" t="s">
        <v>614</v>
      </c>
      <c r="AA25" t="s">
        <v>702</v>
      </c>
      <c r="AB25" t="s">
        <v>618</v>
      </c>
    </row>
    <row r="26" spans="1:41" ht="208">
      <c r="A26" t="s">
        <v>598</v>
      </c>
      <c r="B26" t="s">
        <v>599</v>
      </c>
      <c r="C26" t="s">
        <v>608</v>
      </c>
      <c r="D26" t="s">
        <v>101</v>
      </c>
      <c r="E26">
        <v>2023</v>
      </c>
      <c r="F26">
        <v>0</v>
      </c>
      <c r="G26">
        <v>2</v>
      </c>
      <c r="H26">
        <v>0</v>
      </c>
      <c r="I26">
        <v>1</v>
      </c>
      <c r="J26">
        <v>1</v>
      </c>
      <c r="K26" t="s">
        <v>703</v>
      </c>
      <c r="L26">
        <v>2030</v>
      </c>
      <c r="M26">
        <v>1</v>
      </c>
      <c r="N26" s="234" t="s">
        <v>704</v>
      </c>
      <c r="O26" t="s">
        <v>696</v>
      </c>
      <c r="P26" t="s">
        <v>697</v>
      </c>
      <c r="Q26" t="s">
        <v>705</v>
      </c>
      <c r="R26" t="s">
        <v>699</v>
      </c>
      <c r="S26" t="s">
        <v>519</v>
      </c>
      <c r="T26">
        <v>2</v>
      </c>
      <c r="U26" t="s">
        <v>700</v>
      </c>
      <c r="V26" t="s">
        <v>701</v>
      </c>
      <c r="W26" t="s">
        <v>606</v>
      </c>
      <c r="X26" t="s">
        <v>617</v>
      </c>
      <c r="Y26">
        <v>12.3</v>
      </c>
      <c r="Z26" t="s">
        <v>614</v>
      </c>
      <c r="AA26" t="s">
        <v>702</v>
      </c>
      <c r="AB26" t="s">
        <v>618</v>
      </c>
    </row>
    <row r="27" spans="1:41" ht="160">
      <c r="A27" t="s">
        <v>598</v>
      </c>
      <c r="B27" t="s">
        <v>706</v>
      </c>
      <c r="C27" t="s">
        <v>707</v>
      </c>
      <c r="D27" t="s">
        <v>298</v>
      </c>
      <c r="E27">
        <v>2023</v>
      </c>
      <c r="F27">
        <v>1</v>
      </c>
      <c r="G27">
        <v>3</v>
      </c>
      <c r="H27">
        <v>1</v>
      </c>
      <c r="J27">
        <v>1</v>
      </c>
      <c r="K27" s="234" t="s">
        <v>708</v>
      </c>
      <c r="L27">
        <v>2027</v>
      </c>
      <c r="M27">
        <v>1</v>
      </c>
      <c r="O27" t="s">
        <v>709</v>
      </c>
      <c r="R27" t="s">
        <v>710</v>
      </c>
      <c r="T27">
        <v>2</v>
      </c>
      <c r="U27" t="s">
        <v>331</v>
      </c>
      <c r="W27" t="s">
        <v>711</v>
      </c>
      <c r="X27" t="s">
        <v>623</v>
      </c>
      <c r="Y27">
        <v>12.5</v>
      </c>
      <c r="Z27" t="s">
        <v>614</v>
      </c>
    </row>
    <row r="28" spans="1:41" ht="208">
      <c r="A28" t="s">
        <v>598</v>
      </c>
      <c r="B28" t="s">
        <v>706</v>
      </c>
      <c r="C28" t="s">
        <v>707</v>
      </c>
      <c r="D28" t="s">
        <v>298</v>
      </c>
      <c r="E28">
        <v>2023</v>
      </c>
      <c r="F28">
        <v>1</v>
      </c>
      <c r="G28">
        <v>3</v>
      </c>
      <c r="H28">
        <v>1</v>
      </c>
      <c r="J28">
        <v>1</v>
      </c>
      <c r="K28" s="234" t="s">
        <v>712</v>
      </c>
      <c r="L28">
        <v>2027</v>
      </c>
      <c r="M28">
        <v>1</v>
      </c>
      <c r="N28" t="s">
        <v>713</v>
      </c>
      <c r="O28" t="s">
        <v>709</v>
      </c>
      <c r="R28" t="s">
        <v>714</v>
      </c>
      <c r="T28">
        <v>3</v>
      </c>
      <c r="U28" t="s">
        <v>331</v>
      </c>
      <c r="W28" t="s">
        <v>711</v>
      </c>
      <c r="X28" t="s">
        <v>623</v>
      </c>
      <c r="Y28">
        <v>12.5</v>
      </c>
      <c r="Z28" t="s">
        <v>614</v>
      </c>
    </row>
    <row r="29" spans="1:41" ht="192">
      <c r="A29" t="s">
        <v>598</v>
      </c>
      <c r="B29" t="s">
        <v>706</v>
      </c>
      <c r="C29" t="s">
        <v>707</v>
      </c>
      <c r="D29" t="s">
        <v>298</v>
      </c>
      <c r="E29">
        <v>2023</v>
      </c>
      <c r="F29">
        <v>1</v>
      </c>
      <c r="G29">
        <v>3</v>
      </c>
      <c r="H29">
        <v>1</v>
      </c>
      <c r="J29">
        <v>1</v>
      </c>
      <c r="K29" s="234" t="s">
        <v>715</v>
      </c>
      <c r="L29">
        <v>2030</v>
      </c>
      <c r="M29">
        <v>1</v>
      </c>
      <c r="O29" t="s">
        <v>709</v>
      </c>
      <c r="R29" t="s">
        <v>716</v>
      </c>
      <c r="T29">
        <v>2</v>
      </c>
      <c r="U29" t="s">
        <v>331</v>
      </c>
      <c r="W29" t="s">
        <v>711</v>
      </c>
      <c r="X29" t="s">
        <v>623</v>
      </c>
      <c r="Y29">
        <v>12.5</v>
      </c>
      <c r="Z29" t="s">
        <v>614</v>
      </c>
    </row>
    <row r="30" spans="1:41" ht="409.6">
      <c r="A30" t="s">
        <v>598</v>
      </c>
      <c r="B30" t="s">
        <v>706</v>
      </c>
      <c r="C30" t="s">
        <v>707</v>
      </c>
      <c r="D30" t="s">
        <v>298</v>
      </c>
      <c r="E30">
        <v>2023</v>
      </c>
      <c r="F30">
        <v>1</v>
      </c>
      <c r="G30">
        <v>3</v>
      </c>
      <c r="H30">
        <v>1</v>
      </c>
      <c r="J30">
        <v>1</v>
      </c>
      <c r="K30" s="234" t="s">
        <v>717</v>
      </c>
      <c r="L30">
        <v>2030</v>
      </c>
      <c r="M30">
        <v>1</v>
      </c>
      <c r="N30" t="s">
        <v>718</v>
      </c>
      <c r="O30" t="s">
        <v>709</v>
      </c>
      <c r="R30" s="234" t="s">
        <v>719</v>
      </c>
      <c r="T30">
        <v>3</v>
      </c>
      <c r="U30" t="s">
        <v>331</v>
      </c>
      <c r="W30" t="s">
        <v>711</v>
      </c>
      <c r="X30" t="s">
        <v>623</v>
      </c>
      <c r="Y30">
        <v>12.5</v>
      </c>
      <c r="Z30" t="s">
        <v>614</v>
      </c>
      <c r="AO30" t="s">
        <v>309</v>
      </c>
    </row>
    <row r="31" spans="1:41" ht="128">
      <c r="A31" t="s">
        <v>598</v>
      </c>
      <c r="B31" t="s">
        <v>706</v>
      </c>
      <c r="C31" t="s">
        <v>707</v>
      </c>
      <c r="D31" t="s">
        <v>298</v>
      </c>
      <c r="E31">
        <v>2023</v>
      </c>
      <c r="F31">
        <v>1</v>
      </c>
      <c r="G31">
        <v>3</v>
      </c>
      <c r="H31">
        <v>1</v>
      </c>
      <c r="J31">
        <v>1</v>
      </c>
      <c r="K31" s="234" t="s">
        <v>720</v>
      </c>
      <c r="L31">
        <v>2027</v>
      </c>
      <c r="M31">
        <v>1</v>
      </c>
      <c r="O31" t="s">
        <v>709</v>
      </c>
      <c r="P31" t="s">
        <v>721</v>
      </c>
      <c r="Q31" t="s">
        <v>722</v>
      </c>
      <c r="R31" t="s">
        <v>723</v>
      </c>
      <c r="T31">
        <v>1</v>
      </c>
      <c r="U31" t="s">
        <v>331</v>
      </c>
      <c r="W31" t="s">
        <v>711</v>
      </c>
      <c r="X31" t="s">
        <v>623</v>
      </c>
      <c r="Y31">
        <v>12.5</v>
      </c>
      <c r="Z31" t="s">
        <v>614</v>
      </c>
    </row>
    <row r="32" spans="1:41" ht="160">
      <c r="A32" t="s">
        <v>598</v>
      </c>
      <c r="B32" t="s">
        <v>706</v>
      </c>
      <c r="C32" t="s">
        <v>707</v>
      </c>
      <c r="D32" t="s">
        <v>298</v>
      </c>
      <c r="E32">
        <v>2023</v>
      </c>
      <c r="F32">
        <v>1</v>
      </c>
      <c r="G32">
        <v>3</v>
      </c>
      <c r="H32">
        <v>1</v>
      </c>
      <c r="J32">
        <v>1</v>
      </c>
      <c r="K32" s="234" t="s">
        <v>724</v>
      </c>
      <c r="L32">
        <v>2031</v>
      </c>
      <c r="M32">
        <v>1</v>
      </c>
      <c r="O32" t="s">
        <v>709</v>
      </c>
      <c r="P32" t="s">
        <v>725</v>
      </c>
      <c r="Q32" t="s">
        <v>726</v>
      </c>
      <c r="R32" t="s">
        <v>727</v>
      </c>
      <c r="T32">
        <v>0</v>
      </c>
      <c r="U32" t="s">
        <v>331</v>
      </c>
      <c r="W32" t="s">
        <v>711</v>
      </c>
      <c r="X32" t="s">
        <v>623</v>
      </c>
      <c r="Y32">
        <v>12.5</v>
      </c>
      <c r="Z32" t="s">
        <v>614</v>
      </c>
    </row>
    <row r="33" spans="1:41">
      <c r="A33" t="s">
        <v>598</v>
      </c>
      <c r="B33" t="s">
        <v>706</v>
      </c>
      <c r="C33" t="s">
        <v>707</v>
      </c>
      <c r="D33" t="s">
        <v>298</v>
      </c>
      <c r="E33">
        <v>2023</v>
      </c>
      <c r="F33">
        <v>1</v>
      </c>
      <c r="G33">
        <v>3</v>
      </c>
      <c r="H33">
        <v>1</v>
      </c>
      <c r="J33">
        <v>1</v>
      </c>
      <c r="K33" t="s">
        <v>728</v>
      </c>
      <c r="L33">
        <v>2028</v>
      </c>
      <c r="M33">
        <v>1</v>
      </c>
      <c r="O33" t="s">
        <v>709</v>
      </c>
      <c r="P33" t="s">
        <v>729</v>
      </c>
      <c r="Q33" t="s">
        <v>730</v>
      </c>
      <c r="R33" t="s">
        <v>731</v>
      </c>
      <c r="T33">
        <v>0</v>
      </c>
      <c r="U33" t="s">
        <v>331</v>
      </c>
      <c r="W33" t="s">
        <v>711</v>
      </c>
      <c r="X33" t="s">
        <v>623</v>
      </c>
      <c r="Y33">
        <v>12.5</v>
      </c>
      <c r="Z33" t="s">
        <v>614</v>
      </c>
    </row>
    <row r="34" spans="1:41" ht="224">
      <c r="A34" t="s">
        <v>598</v>
      </c>
      <c r="B34" t="s">
        <v>706</v>
      </c>
      <c r="C34" t="s">
        <v>707</v>
      </c>
      <c r="D34" t="s">
        <v>298</v>
      </c>
      <c r="E34">
        <v>2023</v>
      </c>
      <c r="F34">
        <v>1</v>
      </c>
      <c r="G34">
        <v>3</v>
      </c>
      <c r="H34">
        <v>1</v>
      </c>
      <c r="J34">
        <v>1</v>
      </c>
      <c r="K34" s="234" t="s">
        <v>732</v>
      </c>
      <c r="L34">
        <v>2023</v>
      </c>
      <c r="M34">
        <v>1</v>
      </c>
      <c r="N34" t="s">
        <v>733</v>
      </c>
      <c r="O34" t="s">
        <v>709</v>
      </c>
      <c r="P34" t="s">
        <v>734</v>
      </c>
      <c r="Q34" t="s">
        <v>735</v>
      </c>
      <c r="R34" s="234" t="s">
        <v>736</v>
      </c>
      <c r="T34">
        <v>0</v>
      </c>
      <c r="U34" t="s">
        <v>331</v>
      </c>
      <c r="W34" t="s">
        <v>711</v>
      </c>
      <c r="X34" t="s">
        <v>623</v>
      </c>
      <c r="Y34">
        <v>12.5</v>
      </c>
      <c r="Z34" t="s">
        <v>614</v>
      </c>
      <c r="AO34" t="s">
        <v>309</v>
      </c>
    </row>
    <row r="35" spans="1:41">
      <c r="A35" t="s">
        <v>598</v>
      </c>
      <c r="B35" t="s">
        <v>706</v>
      </c>
      <c r="C35" t="s">
        <v>707</v>
      </c>
      <c r="D35" t="s">
        <v>298</v>
      </c>
      <c r="E35">
        <v>2023</v>
      </c>
      <c r="F35">
        <v>1</v>
      </c>
      <c r="G35">
        <v>3</v>
      </c>
      <c r="H35">
        <v>1</v>
      </c>
      <c r="J35">
        <v>1</v>
      </c>
      <c r="K35" t="s">
        <v>737</v>
      </c>
      <c r="M35">
        <v>1</v>
      </c>
      <c r="O35" t="s">
        <v>709</v>
      </c>
      <c r="R35" t="s">
        <v>738</v>
      </c>
      <c r="T35">
        <v>1</v>
      </c>
      <c r="U35" t="s">
        <v>331</v>
      </c>
      <c r="W35" t="s">
        <v>711</v>
      </c>
      <c r="X35" t="s">
        <v>623</v>
      </c>
      <c r="Y35">
        <v>12.5</v>
      </c>
      <c r="Z35" t="s">
        <v>614</v>
      </c>
    </row>
    <row r="36" spans="1:41" hidden="1">
      <c r="A36" t="s">
        <v>598</v>
      </c>
      <c r="B36" t="s">
        <v>739</v>
      </c>
    </row>
    <row r="37" spans="1:41" hidden="1">
      <c r="A37" t="s">
        <v>598</v>
      </c>
      <c r="B37" t="s">
        <v>740</v>
      </c>
      <c r="C37" t="s">
        <v>741</v>
      </c>
      <c r="D37" t="s">
        <v>321</v>
      </c>
      <c r="E37">
        <v>2023</v>
      </c>
      <c r="F37">
        <v>0</v>
      </c>
    </row>
    <row r="38" spans="1:41">
      <c r="A38" t="s">
        <v>598</v>
      </c>
      <c r="B38" t="s">
        <v>740</v>
      </c>
      <c r="C38" t="s">
        <v>742</v>
      </c>
      <c r="D38" t="s">
        <v>110</v>
      </c>
      <c r="E38">
        <v>2023</v>
      </c>
      <c r="F38">
        <v>0</v>
      </c>
      <c r="G38">
        <v>2</v>
      </c>
      <c r="H38">
        <v>0</v>
      </c>
      <c r="I38">
        <v>1</v>
      </c>
      <c r="J38">
        <v>1</v>
      </c>
      <c r="K38" t="s">
        <v>743</v>
      </c>
      <c r="L38">
        <v>2040</v>
      </c>
      <c r="M38">
        <v>1</v>
      </c>
      <c r="O38" t="s">
        <v>744</v>
      </c>
      <c r="U38" t="s">
        <v>331</v>
      </c>
      <c r="W38" t="s">
        <v>401</v>
      </c>
      <c r="Y38">
        <v>12.2</v>
      </c>
      <c r="Z38" t="s">
        <v>614</v>
      </c>
    </row>
    <row r="39" spans="1:41">
      <c r="A39" t="s">
        <v>598</v>
      </c>
      <c r="B39" t="s">
        <v>740</v>
      </c>
      <c r="C39" t="s">
        <v>745</v>
      </c>
      <c r="D39" t="s">
        <v>110</v>
      </c>
      <c r="E39">
        <v>2023</v>
      </c>
      <c r="F39">
        <v>0</v>
      </c>
      <c r="G39">
        <v>2</v>
      </c>
      <c r="H39">
        <v>0</v>
      </c>
      <c r="I39">
        <v>1</v>
      </c>
      <c r="J39">
        <v>1</v>
      </c>
      <c r="K39" t="s">
        <v>746</v>
      </c>
      <c r="L39">
        <v>2030</v>
      </c>
      <c r="M39">
        <v>1</v>
      </c>
      <c r="O39" t="s">
        <v>744</v>
      </c>
      <c r="P39" t="s">
        <v>747</v>
      </c>
      <c r="Q39">
        <v>0.65</v>
      </c>
      <c r="R39" t="s">
        <v>748</v>
      </c>
      <c r="T39">
        <v>2</v>
      </c>
      <c r="U39" t="s">
        <v>331</v>
      </c>
      <c r="W39" t="s">
        <v>401</v>
      </c>
      <c r="Y39">
        <v>12.2</v>
      </c>
      <c r="Z39" t="s">
        <v>614</v>
      </c>
      <c r="AA39" t="s">
        <v>749</v>
      </c>
    </row>
    <row r="40" spans="1:41" ht="409.6">
      <c r="A40" t="s">
        <v>598</v>
      </c>
      <c r="B40" t="s">
        <v>740</v>
      </c>
      <c r="C40" t="s">
        <v>745</v>
      </c>
      <c r="D40" t="s">
        <v>110</v>
      </c>
      <c r="E40">
        <v>2023</v>
      </c>
      <c r="F40">
        <v>0</v>
      </c>
      <c r="G40">
        <v>2</v>
      </c>
      <c r="H40">
        <v>0</v>
      </c>
      <c r="I40">
        <v>1</v>
      </c>
      <c r="J40">
        <v>1</v>
      </c>
      <c r="K40" t="s">
        <v>750</v>
      </c>
      <c r="L40">
        <v>2030</v>
      </c>
      <c r="M40">
        <v>1</v>
      </c>
      <c r="N40" t="s">
        <v>751</v>
      </c>
      <c r="O40" t="s">
        <v>744</v>
      </c>
      <c r="P40" t="s">
        <v>752</v>
      </c>
      <c r="Q40">
        <v>0.15</v>
      </c>
      <c r="R40" s="234" t="s">
        <v>753</v>
      </c>
      <c r="T40">
        <v>2</v>
      </c>
      <c r="U40" t="s">
        <v>331</v>
      </c>
      <c r="W40" t="s">
        <v>401</v>
      </c>
      <c r="X40" t="s">
        <v>623</v>
      </c>
      <c r="Y40">
        <v>12.2</v>
      </c>
      <c r="Z40" t="s">
        <v>614</v>
      </c>
      <c r="AA40" t="s">
        <v>754</v>
      </c>
      <c r="AB40" t="s">
        <v>755</v>
      </c>
    </row>
    <row r="41" spans="1:41" ht="409.6">
      <c r="A41" t="s">
        <v>598</v>
      </c>
      <c r="B41" t="s">
        <v>740</v>
      </c>
      <c r="C41" t="s">
        <v>745</v>
      </c>
      <c r="D41" t="s">
        <v>110</v>
      </c>
      <c r="E41">
        <v>2023</v>
      </c>
      <c r="F41">
        <v>0</v>
      </c>
      <c r="G41">
        <v>2</v>
      </c>
      <c r="H41">
        <v>0</v>
      </c>
      <c r="I41">
        <v>1</v>
      </c>
      <c r="J41">
        <v>1</v>
      </c>
      <c r="K41" t="s">
        <v>756</v>
      </c>
      <c r="L41">
        <v>2030</v>
      </c>
      <c r="M41">
        <v>1</v>
      </c>
      <c r="N41" t="s">
        <v>757</v>
      </c>
      <c r="O41" t="s">
        <v>744</v>
      </c>
      <c r="P41" t="s">
        <v>758</v>
      </c>
      <c r="Q41">
        <v>0.4</v>
      </c>
      <c r="R41" s="234" t="s">
        <v>759</v>
      </c>
      <c r="T41">
        <v>2</v>
      </c>
      <c r="U41" t="s">
        <v>331</v>
      </c>
      <c r="W41" t="s">
        <v>401</v>
      </c>
      <c r="Y41">
        <v>12.2</v>
      </c>
      <c r="Z41" t="s">
        <v>614</v>
      </c>
      <c r="AA41" t="s">
        <v>754</v>
      </c>
      <c r="AB41" t="s">
        <v>760</v>
      </c>
      <c r="AC41" t="s">
        <v>761</v>
      </c>
    </row>
    <row r="42" spans="1:41" ht="409.6">
      <c r="A42" t="s">
        <v>598</v>
      </c>
      <c r="B42" t="s">
        <v>740</v>
      </c>
      <c r="C42" t="s">
        <v>745</v>
      </c>
      <c r="D42" t="s">
        <v>110</v>
      </c>
      <c r="E42">
        <v>2023</v>
      </c>
      <c r="F42">
        <v>0</v>
      </c>
      <c r="G42">
        <v>2</v>
      </c>
      <c r="H42">
        <v>0</v>
      </c>
      <c r="I42">
        <v>1</v>
      </c>
      <c r="J42">
        <v>1</v>
      </c>
      <c r="K42" t="s">
        <v>762</v>
      </c>
      <c r="L42">
        <v>2030</v>
      </c>
      <c r="M42">
        <v>1</v>
      </c>
      <c r="N42" t="s">
        <v>763</v>
      </c>
      <c r="O42" t="s">
        <v>744</v>
      </c>
      <c r="P42" t="s">
        <v>764</v>
      </c>
      <c r="Q42">
        <v>0.1</v>
      </c>
      <c r="R42" s="234" t="s">
        <v>765</v>
      </c>
      <c r="T42">
        <v>2</v>
      </c>
      <c r="U42" t="s">
        <v>498</v>
      </c>
      <c r="W42" t="s">
        <v>401</v>
      </c>
      <c r="Y42">
        <v>12.2</v>
      </c>
      <c r="Z42" t="s">
        <v>614</v>
      </c>
      <c r="AA42" t="s">
        <v>754</v>
      </c>
      <c r="AB42" t="s">
        <v>760</v>
      </c>
      <c r="AC42" t="s">
        <v>761</v>
      </c>
    </row>
    <row r="43" spans="1:41" hidden="1">
      <c r="A43" t="s">
        <v>598</v>
      </c>
      <c r="B43" t="s">
        <v>740</v>
      </c>
      <c r="C43" t="s">
        <v>766</v>
      </c>
      <c r="D43" t="s">
        <v>321</v>
      </c>
      <c r="E43">
        <v>2020</v>
      </c>
      <c r="F43">
        <v>0</v>
      </c>
      <c r="M43" t="s">
        <v>424</v>
      </c>
    </row>
    <row r="44" spans="1:41" hidden="1">
      <c r="A44" t="s">
        <v>598</v>
      </c>
      <c r="B44" t="s">
        <v>740</v>
      </c>
      <c r="C44" t="s">
        <v>767</v>
      </c>
      <c r="D44" t="s">
        <v>321</v>
      </c>
      <c r="E44">
        <v>2021</v>
      </c>
      <c r="F44">
        <v>0</v>
      </c>
      <c r="M44" t="s">
        <v>424</v>
      </c>
    </row>
    <row r="45" spans="1:41">
      <c r="A45" t="s">
        <v>598</v>
      </c>
      <c r="B45" t="s">
        <v>768</v>
      </c>
      <c r="C45" t="s">
        <v>769</v>
      </c>
      <c r="D45" t="s">
        <v>321</v>
      </c>
      <c r="E45">
        <v>2022</v>
      </c>
      <c r="F45">
        <v>0</v>
      </c>
      <c r="G45">
        <v>0</v>
      </c>
      <c r="H45">
        <v>0</v>
      </c>
      <c r="I45">
        <v>0</v>
      </c>
      <c r="J45">
        <v>1</v>
      </c>
      <c r="K45" t="s">
        <v>770</v>
      </c>
      <c r="L45">
        <v>2030</v>
      </c>
      <c r="M45">
        <v>0</v>
      </c>
      <c r="O45" t="s">
        <v>610</v>
      </c>
      <c r="R45" t="s">
        <v>771</v>
      </c>
      <c r="T45">
        <v>2</v>
      </c>
      <c r="Y45">
        <v>12.5</v>
      </c>
      <c r="Z45" t="s">
        <v>614</v>
      </c>
    </row>
    <row r="46" spans="1:41">
      <c r="A46" t="s">
        <v>598</v>
      </c>
      <c r="B46" t="s">
        <v>768</v>
      </c>
      <c r="C46" t="s">
        <v>769</v>
      </c>
      <c r="D46" t="s">
        <v>321</v>
      </c>
      <c r="E46">
        <v>2022</v>
      </c>
      <c r="F46">
        <v>0</v>
      </c>
      <c r="G46">
        <v>0</v>
      </c>
      <c r="H46">
        <v>0</v>
      </c>
      <c r="I46">
        <v>0</v>
      </c>
      <c r="J46">
        <v>1</v>
      </c>
      <c r="K46" t="s">
        <v>772</v>
      </c>
      <c r="L46">
        <v>2030</v>
      </c>
      <c r="M46">
        <v>0</v>
      </c>
      <c r="O46" t="s">
        <v>610</v>
      </c>
      <c r="R46" t="s">
        <v>773</v>
      </c>
      <c r="T46">
        <v>0</v>
      </c>
      <c r="Y46">
        <v>12.5</v>
      </c>
      <c r="Z46" t="s">
        <v>614</v>
      </c>
    </row>
    <row r="47" spans="1:41">
      <c r="A47" t="s">
        <v>598</v>
      </c>
      <c r="B47" t="s">
        <v>768</v>
      </c>
      <c r="C47" t="s">
        <v>774</v>
      </c>
      <c r="D47" t="s">
        <v>321</v>
      </c>
      <c r="E47">
        <v>2020</v>
      </c>
      <c r="F47">
        <v>0</v>
      </c>
      <c r="G47">
        <v>1</v>
      </c>
      <c r="H47">
        <v>0</v>
      </c>
      <c r="I47">
        <v>0</v>
      </c>
      <c r="J47">
        <v>1</v>
      </c>
      <c r="K47" t="s">
        <v>775</v>
      </c>
      <c r="L47">
        <v>2030</v>
      </c>
      <c r="M47">
        <v>1</v>
      </c>
      <c r="O47" t="s">
        <v>602</v>
      </c>
      <c r="P47" t="s">
        <v>776</v>
      </c>
      <c r="Q47">
        <v>0.23400000000000001</v>
      </c>
      <c r="R47" t="s">
        <v>777</v>
      </c>
      <c r="S47" t="s">
        <v>519</v>
      </c>
      <c r="T47">
        <v>1</v>
      </c>
      <c r="U47" t="s">
        <v>778</v>
      </c>
      <c r="V47" t="s">
        <v>779</v>
      </c>
      <c r="W47" t="s">
        <v>623</v>
      </c>
      <c r="Y47">
        <v>12.5</v>
      </c>
      <c r="Z47" t="s">
        <v>614</v>
      </c>
      <c r="AB47" t="s">
        <v>780</v>
      </c>
      <c r="AO47" t="s">
        <v>309</v>
      </c>
    </row>
    <row r="48" spans="1:41">
      <c r="A48" t="s">
        <v>598</v>
      </c>
      <c r="B48" t="s">
        <v>768</v>
      </c>
      <c r="C48" t="s">
        <v>774</v>
      </c>
      <c r="D48" t="s">
        <v>321</v>
      </c>
      <c r="E48">
        <v>2020</v>
      </c>
      <c r="F48">
        <v>0</v>
      </c>
      <c r="G48">
        <v>1</v>
      </c>
      <c r="H48">
        <v>0</v>
      </c>
      <c r="I48">
        <v>0</v>
      </c>
      <c r="J48">
        <v>1</v>
      </c>
      <c r="K48" t="s">
        <v>781</v>
      </c>
      <c r="L48">
        <v>2035</v>
      </c>
      <c r="M48">
        <v>1</v>
      </c>
      <c r="O48" t="s">
        <v>602</v>
      </c>
      <c r="P48" t="s">
        <v>782</v>
      </c>
      <c r="Q48">
        <v>0.1</v>
      </c>
      <c r="R48" t="s">
        <v>783</v>
      </c>
      <c r="T48">
        <v>2</v>
      </c>
      <c r="U48" t="s">
        <v>784</v>
      </c>
      <c r="V48" t="s">
        <v>785</v>
      </c>
      <c r="W48" t="s">
        <v>606</v>
      </c>
      <c r="Y48">
        <v>11.6</v>
      </c>
      <c r="Z48" t="s">
        <v>607</v>
      </c>
      <c r="AA48" t="s">
        <v>197</v>
      </c>
      <c r="AB48" t="s">
        <v>786</v>
      </c>
      <c r="AO48" t="s">
        <v>309</v>
      </c>
    </row>
    <row r="49" spans="1:41" ht="32">
      <c r="A49" t="s">
        <v>598</v>
      </c>
      <c r="B49" t="s">
        <v>768</v>
      </c>
      <c r="C49" t="s">
        <v>774</v>
      </c>
      <c r="D49" t="s">
        <v>321</v>
      </c>
      <c r="E49">
        <v>2020</v>
      </c>
      <c r="F49">
        <v>0</v>
      </c>
      <c r="G49">
        <v>1</v>
      </c>
      <c r="H49">
        <v>0</v>
      </c>
      <c r="I49">
        <v>0</v>
      </c>
      <c r="J49">
        <v>1</v>
      </c>
      <c r="K49" t="s">
        <v>787</v>
      </c>
      <c r="L49">
        <v>2030</v>
      </c>
      <c r="M49">
        <v>1</v>
      </c>
      <c r="O49" t="s">
        <v>602</v>
      </c>
      <c r="P49" t="s">
        <v>788</v>
      </c>
      <c r="Q49">
        <v>0.5</v>
      </c>
      <c r="R49" t="s">
        <v>789</v>
      </c>
      <c r="S49" t="s">
        <v>519</v>
      </c>
      <c r="T49">
        <v>2</v>
      </c>
      <c r="U49" t="s">
        <v>784</v>
      </c>
      <c r="V49" s="234" t="s">
        <v>790</v>
      </c>
      <c r="W49" t="s">
        <v>606</v>
      </c>
      <c r="Y49">
        <v>11.6</v>
      </c>
      <c r="Z49" t="s">
        <v>607</v>
      </c>
      <c r="AA49" t="s">
        <v>197</v>
      </c>
      <c r="AB49" t="s">
        <v>624</v>
      </c>
      <c r="AC49" t="s">
        <v>791</v>
      </c>
      <c r="AO49" t="s">
        <v>309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49"/>
  <sheetViews>
    <sheetView topLeftCell="B1" workbookViewId="0">
      <selection activeCell="J3" sqref="J3"/>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hidden="1">
      <c r="A2" t="s">
        <v>598</v>
      </c>
      <c r="B2" t="s">
        <v>599</v>
      </c>
      <c r="C2" t="s">
        <v>600</v>
      </c>
      <c r="D2" t="s">
        <v>102</v>
      </c>
      <c r="E2">
        <v>2018</v>
      </c>
      <c r="F2">
        <v>1</v>
      </c>
      <c r="L2">
        <v>2035</v>
      </c>
      <c r="M2" t="s">
        <v>424</v>
      </c>
      <c r="N2" t="s">
        <v>601</v>
      </c>
      <c r="O2" t="s">
        <v>602</v>
      </c>
      <c r="P2" t="s">
        <v>603</v>
      </c>
      <c r="Q2" t="s">
        <v>604</v>
      </c>
      <c r="R2" t="s">
        <v>605</v>
      </c>
      <c r="S2" t="s">
        <v>519</v>
      </c>
      <c r="T2">
        <v>2</v>
      </c>
      <c r="U2" t="s">
        <v>331</v>
      </c>
      <c r="W2" t="s">
        <v>606</v>
      </c>
      <c r="Y2">
        <v>11.6</v>
      </c>
      <c r="Z2" t="s">
        <v>607</v>
      </c>
      <c r="AO2" t="s">
        <v>309</v>
      </c>
    </row>
    <row r="3" spans="1:62" ht="160">
      <c r="A3" t="s">
        <v>598</v>
      </c>
      <c r="B3" t="s">
        <v>599</v>
      </c>
      <c r="C3" t="s">
        <v>608</v>
      </c>
      <c r="D3" t="s">
        <v>102</v>
      </c>
      <c r="E3">
        <v>2018</v>
      </c>
      <c r="F3">
        <v>1</v>
      </c>
      <c r="G3">
        <v>3</v>
      </c>
      <c r="H3">
        <v>1</v>
      </c>
      <c r="J3">
        <v>1</v>
      </c>
      <c r="K3" t="s">
        <v>609</v>
      </c>
      <c r="L3">
        <v>2025</v>
      </c>
      <c r="M3">
        <v>1</v>
      </c>
      <c r="O3" t="s">
        <v>610</v>
      </c>
      <c r="P3" t="s">
        <v>611</v>
      </c>
      <c r="Q3" t="s">
        <v>612</v>
      </c>
      <c r="R3" s="234" t="s">
        <v>613</v>
      </c>
      <c r="S3" t="s">
        <v>440</v>
      </c>
      <c r="T3">
        <v>3</v>
      </c>
      <c r="U3" t="s">
        <v>331</v>
      </c>
      <c r="W3" t="s">
        <v>606</v>
      </c>
      <c r="Y3">
        <v>12.5</v>
      </c>
      <c r="Z3" t="s">
        <v>614</v>
      </c>
      <c r="AO3" t="s">
        <v>309</v>
      </c>
    </row>
    <row r="4" spans="1:62" hidden="1">
      <c r="A4" t="s">
        <v>598</v>
      </c>
      <c r="B4" t="s">
        <v>599</v>
      </c>
      <c r="C4" t="s">
        <v>608</v>
      </c>
      <c r="D4" t="s">
        <v>102</v>
      </c>
      <c r="E4">
        <v>2018</v>
      </c>
      <c r="F4">
        <v>1</v>
      </c>
      <c r="K4" t="s">
        <v>615</v>
      </c>
      <c r="L4">
        <v>2030</v>
      </c>
      <c r="M4" t="s">
        <v>424</v>
      </c>
      <c r="N4" t="s">
        <v>616</v>
      </c>
      <c r="W4" t="s">
        <v>617</v>
      </c>
      <c r="X4" t="s">
        <v>606</v>
      </c>
      <c r="Y4">
        <v>12.3</v>
      </c>
      <c r="Z4" t="s">
        <v>614</v>
      </c>
      <c r="AA4" t="s">
        <v>197</v>
      </c>
      <c r="AB4" t="s">
        <v>618</v>
      </c>
      <c r="AN4" t="s">
        <v>310</v>
      </c>
      <c r="AO4" t="s">
        <v>309</v>
      </c>
    </row>
    <row r="5" spans="1:62">
      <c r="A5" t="s">
        <v>598</v>
      </c>
      <c r="B5" t="s">
        <v>599</v>
      </c>
      <c r="C5" t="s">
        <v>608</v>
      </c>
      <c r="D5" t="s">
        <v>102</v>
      </c>
      <c r="E5">
        <v>2018</v>
      </c>
      <c r="F5">
        <v>1</v>
      </c>
      <c r="G5">
        <v>3</v>
      </c>
      <c r="H5">
        <v>1</v>
      </c>
      <c r="J5">
        <v>1</v>
      </c>
      <c r="K5" t="s">
        <v>619</v>
      </c>
      <c r="L5">
        <v>2025</v>
      </c>
      <c r="M5">
        <v>1</v>
      </c>
      <c r="O5" t="s">
        <v>602</v>
      </c>
      <c r="P5" t="s">
        <v>620</v>
      </c>
      <c r="Q5" t="s">
        <v>621</v>
      </c>
      <c r="R5" t="s">
        <v>622</v>
      </c>
      <c r="S5" t="s">
        <v>303</v>
      </c>
      <c r="T5">
        <v>2</v>
      </c>
      <c r="U5" t="s">
        <v>331</v>
      </c>
      <c r="W5" t="s">
        <v>623</v>
      </c>
      <c r="X5" t="s">
        <v>606</v>
      </c>
      <c r="Y5">
        <v>11.6</v>
      </c>
      <c r="Z5" t="s">
        <v>607</v>
      </c>
      <c r="AA5" t="s">
        <v>197</v>
      </c>
      <c r="AB5" t="s">
        <v>624</v>
      </c>
      <c r="AO5" t="s">
        <v>309</v>
      </c>
    </row>
    <row r="6" spans="1:62" ht="409.6" hidden="1">
      <c r="A6" t="s">
        <v>598</v>
      </c>
      <c r="B6" t="s">
        <v>599</v>
      </c>
      <c r="C6" t="s">
        <v>625</v>
      </c>
      <c r="D6" t="s">
        <v>102</v>
      </c>
      <c r="E6">
        <v>2012</v>
      </c>
      <c r="F6">
        <v>1</v>
      </c>
      <c r="G6">
        <v>2</v>
      </c>
      <c r="H6">
        <v>1</v>
      </c>
      <c r="K6" s="234" t="s">
        <v>626</v>
      </c>
      <c r="M6">
        <v>1</v>
      </c>
      <c r="N6" t="s">
        <v>627</v>
      </c>
      <c r="O6" t="s">
        <v>602</v>
      </c>
      <c r="U6" t="s">
        <v>331</v>
      </c>
      <c r="W6" t="s">
        <v>628</v>
      </c>
      <c r="X6" t="s">
        <v>623</v>
      </c>
      <c r="Y6">
        <v>12.5</v>
      </c>
      <c r="Z6" t="s">
        <v>614</v>
      </c>
      <c r="AA6" t="s">
        <v>197</v>
      </c>
      <c r="AB6" t="s">
        <v>629</v>
      </c>
      <c r="AO6" t="s">
        <v>309</v>
      </c>
    </row>
    <row r="7" spans="1:62" ht="409.6" hidden="1">
      <c r="A7" t="s">
        <v>598</v>
      </c>
      <c r="B7" t="s">
        <v>599</v>
      </c>
      <c r="C7" t="s">
        <v>625</v>
      </c>
      <c r="D7" t="s">
        <v>102</v>
      </c>
      <c r="E7">
        <v>2012</v>
      </c>
      <c r="F7">
        <v>1</v>
      </c>
      <c r="G7">
        <v>2</v>
      </c>
      <c r="H7">
        <v>1</v>
      </c>
      <c r="K7" s="234" t="s">
        <v>630</v>
      </c>
      <c r="M7">
        <v>1</v>
      </c>
      <c r="O7" t="s">
        <v>602</v>
      </c>
      <c r="U7" t="s">
        <v>331</v>
      </c>
      <c r="W7" t="s">
        <v>628</v>
      </c>
      <c r="X7" t="s">
        <v>623</v>
      </c>
      <c r="Y7">
        <v>12.5</v>
      </c>
      <c r="Z7" t="s">
        <v>614</v>
      </c>
      <c r="AA7" t="s">
        <v>197</v>
      </c>
      <c r="AB7" t="s">
        <v>629</v>
      </c>
      <c r="AO7" t="s">
        <v>309</v>
      </c>
    </row>
    <row r="8" spans="1:62" ht="409.6" hidden="1">
      <c r="A8" t="s">
        <v>598</v>
      </c>
      <c r="B8" t="s">
        <v>599</v>
      </c>
      <c r="C8" t="s">
        <v>625</v>
      </c>
      <c r="D8" t="s">
        <v>102</v>
      </c>
      <c r="E8">
        <v>2012</v>
      </c>
      <c r="F8">
        <v>1</v>
      </c>
      <c r="G8">
        <v>2</v>
      </c>
      <c r="H8">
        <v>1</v>
      </c>
      <c r="K8" s="234" t="s">
        <v>631</v>
      </c>
      <c r="M8">
        <v>1</v>
      </c>
      <c r="O8" t="s">
        <v>602</v>
      </c>
      <c r="U8" t="s">
        <v>331</v>
      </c>
      <c r="W8" t="s">
        <v>628</v>
      </c>
      <c r="X8" t="s">
        <v>623</v>
      </c>
      <c r="Y8">
        <v>12.5</v>
      </c>
      <c r="Z8" t="s">
        <v>614</v>
      </c>
      <c r="AA8" t="s">
        <v>197</v>
      </c>
      <c r="AB8" t="s">
        <v>629</v>
      </c>
      <c r="AO8" t="s">
        <v>309</v>
      </c>
    </row>
    <row r="9" spans="1:62" hidden="1">
      <c r="A9" t="s">
        <v>598</v>
      </c>
      <c r="B9" t="s">
        <v>599</v>
      </c>
      <c r="C9" t="s">
        <v>625</v>
      </c>
      <c r="D9" t="s">
        <v>102</v>
      </c>
      <c r="E9">
        <v>2012</v>
      </c>
      <c r="F9">
        <v>1</v>
      </c>
      <c r="G9">
        <v>2</v>
      </c>
      <c r="H9">
        <v>1</v>
      </c>
      <c r="K9" t="s">
        <v>632</v>
      </c>
      <c r="M9">
        <v>1</v>
      </c>
      <c r="O9" t="s">
        <v>602</v>
      </c>
      <c r="U9" t="s">
        <v>331</v>
      </c>
      <c r="W9" t="s">
        <v>628</v>
      </c>
      <c r="X9" t="s">
        <v>623</v>
      </c>
      <c r="Y9">
        <v>12.5</v>
      </c>
      <c r="Z9" t="s">
        <v>614</v>
      </c>
      <c r="AA9" t="s">
        <v>197</v>
      </c>
      <c r="AB9" t="s">
        <v>633</v>
      </c>
    </row>
    <row r="10" spans="1:62">
      <c r="A10" t="s">
        <v>598</v>
      </c>
      <c r="B10" t="s">
        <v>599</v>
      </c>
      <c r="C10" t="s">
        <v>634</v>
      </c>
      <c r="D10" t="s">
        <v>102</v>
      </c>
      <c r="E10">
        <v>2019</v>
      </c>
      <c r="F10">
        <v>1</v>
      </c>
      <c r="G10">
        <v>3</v>
      </c>
      <c r="H10">
        <v>1</v>
      </c>
      <c r="J10">
        <v>1</v>
      </c>
      <c r="K10" t="s">
        <v>635</v>
      </c>
      <c r="L10">
        <v>2029</v>
      </c>
      <c r="M10">
        <v>1</v>
      </c>
      <c r="O10" t="s">
        <v>636</v>
      </c>
      <c r="P10" t="s">
        <v>637</v>
      </c>
      <c r="Q10" t="s">
        <v>638</v>
      </c>
      <c r="R10" t="s">
        <v>639</v>
      </c>
      <c r="S10" t="s">
        <v>363</v>
      </c>
      <c r="T10">
        <v>2</v>
      </c>
      <c r="U10" t="s">
        <v>331</v>
      </c>
      <c r="W10" t="s">
        <v>640</v>
      </c>
      <c r="X10" t="s">
        <v>623</v>
      </c>
      <c r="Y10">
        <v>12.5</v>
      </c>
      <c r="Z10" t="s">
        <v>614</v>
      </c>
      <c r="AO10" t="s">
        <v>309</v>
      </c>
    </row>
    <row r="11" spans="1:62">
      <c r="A11" t="s">
        <v>598</v>
      </c>
      <c r="B11" t="s">
        <v>599</v>
      </c>
      <c r="C11" t="s">
        <v>634</v>
      </c>
      <c r="D11" t="s">
        <v>102</v>
      </c>
      <c r="E11">
        <v>2019</v>
      </c>
      <c r="F11">
        <v>1</v>
      </c>
      <c r="G11">
        <v>3</v>
      </c>
      <c r="H11">
        <v>1</v>
      </c>
      <c r="J11">
        <v>1</v>
      </c>
      <c r="K11" t="s">
        <v>641</v>
      </c>
      <c r="L11">
        <v>2030</v>
      </c>
      <c r="M11">
        <v>1</v>
      </c>
      <c r="O11" t="s">
        <v>636</v>
      </c>
      <c r="P11" t="s">
        <v>642</v>
      </c>
      <c r="Q11" t="s">
        <v>643</v>
      </c>
      <c r="R11" t="s">
        <v>644</v>
      </c>
      <c r="S11" t="s">
        <v>303</v>
      </c>
      <c r="T11">
        <v>2</v>
      </c>
      <c r="U11" t="s">
        <v>331</v>
      </c>
      <c r="W11" t="s">
        <v>640</v>
      </c>
      <c r="X11" t="s">
        <v>623</v>
      </c>
      <c r="Y11">
        <v>12.5</v>
      </c>
      <c r="Z11" t="s">
        <v>614</v>
      </c>
      <c r="AO11" t="s">
        <v>309</v>
      </c>
    </row>
    <row r="12" spans="1:62" hidden="1">
      <c r="A12" t="s">
        <v>598</v>
      </c>
      <c r="B12" t="s">
        <v>599</v>
      </c>
      <c r="C12" t="s">
        <v>645</v>
      </c>
      <c r="D12" t="s">
        <v>321</v>
      </c>
      <c r="E12">
        <v>2022</v>
      </c>
      <c r="F12">
        <v>0</v>
      </c>
      <c r="AO12" t="s">
        <v>309</v>
      </c>
    </row>
    <row r="13" spans="1:62">
      <c r="A13" t="s">
        <v>598</v>
      </c>
      <c r="B13" t="s">
        <v>599</v>
      </c>
      <c r="C13" t="s">
        <v>646</v>
      </c>
      <c r="D13" t="s">
        <v>110</v>
      </c>
      <c r="E13">
        <v>2022</v>
      </c>
      <c r="F13">
        <v>0</v>
      </c>
      <c r="G13">
        <v>2</v>
      </c>
      <c r="H13">
        <v>0</v>
      </c>
      <c r="I13">
        <v>1</v>
      </c>
      <c r="J13">
        <v>1</v>
      </c>
      <c r="K13" t="s">
        <v>647</v>
      </c>
      <c r="L13">
        <v>2030</v>
      </c>
      <c r="M13">
        <v>1</v>
      </c>
      <c r="O13" t="s">
        <v>648</v>
      </c>
      <c r="P13" t="s">
        <v>649</v>
      </c>
      <c r="Q13" t="s">
        <v>650</v>
      </c>
      <c r="R13" t="s">
        <v>651</v>
      </c>
      <c r="S13" t="s">
        <v>363</v>
      </c>
      <c r="T13">
        <v>3</v>
      </c>
      <c r="U13" t="s">
        <v>331</v>
      </c>
      <c r="W13" t="s">
        <v>623</v>
      </c>
      <c r="X13" t="s">
        <v>606</v>
      </c>
      <c r="Y13">
        <v>12.5</v>
      </c>
      <c r="Z13" t="s">
        <v>614</v>
      </c>
      <c r="AO13" t="s">
        <v>309</v>
      </c>
    </row>
    <row r="14" spans="1:62">
      <c r="A14" t="s">
        <v>598</v>
      </c>
      <c r="B14" t="s">
        <v>599</v>
      </c>
      <c r="C14" t="s">
        <v>646</v>
      </c>
      <c r="D14" t="s">
        <v>110</v>
      </c>
      <c r="E14">
        <v>2022</v>
      </c>
      <c r="F14">
        <v>0</v>
      </c>
      <c r="G14">
        <v>2</v>
      </c>
      <c r="H14">
        <v>0</v>
      </c>
      <c r="I14">
        <v>1</v>
      </c>
      <c r="J14">
        <v>1</v>
      </c>
      <c r="K14" t="s">
        <v>652</v>
      </c>
      <c r="L14">
        <v>2030</v>
      </c>
      <c r="M14">
        <v>1</v>
      </c>
      <c r="O14" t="s">
        <v>648</v>
      </c>
      <c r="P14" t="s">
        <v>653</v>
      </c>
      <c r="Q14" t="s">
        <v>654</v>
      </c>
      <c r="R14" t="s">
        <v>655</v>
      </c>
      <c r="S14" t="s">
        <v>363</v>
      </c>
      <c r="T14">
        <v>3</v>
      </c>
      <c r="U14" t="s">
        <v>331</v>
      </c>
      <c r="W14" t="s">
        <v>623</v>
      </c>
      <c r="X14" t="s">
        <v>606</v>
      </c>
      <c r="Y14">
        <v>12.5</v>
      </c>
      <c r="Z14" t="s">
        <v>614</v>
      </c>
      <c r="AO14" t="s">
        <v>309</v>
      </c>
    </row>
    <row r="15" spans="1:62">
      <c r="A15" t="s">
        <v>598</v>
      </c>
      <c r="B15" t="s">
        <v>599</v>
      </c>
      <c r="C15" t="s">
        <v>646</v>
      </c>
      <c r="D15" t="s">
        <v>110</v>
      </c>
      <c r="E15">
        <v>2022</v>
      </c>
      <c r="F15">
        <v>0</v>
      </c>
      <c r="G15">
        <v>2</v>
      </c>
      <c r="H15">
        <v>0</v>
      </c>
      <c r="I15">
        <v>1</v>
      </c>
      <c r="J15">
        <v>1</v>
      </c>
      <c r="K15" t="s">
        <v>656</v>
      </c>
      <c r="L15">
        <v>2030</v>
      </c>
      <c r="M15">
        <v>1</v>
      </c>
      <c r="O15" t="s">
        <v>648</v>
      </c>
      <c r="P15" t="s">
        <v>657</v>
      </c>
      <c r="Q15" t="s">
        <v>658</v>
      </c>
      <c r="R15" t="s">
        <v>659</v>
      </c>
      <c r="S15" t="s">
        <v>363</v>
      </c>
      <c r="T15">
        <v>3</v>
      </c>
      <c r="U15" t="s">
        <v>331</v>
      </c>
      <c r="W15" t="s">
        <v>623</v>
      </c>
      <c r="X15" t="s">
        <v>606</v>
      </c>
      <c r="Y15">
        <v>12.5</v>
      </c>
      <c r="Z15" t="s">
        <v>614</v>
      </c>
      <c r="AO15" t="s">
        <v>309</v>
      </c>
    </row>
    <row r="16" spans="1:62">
      <c r="A16" t="s">
        <v>598</v>
      </c>
      <c r="B16" t="s">
        <v>599</v>
      </c>
      <c r="C16" t="s">
        <v>646</v>
      </c>
      <c r="D16" t="s">
        <v>110</v>
      </c>
      <c r="E16">
        <v>2022</v>
      </c>
      <c r="F16">
        <v>0</v>
      </c>
      <c r="G16">
        <v>2</v>
      </c>
      <c r="H16">
        <v>0</v>
      </c>
      <c r="I16">
        <v>1</v>
      </c>
      <c r="J16">
        <v>1</v>
      </c>
      <c r="K16" t="s">
        <v>660</v>
      </c>
      <c r="L16">
        <v>2030</v>
      </c>
      <c r="M16">
        <v>1</v>
      </c>
      <c r="O16" t="s">
        <v>648</v>
      </c>
      <c r="P16" t="s">
        <v>661</v>
      </c>
      <c r="Q16" t="s">
        <v>662</v>
      </c>
      <c r="R16" t="s">
        <v>663</v>
      </c>
      <c r="S16" t="s">
        <v>363</v>
      </c>
      <c r="T16">
        <v>3</v>
      </c>
      <c r="U16" t="s">
        <v>331</v>
      </c>
      <c r="W16" t="s">
        <v>623</v>
      </c>
      <c r="X16" t="s">
        <v>606</v>
      </c>
      <c r="Y16">
        <v>12.5</v>
      </c>
      <c r="Z16" t="s">
        <v>614</v>
      </c>
      <c r="AO16" t="s">
        <v>309</v>
      </c>
    </row>
    <row r="17" spans="1:41">
      <c r="A17" t="s">
        <v>598</v>
      </c>
      <c r="B17" t="s">
        <v>599</v>
      </c>
      <c r="C17" t="s">
        <v>646</v>
      </c>
      <c r="D17" t="s">
        <v>110</v>
      </c>
      <c r="E17">
        <v>2022</v>
      </c>
      <c r="F17">
        <v>0</v>
      </c>
      <c r="G17">
        <v>2</v>
      </c>
      <c r="H17">
        <v>0</v>
      </c>
      <c r="I17">
        <v>1</v>
      </c>
      <c r="J17">
        <v>1</v>
      </c>
      <c r="K17" t="s">
        <v>664</v>
      </c>
      <c r="L17">
        <v>2030</v>
      </c>
      <c r="M17">
        <v>1</v>
      </c>
      <c r="O17" t="s">
        <v>648</v>
      </c>
      <c r="P17" t="s">
        <v>665</v>
      </c>
      <c r="Q17" t="s">
        <v>643</v>
      </c>
      <c r="R17" t="s">
        <v>666</v>
      </c>
      <c r="S17" t="s">
        <v>363</v>
      </c>
      <c r="T17">
        <v>3</v>
      </c>
      <c r="U17" t="s">
        <v>331</v>
      </c>
      <c r="W17" t="s">
        <v>623</v>
      </c>
      <c r="X17" t="s">
        <v>606</v>
      </c>
      <c r="Y17">
        <v>12.5</v>
      </c>
      <c r="Z17" t="s">
        <v>614</v>
      </c>
      <c r="AO17" t="s">
        <v>309</v>
      </c>
    </row>
    <row r="18" spans="1:41">
      <c r="A18" t="s">
        <v>598</v>
      </c>
      <c r="B18" t="s">
        <v>599</v>
      </c>
      <c r="C18" t="s">
        <v>646</v>
      </c>
      <c r="D18" t="s">
        <v>110</v>
      </c>
      <c r="E18">
        <v>2022</v>
      </c>
      <c r="F18">
        <v>0</v>
      </c>
      <c r="G18">
        <v>2</v>
      </c>
      <c r="H18">
        <v>0</v>
      </c>
      <c r="I18">
        <v>1</v>
      </c>
      <c r="J18">
        <v>1</v>
      </c>
      <c r="K18" t="s">
        <v>667</v>
      </c>
      <c r="L18">
        <v>2030</v>
      </c>
      <c r="M18">
        <v>1</v>
      </c>
      <c r="O18" t="s">
        <v>648</v>
      </c>
      <c r="P18" t="s">
        <v>668</v>
      </c>
      <c r="Q18" t="s">
        <v>669</v>
      </c>
      <c r="R18" t="s">
        <v>670</v>
      </c>
      <c r="S18" t="s">
        <v>519</v>
      </c>
      <c r="T18">
        <v>2</v>
      </c>
      <c r="U18" t="s">
        <v>331</v>
      </c>
      <c r="W18" t="s">
        <v>640</v>
      </c>
      <c r="X18" t="s">
        <v>623</v>
      </c>
      <c r="Y18">
        <v>12.5</v>
      </c>
      <c r="Z18" t="s">
        <v>614</v>
      </c>
      <c r="AO18" t="s">
        <v>309</v>
      </c>
    </row>
    <row r="19" spans="1:41">
      <c r="A19" t="s">
        <v>598</v>
      </c>
      <c r="B19" t="s">
        <v>599</v>
      </c>
      <c r="C19" t="s">
        <v>646</v>
      </c>
      <c r="D19" t="s">
        <v>110</v>
      </c>
      <c r="E19">
        <v>2022</v>
      </c>
      <c r="F19">
        <v>0</v>
      </c>
      <c r="G19">
        <v>2</v>
      </c>
      <c r="H19">
        <v>0</v>
      </c>
      <c r="I19">
        <v>1</v>
      </c>
      <c r="J19">
        <v>1</v>
      </c>
      <c r="K19" t="s">
        <v>671</v>
      </c>
      <c r="L19">
        <v>2030</v>
      </c>
      <c r="M19">
        <v>1</v>
      </c>
      <c r="O19" t="s">
        <v>648</v>
      </c>
      <c r="P19" t="s">
        <v>672</v>
      </c>
      <c r="Q19" t="s">
        <v>673</v>
      </c>
      <c r="R19" t="s">
        <v>674</v>
      </c>
      <c r="S19" t="s">
        <v>363</v>
      </c>
      <c r="T19">
        <v>2</v>
      </c>
      <c r="U19" t="s">
        <v>331</v>
      </c>
      <c r="W19" t="s">
        <v>606</v>
      </c>
      <c r="X19" t="s">
        <v>623</v>
      </c>
      <c r="Y19">
        <v>12.5</v>
      </c>
      <c r="Z19" t="s">
        <v>614</v>
      </c>
      <c r="AA19" t="s">
        <v>197</v>
      </c>
      <c r="AB19" t="s">
        <v>675</v>
      </c>
      <c r="AO19" t="s">
        <v>309</v>
      </c>
    </row>
    <row r="20" spans="1:41">
      <c r="A20" t="s">
        <v>598</v>
      </c>
      <c r="B20" t="s">
        <v>599</v>
      </c>
      <c r="C20" t="s">
        <v>646</v>
      </c>
      <c r="D20" t="s">
        <v>110</v>
      </c>
      <c r="E20">
        <v>2022</v>
      </c>
      <c r="F20">
        <v>0</v>
      </c>
      <c r="G20">
        <v>2</v>
      </c>
      <c r="H20">
        <v>0</v>
      </c>
      <c r="I20">
        <v>1</v>
      </c>
      <c r="J20">
        <v>1</v>
      </c>
      <c r="K20" t="s">
        <v>676</v>
      </c>
      <c r="L20">
        <v>2030</v>
      </c>
      <c r="M20">
        <v>1</v>
      </c>
      <c r="O20" t="s">
        <v>648</v>
      </c>
      <c r="P20" t="s">
        <v>677</v>
      </c>
      <c r="Q20" t="s">
        <v>678</v>
      </c>
      <c r="R20" t="s">
        <v>679</v>
      </c>
      <c r="S20" t="s">
        <v>356</v>
      </c>
      <c r="T20">
        <v>1</v>
      </c>
      <c r="U20" t="s">
        <v>331</v>
      </c>
      <c r="W20" t="s">
        <v>606</v>
      </c>
      <c r="X20" t="s">
        <v>623</v>
      </c>
      <c r="Y20">
        <v>12.5</v>
      </c>
      <c r="Z20" t="s">
        <v>614</v>
      </c>
      <c r="AO20" t="s">
        <v>309</v>
      </c>
    </row>
    <row r="21" spans="1:41">
      <c r="A21" t="s">
        <v>598</v>
      </c>
      <c r="B21" t="s">
        <v>599</v>
      </c>
      <c r="C21" t="s">
        <v>646</v>
      </c>
      <c r="D21" t="s">
        <v>110</v>
      </c>
      <c r="E21">
        <v>2022</v>
      </c>
      <c r="F21">
        <v>0</v>
      </c>
      <c r="G21">
        <v>2</v>
      </c>
      <c r="H21">
        <v>0</v>
      </c>
      <c r="I21">
        <v>1</v>
      </c>
      <c r="J21">
        <v>1</v>
      </c>
      <c r="K21" t="s">
        <v>680</v>
      </c>
      <c r="L21">
        <v>2025</v>
      </c>
      <c r="M21">
        <v>1</v>
      </c>
      <c r="O21" t="s">
        <v>636</v>
      </c>
      <c r="P21" t="s">
        <v>681</v>
      </c>
      <c r="Q21" t="s">
        <v>682</v>
      </c>
      <c r="R21" t="s">
        <v>683</v>
      </c>
      <c r="S21" t="s">
        <v>363</v>
      </c>
      <c r="T21">
        <v>2</v>
      </c>
      <c r="U21" t="s">
        <v>331</v>
      </c>
      <c r="W21" t="s">
        <v>640</v>
      </c>
      <c r="Y21">
        <v>12.5</v>
      </c>
      <c r="Z21" t="s">
        <v>614</v>
      </c>
      <c r="AA21" t="s">
        <v>197</v>
      </c>
      <c r="AB21" t="s">
        <v>684</v>
      </c>
      <c r="AO21" t="s">
        <v>309</v>
      </c>
    </row>
    <row r="22" spans="1:41" ht="409.6">
      <c r="A22" t="s">
        <v>598</v>
      </c>
      <c r="B22" t="s">
        <v>599</v>
      </c>
      <c r="C22" t="s">
        <v>646</v>
      </c>
      <c r="D22" t="s">
        <v>110</v>
      </c>
      <c r="E22">
        <v>2022</v>
      </c>
      <c r="F22">
        <v>0</v>
      </c>
      <c r="G22">
        <v>2</v>
      </c>
      <c r="H22">
        <v>0</v>
      </c>
      <c r="I22">
        <v>1</v>
      </c>
      <c r="J22">
        <v>1</v>
      </c>
      <c r="K22" s="234" t="s">
        <v>685</v>
      </c>
      <c r="L22">
        <v>2030</v>
      </c>
      <c r="M22">
        <v>1</v>
      </c>
      <c r="N22" t="s">
        <v>686</v>
      </c>
      <c r="O22" t="s">
        <v>636</v>
      </c>
      <c r="R22" t="s">
        <v>687</v>
      </c>
      <c r="S22" t="s">
        <v>303</v>
      </c>
      <c r="T22">
        <v>2</v>
      </c>
      <c r="U22" t="s">
        <v>331</v>
      </c>
      <c r="W22" t="s">
        <v>640</v>
      </c>
      <c r="X22" t="s">
        <v>623</v>
      </c>
      <c r="Y22">
        <v>12.5</v>
      </c>
      <c r="Z22" t="s">
        <v>614</v>
      </c>
      <c r="AO22" t="s">
        <v>309</v>
      </c>
    </row>
    <row r="23" spans="1:41">
      <c r="A23" t="s">
        <v>598</v>
      </c>
      <c r="B23" t="s">
        <v>599</v>
      </c>
      <c r="C23" t="s">
        <v>646</v>
      </c>
      <c r="D23" t="s">
        <v>110</v>
      </c>
      <c r="E23">
        <v>2022</v>
      </c>
      <c r="F23">
        <v>0</v>
      </c>
      <c r="G23">
        <v>2</v>
      </c>
      <c r="H23">
        <v>0</v>
      </c>
      <c r="I23">
        <v>1</v>
      </c>
      <c r="J23">
        <v>1</v>
      </c>
      <c r="K23" t="s">
        <v>688</v>
      </c>
      <c r="L23">
        <v>2030</v>
      </c>
      <c r="M23">
        <v>1</v>
      </c>
      <c r="N23" t="s">
        <v>689</v>
      </c>
      <c r="O23" t="s">
        <v>636</v>
      </c>
      <c r="P23" t="s">
        <v>690</v>
      </c>
      <c r="Q23" t="s">
        <v>691</v>
      </c>
      <c r="R23" t="s">
        <v>692</v>
      </c>
      <c r="T23">
        <v>0</v>
      </c>
      <c r="U23" t="s">
        <v>331</v>
      </c>
      <c r="W23" t="s">
        <v>623</v>
      </c>
      <c r="Y23">
        <v>12.5</v>
      </c>
      <c r="Z23" t="s">
        <v>614</v>
      </c>
      <c r="AA23" t="s">
        <v>197</v>
      </c>
      <c r="AB23" t="s">
        <v>675</v>
      </c>
      <c r="AO23" t="s">
        <v>309</v>
      </c>
    </row>
    <row r="24" spans="1:41" hidden="1">
      <c r="A24" t="s">
        <v>598</v>
      </c>
      <c r="B24" t="s">
        <v>599</v>
      </c>
      <c r="C24" t="s">
        <v>693</v>
      </c>
      <c r="D24" t="s">
        <v>110</v>
      </c>
      <c r="E24">
        <v>2023</v>
      </c>
      <c r="F24">
        <v>0</v>
      </c>
      <c r="M24" t="s">
        <v>424</v>
      </c>
    </row>
    <row r="25" spans="1:41" ht="272">
      <c r="A25" t="s">
        <v>598</v>
      </c>
      <c r="B25" t="s">
        <v>599</v>
      </c>
      <c r="C25" t="s">
        <v>608</v>
      </c>
      <c r="D25" t="s">
        <v>101</v>
      </c>
      <c r="E25">
        <v>2023</v>
      </c>
      <c r="F25">
        <v>0</v>
      </c>
      <c r="G25">
        <v>2</v>
      </c>
      <c r="H25">
        <v>0</v>
      </c>
      <c r="I25">
        <v>1</v>
      </c>
      <c r="J25">
        <v>1</v>
      </c>
      <c r="K25" t="s">
        <v>694</v>
      </c>
      <c r="L25">
        <v>2030</v>
      </c>
      <c r="M25">
        <v>1</v>
      </c>
      <c r="N25" s="234" t="s">
        <v>695</v>
      </c>
      <c r="O25" t="s">
        <v>696</v>
      </c>
      <c r="P25" t="s">
        <v>697</v>
      </c>
      <c r="Q25" t="s">
        <v>698</v>
      </c>
      <c r="R25" t="s">
        <v>699</v>
      </c>
      <c r="S25" t="s">
        <v>519</v>
      </c>
      <c r="T25">
        <v>2</v>
      </c>
      <c r="U25" t="s">
        <v>700</v>
      </c>
      <c r="V25" t="s">
        <v>701</v>
      </c>
      <c r="W25" t="s">
        <v>606</v>
      </c>
      <c r="X25" t="s">
        <v>617</v>
      </c>
      <c r="Y25">
        <v>12.3</v>
      </c>
      <c r="Z25" t="s">
        <v>614</v>
      </c>
      <c r="AA25" t="s">
        <v>702</v>
      </c>
      <c r="AB25" t="s">
        <v>618</v>
      </c>
    </row>
    <row r="26" spans="1:41" ht="208">
      <c r="A26" t="s">
        <v>598</v>
      </c>
      <c r="B26" t="s">
        <v>599</v>
      </c>
      <c r="C26" t="s">
        <v>608</v>
      </c>
      <c r="D26" t="s">
        <v>101</v>
      </c>
      <c r="E26">
        <v>2023</v>
      </c>
      <c r="F26">
        <v>0</v>
      </c>
      <c r="G26">
        <v>2</v>
      </c>
      <c r="H26">
        <v>0</v>
      </c>
      <c r="I26">
        <v>1</v>
      </c>
      <c r="J26">
        <v>1</v>
      </c>
      <c r="K26" t="s">
        <v>703</v>
      </c>
      <c r="L26">
        <v>2030</v>
      </c>
      <c r="M26">
        <v>1</v>
      </c>
      <c r="N26" s="234" t="s">
        <v>704</v>
      </c>
      <c r="O26" t="s">
        <v>696</v>
      </c>
      <c r="P26" t="s">
        <v>697</v>
      </c>
      <c r="Q26" t="s">
        <v>705</v>
      </c>
      <c r="R26" t="s">
        <v>699</v>
      </c>
      <c r="S26" t="s">
        <v>519</v>
      </c>
      <c r="T26">
        <v>2</v>
      </c>
      <c r="U26" t="s">
        <v>700</v>
      </c>
      <c r="V26" t="s">
        <v>701</v>
      </c>
      <c r="W26" t="s">
        <v>606</v>
      </c>
      <c r="X26" t="s">
        <v>617</v>
      </c>
      <c r="Y26">
        <v>12.3</v>
      </c>
      <c r="Z26" t="s">
        <v>614</v>
      </c>
      <c r="AA26" t="s">
        <v>702</v>
      </c>
      <c r="AB26" t="s">
        <v>618</v>
      </c>
    </row>
    <row r="27" spans="1:41" ht="350">
      <c r="A27" t="s">
        <v>598</v>
      </c>
      <c r="B27" t="s">
        <v>706</v>
      </c>
      <c r="C27" t="s">
        <v>707</v>
      </c>
      <c r="D27" t="s">
        <v>298</v>
      </c>
      <c r="E27">
        <v>2023</v>
      </c>
      <c r="F27">
        <v>1</v>
      </c>
      <c r="G27">
        <v>3</v>
      </c>
      <c r="H27">
        <v>1</v>
      </c>
      <c r="J27">
        <v>1</v>
      </c>
      <c r="K27" s="234" t="s">
        <v>708</v>
      </c>
      <c r="L27">
        <v>2027</v>
      </c>
      <c r="M27">
        <v>1</v>
      </c>
      <c r="O27" t="s">
        <v>709</v>
      </c>
      <c r="R27" t="s">
        <v>710</v>
      </c>
      <c r="T27">
        <v>2</v>
      </c>
      <c r="U27" t="s">
        <v>331</v>
      </c>
      <c r="W27" t="s">
        <v>711</v>
      </c>
      <c r="X27" t="s">
        <v>623</v>
      </c>
      <c r="Y27">
        <v>12.5</v>
      </c>
      <c r="Z27" t="s">
        <v>614</v>
      </c>
    </row>
    <row r="28" spans="1:41" ht="409.6">
      <c r="A28" t="s">
        <v>598</v>
      </c>
      <c r="B28" t="s">
        <v>706</v>
      </c>
      <c r="C28" t="s">
        <v>707</v>
      </c>
      <c r="D28" t="s">
        <v>298</v>
      </c>
      <c r="E28">
        <v>2023</v>
      </c>
      <c r="F28">
        <v>1</v>
      </c>
      <c r="G28">
        <v>3</v>
      </c>
      <c r="H28">
        <v>1</v>
      </c>
      <c r="J28">
        <v>1</v>
      </c>
      <c r="K28" s="234" t="s">
        <v>712</v>
      </c>
      <c r="L28">
        <v>2027</v>
      </c>
      <c r="M28">
        <v>1</v>
      </c>
      <c r="N28" t="s">
        <v>713</v>
      </c>
      <c r="O28" t="s">
        <v>709</v>
      </c>
      <c r="R28" t="s">
        <v>714</v>
      </c>
      <c r="T28">
        <v>3</v>
      </c>
      <c r="U28" t="s">
        <v>331</v>
      </c>
      <c r="W28" t="s">
        <v>711</v>
      </c>
      <c r="X28" t="s">
        <v>623</v>
      </c>
      <c r="Y28">
        <v>12.5</v>
      </c>
      <c r="Z28" t="s">
        <v>614</v>
      </c>
    </row>
    <row r="29" spans="1:41" ht="409.6">
      <c r="A29" t="s">
        <v>598</v>
      </c>
      <c r="B29" t="s">
        <v>706</v>
      </c>
      <c r="C29" t="s">
        <v>707</v>
      </c>
      <c r="D29" t="s">
        <v>298</v>
      </c>
      <c r="E29">
        <v>2023</v>
      </c>
      <c r="F29">
        <v>1</v>
      </c>
      <c r="G29">
        <v>3</v>
      </c>
      <c r="H29">
        <v>1</v>
      </c>
      <c r="J29">
        <v>1</v>
      </c>
      <c r="K29" s="234" t="s">
        <v>715</v>
      </c>
      <c r="L29">
        <v>2030</v>
      </c>
      <c r="M29">
        <v>1</v>
      </c>
      <c r="O29" t="s">
        <v>709</v>
      </c>
      <c r="R29" t="s">
        <v>716</v>
      </c>
      <c r="T29">
        <v>2</v>
      </c>
      <c r="U29" t="s">
        <v>331</v>
      </c>
      <c r="W29" t="s">
        <v>711</v>
      </c>
      <c r="X29" t="s">
        <v>623</v>
      </c>
      <c r="Y29">
        <v>12.5</v>
      </c>
      <c r="Z29" t="s">
        <v>614</v>
      </c>
    </row>
    <row r="30" spans="1:41" ht="409.6">
      <c r="A30" t="s">
        <v>598</v>
      </c>
      <c r="B30" t="s">
        <v>706</v>
      </c>
      <c r="C30" t="s">
        <v>707</v>
      </c>
      <c r="D30" t="s">
        <v>298</v>
      </c>
      <c r="E30">
        <v>2023</v>
      </c>
      <c r="F30">
        <v>1</v>
      </c>
      <c r="G30">
        <v>3</v>
      </c>
      <c r="H30">
        <v>1</v>
      </c>
      <c r="J30">
        <v>1</v>
      </c>
      <c r="K30" s="234" t="s">
        <v>717</v>
      </c>
      <c r="L30">
        <v>2030</v>
      </c>
      <c r="M30">
        <v>1</v>
      </c>
      <c r="N30" t="s">
        <v>718</v>
      </c>
      <c r="O30" t="s">
        <v>709</v>
      </c>
      <c r="R30" s="234" t="s">
        <v>719</v>
      </c>
      <c r="T30">
        <v>3</v>
      </c>
      <c r="U30" t="s">
        <v>331</v>
      </c>
      <c r="W30" t="s">
        <v>711</v>
      </c>
      <c r="X30" t="s">
        <v>623</v>
      </c>
      <c r="Y30">
        <v>12.5</v>
      </c>
      <c r="Z30" t="s">
        <v>614</v>
      </c>
      <c r="AO30" t="s">
        <v>309</v>
      </c>
    </row>
    <row r="31" spans="1:41" ht="350">
      <c r="A31" t="s">
        <v>598</v>
      </c>
      <c r="B31" t="s">
        <v>706</v>
      </c>
      <c r="C31" t="s">
        <v>707</v>
      </c>
      <c r="D31" t="s">
        <v>298</v>
      </c>
      <c r="E31">
        <v>2023</v>
      </c>
      <c r="F31">
        <v>1</v>
      </c>
      <c r="G31">
        <v>3</v>
      </c>
      <c r="H31">
        <v>1</v>
      </c>
      <c r="J31">
        <v>1</v>
      </c>
      <c r="K31" s="234" t="s">
        <v>720</v>
      </c>
      <c r="L31">
        <v>2027</v>
      </c>
      <c r="M31">
        <v>1</v>
      </c>
      <c r="O31" t="s">
        <v>709</v>
      </c>
      <c r="P31" t="s">
        <v>721</v>
      </c>
      <c r="Q31" t="s">
        <v>722</v>
      </c>
      <c r="R31" t="s">
        <v>723</v>
      </c>
      <c r="T31">
        <v>1</v>
      </c>
      <c r="U31" t="s">
        <v>331</v>
      </c>
      <c r="W31" t="s">
        <v>711</v>
      </c>
      <c r="X31" t="s">
        <v>623</v>
      </c>
      <c r="Y31">
        <v>12.5</v>
      </c>
      <c r="Z31" t="s">
        <v>614</v>
      </c>
    </row>
    <row r="32" spans="1:41" ht="365">
      <c r="A32" t="s">
        <v>598</v>
      </c>
      <c r="B32" t="s">
        <v>706</v>
      </c>
      <c r="C32" t="s">
        <v>707</v>
      </c>
      <c r="D32" t="s">
        <v>298</v>
      </c>
      <c r="E32">
        <v>2023</v>
      </c>
      <c r="F32">
        <v>1</v>
      </c>
      <c r="G32">
        <v>3</v>
      </c>
      <c r="H32">
        <v>1</v>
      </c>
      <c r="J32">
        <v>1</v>
      </c>
      <c r="K32" s="234" t="s">
        <v>724</v>
      </c>
      <c r="L32">
        <v>2031</v>
      </c>
      <c r="M32">
        <v>1</v>
      </c>
      <c r="O32" t="s">
        <v>709</v>
      </c>
      <c r="P32" t="s">
        <v>725</v>
      </c>
      <c r="Q32" t="s">
        <v>726</v>
      </c>
      <c r="R32" t="s">
        <v>727</v>
      </c>
      <c r="T32">
        <v>0</v>
      </c>
      <c r="U32" t="s">
        <v>331</v>
      </c>
      <c r="W32" t="s">
        <v>711</v>
      </c>
      <c r="X32" t="s">
        <v>623</v>
      </c>
      <c r="Y32">
        <v>12.5</v>
      </c>
      <c r="Z32" t="s">
        <v>614</v>
      </c>
    </row>
    <row r="33" spans="1:41">
      <c r="A33" t="s">
        <v>598</v>
      </c>
      <c r="B33" t="s">
        <v>706</v>
      </c>
      <c r="C33" t="s">
        <v>707</v>
      </c>
      <c r="D33" t="s">
        <v>298</v>
      </c>
      <c r="E33">
        <v>2023</v>
      </c>
      <c r="F33">
        <v>1</v>
      </c>
      <c r="G33">
        <v>3</v>
      </c>
      <c r="H33">
        <v>1</v>
      </c>
      <c r="J33">
        <v>1</v>
      </c>
      <c r="K33" t="s">
        <v>728</v>
      </c>
      <c r="L33">
        <v>2028</v>
      </c>
      <c r="M33">
        <v>1</v>
      </c>
      <c r="O33" t="s">
        <v>709</v>
      </c>
      <c r="P33" t="s">
        <v>729</v>
      </c>
      <c r="Q33" t="s">
        <v>730</v>
      </c>
      <c r="R33" t="s">
        <v>731</v>
      </c>
      <c r="T33">
        <v>0</v>
      </c>
      <c r="U33" t="s">
        <v>331</v>
      </c>
      <c r="W33" t="s">
        <v>711</v>
      </c>
      <c r="X33" t="s">
        <v>623</v>
      </c>
      <c r="Y33">
        <v>12.5</v>
      </c>
      <c r="Z33" t="s">
        <v>614</v>
      </c>
    </row>
    <row r="34" spans="1:41" ht="409.6">
      <c r="A34" t="s">
        <v>598</v>
      </c>
      <c r="B34" t="s">
        <v>706</v>
      </c>
      <c r="C34" t="s">
        <v>707</v>
      </c>
      <c r="D34" t="s">
        <v>298</v>
      </c>
      <c r="E34">
        <v>2023</v>
      </c>
      <c r="F34">
        <v>1</v>
      </c>
      <c r="G34">
        <v>3</v>
      </c>
      <c r="H34">
        <v>1</v>
      </c>
      <c r="J34">
        <v>1</v>
      </c>
      <c r="K34" s="234" t="s">
        <v>732</v>
      </c>
      <c r="L34">
        <v>2023</v>
      </c>
      <c r="M34">
        <v>1</v>
      </c>
      <c r="N34" t="s">
        <v>733</v>
      </c>
      <c r="O34" t="s">
        <v>709</v>
      </c>
      <c r="P34" t="s">
        <v>734</v>
      </c>
      <c r="Q34" t="s">
        <v>735</v>
      </c>
      <c r="R34" s="234" t="s">
        <v>736</v>
      </c>
      <c r="T34">
        <v>0</v>
      </c>
      <c r="U34" t="s">
        <v>331</v>
      </c>
      <c r="W34" t="s">
        <v>711</v>
      </c>
      <c r="X34" t="s">
        <v>623</v>
      </c>
      <c r="Y34">
        <v>12.5</v>
      </c>
      <c r="Z34" t="s">
        <v>614</v>
      </c>
      <c r="AO34" t="s">
        <v>309</v>
      </c>
    </row>
    <row r="35" spans="1:41">
      <c r="A35" t="s">
        <v>598</v>
      </c>
      <c r="B35" t="s">
        <v>706</v>
      </c>
      <c r="C35" t="s">
        <v>707</v>
      </c>
      <c r="D35" t="s">
        <v>298</v>
      </c>
      <c r="E35">
        <v>2023</v>
      </c>
      <c r="F35">
        <v>1</v>
      </c>
      <c r="G35">
        <v>3</v>
      </c>
      <c r="H35">
        <v>1</v>
      </c>
      <c r="J35">
        <v>1</v>
      </c>
      <c r="K35" t="s">
        <v>737</v>
      </c>
      <c r="M35">
        <v>1</v>
      </c>
      <c r="O35" t="s">
        <v>709</v>
      </c>
      <c r="R35" t="s">
        <v>738</v>
      </c>
      <c r="T35">
        <v>1</v>
      </c>
      <c r="U35" t="s">
        <v>331</v>
      </c>
      <c r="W35" t="s">
        <v>711</v>
      </c>
      <c r="X35" t="s">
        <v>623</v>
      </c>
      <c r="Y35">
        <v>12.5</v>
      </c>
      <c r="Z35" t="s">
        <v>614</v>
      </c>
    </row>
    <row r="36" spans="1:41" hidden="1">
      <c r="A36" t="s">
        <v>598</v>
      </c>
      <c r="B36" t="s">
        <v>739</v>
      </c>
    </row>
    <row r="37" spans="1:41" hidden="1">
      <c r="A37" t="s">
        <v>598</v>
      </c>
      <c r="B37" t="s">
        <v>740</v>
      </c>
      <c r="C37" t="s">
        <v>741</v>
      </c>
      <c r="D37" t="s">
        <v>321</v>
      </c>
      <c r="E37">
        <v>2023</v>
      </c>
      <c r="F37">
        <v>0</v>
      </c>
    </row>
    <row r="38" spans="1:41">
      <c r="A38" t="s">
        <v>598</v>
      </c>
      <c r="B38" t="s">
        <v>740</v>
      </c>
      <c r="C38" t="s">
        <v>742</v>
      </c>
      <c r="D38" t="s">
        <v>110</v>
      </c>
      <c r="E38">
        <v>2023</v>
      </c>
      <c r="F38">
        <v>0</v>
      </c>
      <c r="G38">
        <v>2</v>
      </c>
      <c r="H38">
        <v>0</v>
      </c>
      <c r="I38">
        <v>1</v>
      </c>
      <c r="J38">
        <v>1</v>
      </c>
      <c r="K38" t="s">
        <v>743</v>
      </c>
      <c r="L38">
        <v>2040</v>
      </c>
      <c r="M38">
        <v>1</v>
      </c>
      <c r="O38" t="s">
        <v>744</v>
      </c>
      <c r="U38" t="s">
        <v>331</v>
      </c>
      <c r="W38" t="s">
        <v>401</v>
      </c>
      <c r="Y38">
        <v>12.2</v>
      </c>
      <c r="Z38" t="s">
        <v>614</v>
      </c>
    </row>
    <row r="39" spans="1:41">
      <c r="A39" t="s">
        <v>598</v>
      </c>
      <c r="B39" t="s">
        <v>740</v>
      </c>
      <c r="C39" t="s">
        <v>745</v>
      </c>
      <c r="D39" t="s">
        <v>110</v>
      </c>
      <c r="E39">
        <v>2023</v>
      </c>
      <c r="F39">
        <v>0</v>
      </c>
      <c r="G39">
        <v>2</v>
      </c>
      <c r="H39">
        <v>0</v>
      </c>
      <c r="I39">
        <v>1</v>
      </c>
      <c r="J39">
        <v>1</v>
      </c>
      <c r="K39" t="s">
        <v>746</v>
      </c>
      <c r="L39">
        <v>2030</v>
      </c>
      <c r="M39">
        <v>1</v>
      </c>
      <c r="O39" t="s">
        <v>744</v>
      </c>
      <c r="P39" t="s">
        <v>747</v>
      </c>
      <c r="Q39">
        <v>0.65</v>
      </c>
      <c r="R39" t="s">
        <v>748</v>
      </c>
      <c r="T39">
        <v>2</v>
      </c>
      <c r="U39" t="s">
        <v>331</v>
      </c>
      <c r="W39" t="s">
        <v>401</v>
      </c>
      <c r="Y39">
        <v>12.2</v>
      </c>
      <c r="Z39" t="s">
        <v>614</v>
      </c>
      <c r="AA39" t="s">
        <v>749</v>
      </c>
    </row>
    <row r="40" spans="1:41" ht="409.6">
      <c r="A40" t="s">
        <v>598</v>
      </c>
      <c r="B40" t="s">
        <v>740</v>
      </c>
      <c r="C40" t="s">
        <v>745</v>
      </c>
      <c r="D40" t="s">
        <v>110</v>
      </c>
      <c r="E40">
        <v>2023</v>
      </c>
      <c r="F40">
        <v>0</v>
      </c>
      <c r="G40">
        <v>2</v>
      </c>
      <c r="H40">
        <v>0</v>
      </c>
      <c r="I40">
        <v>1</v>
      </c>
      <c r="J40">
        <v>1</v>
      </c>
      <c r="K40" t="s">
        <v>750</v>
      </c>
      <c r="L40">
        <v>2030</v>
      </c>
      <c r="M40">
        <v>1</v>
      </c>
      <c r="N40" t="s">
        <v>751</v>
      </c>
      <c r="O40" t="s">
        <v>744</v>
      </c>
      <c r="P40" t="s">
        <v>752</v>
      </c>
      <c r="Q40">
        <v>0.15</v>
      </c>
      <c r="R40" s="234" t="s">
        <v>753</v>
      </c>
      <c r="T40">
        <v>2</v>
      </c>
      <c r="U40" t="s">
        <v>331</v>
      </c>
      <c r="W40" t="s">
        <v>401</v>
      </c>
      <c r="X40" t="s">
        <v>623</v>
      </c>
      <c r="Y40">
        <v>12.2</v>
      </c>
      <c r="Z40" t="s">
        <v>614</v>
      </c>
      <c r="AA40" t="s">
        <v>754</v>
      </c>
      <c r="AB40" t="s">
        <v>755</v>
      </c>
    </row>
    <row r="41" spans="1:41" ht="409.6">
      <c r="A41" t="s">
        <v>598</v>
      </c>
      <c r="B41" t="s">
        <v>740</v>
      </c>
      <c r="C41" t="s">
        <v>745</v>
      </c>
      <c r="D41" t="s">
        <v>110</v>
      </c>
      <c r="E41">
        <v>2023</v>
      </c>
      <c r="F41">
        <v>0</v>
      </c>
      <c r="G41">
        <v>2</v>
      </c>
      <c r="H41">
        <v>0</v>
      </c>
      <c r="I41">
        <v>1</v>
      </c>
      <c r="J41">
        <v>1</v>
      </c>
      <c r="K41" t="s">
        <v>756</v>
      </c>
      <c r="L41">
        <v>2030</v>
      </c>
      <c r="M41">
        <v>1</v>
      </c>
      <c r="N41" t="s">
        <v>757</v>
      </c>
      <c r="O41" t="s">
        <v>744</v>
      </c>
      <c r="P41" t="s">
        <v>758</v>
      </c>
      <c r="Q41">
        <v>0.4</v>
      </c>
      <c r="R41" s="234" t="s">
        <v>759</v>
      </c>
      <c r="T41">
        <v>2</v>
      </c>
      <c r="U41" t="s">
        <v>331</v>
      </c>
      <c r="W41" t="s">
        <v>401</v>
      </c>
      <c r="Y41">
        <v>12.2</v>
      </c>
      <c r="Z41" t="s">
        <v>614</v>
      </c>
      <c r="AA41" t="s">
        <v>754</v>
      </c>
      <c r="AB41" t="s">
        <v>760</v>
      </c>
      <c r="AC41" t="s">
        <v>761</v>
      </c>
    </row>
    <row r="42" spans="1:41" ht="409.6">
      <c r="A42" t="s">
        <v>598</v>
      </c>
      <c r="B42" t="s">
        <v>740</v>
      </c>
      <c r="C42" t="s">
        <v>745</v>
      </c>
      <c r="D42" t="s">
        <v>110</v>
      </c>
      <c r="E42">
        <v>2023</v>
      </c>
      <c r="F42">
        <v>0</v>
      </c>
      <c r="G42">
        <v>2</v>
      </c>
      <c r="H42">
        <v>0</v>
      </c>
      <c r="I42">
        <v>1</v>
      </c>
      <c r="J42">
        <v>1</v>
      </c>
      <c r="K42" t="s">
        <v>762</v>
      </c>
      <c r="L42">
        <v>2030</v>
      </c>
      <c r="M42">
        <v>1</v>
      </c>
      <c r="N42" t="s">
        <v>763</v>
      </c>
      <c r="O42" t="s">
        <v>744</v>
      </c>
      <c r="P42" t="s">
        <v>764</v>
      </c>
      <c r="Q42">
        <v>0.1</v>
      </c>
      <c r="R42" s="234" t="s">
        <v>765</v>
      </c>
      <c r="T42">
        <v>2</v>
      </c>
      <c r="U42" t="s">
        <v>498</v>
      </c>
      <c r="W42" t="s">
        <v>401</v>
      </c>
      <c r="Y42">
        <v>12.2</v>
      </c>
      <c r="Z42" t="s">
        <v>614</v>
      </c>
      <c r="AA42" t="s">
        <v>754</v>
      </c>
      <c r="AB42" t="s">
        <v>760</v>
      </c>
      <c r="AC42" t="s">
        <v>761</v>
      </c>
    </row>
    <row r="43" spans="1:41" hidden="1">
      <c r="A43" t="s">
        <v>598</v>
      </c>
      <c r="B43" t="s">
        <v>740</v>
      </c>
      <c r="C43" t="s">
        <v>766</v>
      </c>
      <c r="D43" t="s">
        <v>321</v>
      </c>
      <c r="E43">
        <v>2020</v>
      </c>
      <c r="F43">
        <v>0</v>
      </c>
      <c r="M43" t="s">
        <v>424</v>
      </c>
    </row>
    <row r="44" spans="1:41" hidden="1">
      <c r="A44" t="s">
        <v>598</v>
      </c>
      <c r="B44" t="s">
        <v>740</v>
      </c>
      <c r="C44" t="s">
        <v>767</v>
      </c>
      <c r="D44" t="s">
        <v>321</v>
      </c>
      <c r="E44">
        <v>2021</v>
      </c>
      <c r="F44">
        <v>0</v>
      </c>
      <c r="M44" t="s">
        <v>424</v>
      </c>
    </row>
    <row r="45" spans="1:41">
      <c r="A45" t="s">
        <v>598</v>
      </c>
      <c r="B45" t="s">
        <v>768</v>
      </c>
      <c r="C45" t="s">
        <v>769</v>
      </c>
      <c r="D45" t="s">
        <v>321</v>
      </c>
      <c r="E45">
        <v>2022</v>
      </c>
      <c r="F45">
        <v>0</v>
      </c>
      <c r="G45">
        <v>0</v>
      </c>
      <c r="H45">
        <v>0</v>
      </c>
      <c r="I45">
        <v>0</v>
      </c>
      <c r="J45">
        <v>1</v>
      </c>
      <c r="K45" t="s">
        <v>770</v>
      </c>
      <c r="L45">
        <v>2030</v>
      </c>
      <c r="M45">
        <v>0</v>
      </c>
      <c r="O45" t="s">
        <v>610</v>
      </c>
      <c r="R45" t="s">
        <v>771</v>
      </c>
      <c r="T45">
        <v>2</v>
      </c>
      <c r="Y45">
        <v>12.5</v>
      </c>
      <c r="Z45" t="s">
        <v>614</v>
      </c>
    </row>
    <row r="46" spans="1:41">
      <c r="A46" t="s">
        <v>598</v>
      </c>
      <c r="B46" t="s">
        <v>768</v>
      </c>
      <c r="C46" t="s">
        <v>769</v>
      </c>
      <c r="D46" t="s">
        <v>321</v>
      </c>
      <c r="E46">
        <v>2022</v>
      </c>
      <c r="F46">
        <v>0</v>
      </c>
      <c r="G46">
        <v>0</v>
      </c>
      <c r="H46">
        <v>0</v>
      </c>
      <c r="I46">
        <v>0</v>
      </c>
      <c r="J46">
        <v>1</v>
      </c>
      <c r="K46" t="s">
        <v>772</v>
      </c>
      <c r="L46">
        <v>2030</v>
      </c>
      <c r="M46">
        <v>0</v>
      </c>
      <c r="O46" t="s">
        <v>610</v>
      </c>
      <c r="R46" t="s">
        <v>773</v>
      </c>
      <c r="T46">
        <v>0</v>
      </c>
      <c r="Y46">
        <v>12.5</v>
      </c>
      <c r="Z46" t="s">
        <v>614</v>
      </c>
    </row>
    <row r="47" spans="1:41">
      <c r="A47" t="s">
        <v>598</v>
      </c>
      <c r="B47" t="s">
        <v>768</v>
      </c>
      <c r="C47" t="s">
        <v>774</v>
      </c>
      <c r="D47" t="s">
        <v>321</v>
      </c>
      <c r="E47">
        <v>2020</v>
      </c>
      <c r="F47">
        <v>0</v>
      </c>
      <c r="G47">
        <v>1</v>
      </c>
      <c r="H47">
        <v>0</v>
      </c>
      <c r="I47">
        <v>0</v>
      </c>
      <c r="J47">
        <v>1</v>
      </c>
      <c r="K47" t="s">
        <v>775</v>
      </c>
      <c r="L47">
        <v>2030</v>
      </c>
      <c r="M47">
        <v>1</v>
      </c>
      <c r="O47" t="s">
        <v>602</v>
      </c>
      <c r="P47" t="s">
        <v>776</v>
      </c>
      <c r="Q47">
        <v>0.23400000000000001</v>
      </c>
      <c r="R47" t="s">
        <v>777</v>
      </c>
      <c r="S47" t="s">
        <v>519</v>
      </c>
      <c r="T47">
        <v>1</v>
      </c>
      <c r="U47" t="s">
        <v>778</v>
      </c>
      <c r="V47" t="s">
        <v>779</v>
      </c>
      <c r="W47" t="s">
        <v>623</v>
      </c>
      <c r="Y47">
        <v>12.5</v>
      </c>
      <c r="Z47" t="s">
        <v>614</v>
      </c>
      <c r="AB47" t="s">
        <v>780</v>
      </c>
      <c r="AO47" t="s">
        <v>309</v>
      </c>
    </row>
    <row r="48" spans="1:41">
      <c r="A48" t="s">
        <v>598</v>
      </c>
      <c r="B48" t="s">
        <v>768</v>
      </c>
      <c r="C48" t="s">
        <v>774</v>
      </c>
      <c r="D48" t="s">
        <v>321</v>
      </c>
      <c r="E48">
        <v>2020</v>
      </c>
      <c r="F48">
        <v>0</v>
      </c>
      <c r="G48">
        <v>1</v>
      </c>
      <c r="H48">
        <v>0</v>
      </c>
      <c r="I48">
        <v>0</v>
      </c>
      <c r="J48">
        <v>1</v>
      </c>
      <c r="K48" t="s">
        <v>781</v>
      </c>
      <c r="L48">
        <v>2035</v>
      </c>
      <c r="M48">
        <v>1</v>
      </c>
      <c r="O48" t="s">
        <v>602</v>
      </c>
      <c r="P48" t="s">
        <v>782</v>
      </c>
      <c r="Q48">
        <v>0.1</v>
      </c>
      <c r="R48" t="s">
        <v>783</v>
      </c>
      <c r="T48">
        <v>2</v>
      </c>
      <c r="U48" t="s">
        <v>784</v>
      </c>
      <c r="V48" t="s">
        <v>785</v>
      </c>
      <c r="W48" t="s">
        <v>606</v>
      </c>
      <c r="Y48">
        <v>11.6</v>
      </c>
      <c r="Z48" t="s">
        <v>607</v>
      </c>
      <c r="AA48" t="s">
        <v>197</v>
      </c>
      <c r="AB48" t="s">
        <v>786</v>
      </c>
      <c r="AO48" t="s">
        <v>309</v>
      </c>
    </row>
    <row r="49" spans="1:41" ht="32">
      <c r="A49" t="s">
        <v>598</v>
      </c>
      <c r="B49" t="s">
        <v>768</v>
      </c>
      <c r="C49" t="s">
        <v>774</v>
      </c>
      <c r="D49" t="s">
        <v>321</v>
      </c>
      <c r="E49">
        <v>2020</v>
      </c>
      <c r="F49">
        <v>0</v>
      </c>
      <c r="G49">
        <v>1</v>
      </c>
      <c r="H49">
        <v>0</v>
      </c>
      <c r="I49">
        <v>0</v>
      </c>
      <c r="J49">
        <v>1</v>
      </c>
      <c r="K49" t="s">
        <v>787</v>
      </c>
      <c r="L49">
        <v>2030</v>
      </c>
      <c r="M49">
        <v>1</v>
      </c>
      <c r="O49" t="s">
        <v>602</v>
      </c>
      <c r="P49" t="s">
        <v>788</v>
      </c>
      <c r="Q49">
        <v>0.5</v>
      </c>
      <c r="R49" t="s">
        <v>789</v>
      </c>
      <c r="S49" t="s">
        <v>519</v>
      </c>
      <c r="T49">
        <v>2</v>
      </c>
      <c r="U49" t="s">
        <v>784</v>
      </c>
      <c r="V49" s="234" t="s">
        <v>790</v>
      </c>
      <c r="W49" t="s">
        <v>606</v>
      </c>
      <c r="Y49">
        <v>11.6</v>
      </c>
      <c r="Z49" t="s">
        <v>607</v>
      </c>
      <c r="AA49" t="s">
        <v>197</v>
      </c>
      <c r="AB49" t="s">
        <v>624</v>
      </c>
      <c r="AC49" t="s">
        <v>791</v>
      </c>
      <c r="AO49" t="s">
        <v>309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49"/>
  <sheetViews>
    <sheetView workbookViewId="0">
      <selection activeCell="J49" sqref="J49"/>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hidden="1">
      <c r="A2" t="s">
        <v>598</v>
      </c>
      <c r="B2" t="s">
        <v>599</v>
      </c>
      <c r="C2" t="s">
        <v>600</v>
      </c>
      <c r="D2" t="s">
        <v>102</v>
      </c>
      <c r="E2">
        <v>2018</v>
      </c>
      <c r="F2">
        <v>1</v>
      </c>
      <c r="L2">
        <v>2035</v>
      </c>
      <c r="M2" t="s">
        <v>424</v>
      </c>
      <c r="N2" t="s">
        <v>601</v>
      </c>
      <c r="O2" t="s">
        <v>602</v>
      </c>
      <c r="P2" t="s">
        <v>603</v>
      </c>
      <c r="Q2" t="s">
        <v>604</v>
      </c>
      <c r="R2" t="s">
        <v>605</v>
      </c>
      <c r="S2" t="s">
        <v>519</v>
      </c>
      <c r="T2">
        <v>2</v>
      </c>
      <c r="U2" t="s">
        <v>331</v>
      </c>
      <c r="W2" t="s">
        <v>606</v>
      </c>
      <c r="Y2">
        <v>11.6</v>
      </c>
      <c r="Z2" t="s">
        <v>607</v>
      </c>
      <c r="AO2" t="s">
        <v>309</v>
      </c>
    </row>
    <row r="3" spans="1:62" ht="160">
      <c r="A3" t="s">
        <v>598</v>
      </c>
      <c r="B3" t="s">
        <v>599</v>
      </c>
      <c r="C3" t="s">
        <v>608</v>
      </c>
      <c r="D3" t="s">
        <v>102</v>
      </c>
      <c r="E3">
        <v>2018</v>
      </c>
      <c r="F3">
        <v>1</v>
      </c>
      <c r="G3">
        <v>3</v>
      </c>
      <c r="H3">
        <v>1</v>
      </c>
      <c r="J3">
        <v>1</v>
      </c>
      <c r="K3" t="s">
        <v>609</v>
      </c>
      <c r="L3">
        <v>2025</v>
      </c>
      <c r="M3">
        <v>1</v>
      </c>
      <c r="O3" t="s">
        <v>610</v>
      </c>
      <c r="P3" t="s">
        <v>611</v>
      </c>
      <c r="Q3" t="s">
        <v>612</v>
      </c>
      <c r="R3" s="234" t="s">
        <v>613</v>
      </c>
      <c r="S3" t="s">
        <v>440</v>
      </c>
      <c r="T3">
        <v>3</v>
      </c>
      <c r="U3" t="s">
        <v>331</v>
      </c>
      <c r="W3" t="s">
        <v>606</v>
      </c>
      <c r="Y3">
        <v>12.5</v>
      </c>
      <c r="Z3" t="s">
        <v>614</v>
      </c>
      <c r="AO3" t="s">
        <v>309</v>
      </c>
    </row>
    <row r="4" spans="1:62" hidden="1">
      <c r="A4" t="s">
        <v>598</v>
      </c>
      <c r="B4" t="s">
        <v>599</v>
      </c>
      <c r="C4" t="s">
        <v>608</v>
      </c>
      <c r="D4" t="s">
        <v>102</v>
      </c>
      <c r="E4">
        <v>2018</v>
      </c>
      <c r="F4">
        <v>1</v>
      </c>
      <c r="K4" t="s">
        <v>615</v>
      </c>
      <c r="L4">
        <v>2030</v>
      </c>
      <c r="M4" t="s">
        <v>424</v>
      </c>
      <c r="N4" t="s">
        <v>616</v>
      </c>
      <c r="W4" t="s">
        <v>617</v>
      </c>
      <c r="X4" t="s">
        <v>606</v>
      </c>
      <c r="Y4">
        <v>12.3</v>
      </c>
      <c r="Z4" t="s">
        <v>614</v>
      </c>
      <c r="AA4" t="s">
        <v>197</v>
      </c>
      <c r="AB4" t="s">
        <v>618</v>
      </c>
      <c r="AN4" t="s">
        <v>310</v>
      </c>
      <c r="AO4" t="s">
        <v>309</v>
      </c>
    </row>
    <row r="5" spans="1:62">
      <c r="A5" t="s">
        <v>598</v>
      </c>
      <c r="B5" t="s">
        <v>599</v>
      </c>
      <c r="C5" t="s">
        <v>608</v>
      </c>
      <c r="D5" t="s">
        <v>102</v>
      </c>
      <c r="E5">
        <v>2018</v>
      </c>
      <c r="F5">
        <v>1</v>
      </c>
      <c r="G5">
        <v>3</v>
      </c>
      <c r="H5">
        <v>1</v>
      </c>
      <c r="J5">
        <v>1</v>
      </c>
      <c r="K5" t="s">
        <v>619</v>
      </c>
      <c r="L5">
        <v>2025</v>
      </c>
      <c r="M5">
        <v>1</v>
      </c>
      <c r="O5" t="s">
        <v>602</v>
      </c>
      <c r="P5" t="s">
        <v>620</v>
      </c>
      <c r="Q5" t="s">
        <v>621</v>
      </c>
      <c r="R5" t="s">
        <v>622</v>
      </c>
      <c r="S5" t="s">
        <v>303</v>
      </c>
      <c r="T5">
        <v>2</v>
      </c>
      <c r="U5" t="s">
        <v>331</v>
      </c>
      <c r="W5" t="s">
        <v>623</v>
      </c>
      <c r="X5" t="s">
        <v>606</v>
      </c>
      <c r="Y5">
        <v>11.6</v>
      </c>
      <c r="Z5" t="s">
        <v>607</v>
      </c>
      <c r="AA5" t="s">
        <v>197</v>
      </c>
      <c r="AB5" t="s">
        <v>624</v>
      </c>
      <c r="AO5" t="s">
        <v>309</v>
      </c>
    </row>
    <row r="6" spans="1:62" ht="409.6">
      <c r="A6" t="s">
        <v>598</v>
      </c>
      <c r="B6" t="s">
        <v>599</v>
      </c>
      <c r="C6" t="s">
        <v>625</v>
      </c>
      <c r="D6" t="s">
        <v>102</v>
      </c>
      <c r="E6">
        <v>2012</v>
      </c>
      <c r="F6">
        <v>1</v>
      </c>
      <c r="G6">
        <v>2</v>
      </c>
      <c r="H6">
        <v>1</v>
      </c>
      <c r="K6" s="234" t="s">
        <v>626</v>
      </c>
      <c r="N6" t="s">
        <v>627</v>
      </c>
      <c r="O6" t="s">
        <v>602</v>
      </c>
      <c r="U6" t="s">
        <v>331</v>
      </c>
      <c r="W6" t="s">
        <v>628</v>
      </c>
      <c r="X6" t="s">
        <v>623</v>
      </c>
      <c r="Y6">
        <v>12.5</v>
      </c>
      <c r="Z6" t="s">
        <v>614</v>
      </c>
      <c r="AA6" t="s">
        <v>197</v>
      </c>
      <c r="AB6" t="s">
        <v>629</v>
      </c>
      <c r="AO6" t="s">
        <v>309</v>
      </c>
    </row>
    <row r="7" spans="1:62" ht="409.6">
      <c r="A7" t="s">
        <v>598</v>
      </c>
      <c r="B7" t="s">
        <v>599</v>
      </c>
      <c r="C7" t="s">
        <v>625</v>
      </c>
      <c r="D7" t="s">
        <v>102</v>
      </c>
      <c r="E7">
        <v>2012</v>
      </c>
      <c r="F7">
        <v>1</v>
      </c>
      <c r="G7">
        <v>2</v>
      </c>
      <c r="H7">
        <v>1</v>
      </c>
      <c r="K7" s="234" t="s">
        <v>630</v>
      </c>
      <c r="O7" t="s">
        <v>602</v>
      </c>
      <c r="U7" t="s">
        <v>331</v>
      </c>
      <c r="W7" t="s">
        <v>628</v>
      </c>
      <c r="X7" t="s">
        <v>623</v>
      </c>
      <c r="Y7">
        <v>12.5</v>
      </c>
      <c r="Z7" t="s">
        <v>614</v>
      </c>
      <c r="AA7" t="s">
        <v>197</v>
      </c>
      <c r="AB7" t="s">
        <v>629</v>
      </c>
      <c r="AO7" t="s">
        <v>309</v>
      </c>
    </row>
    <row r="8" spans="1:62" ht="409.6">
      <c r="A8" t="s">
        <v>598</v>
      </c>
      <c r="B8" t="s">
        <v>599</v>
      </c>
      <c r="C8" t="s">
        <v>625</v>
      </c>
      <c r="D8" t="s">
        <v>102</v>
      </c>
      <c r="E8">
        <v>2012</v>
      </c>
      <c r="F8">
        <v>1</v>
      </c>
      <c r="G8">
        <v>2</v>
      </c>
      <c r="H8">
        <v>1</v>
      </c>
      <c r="K8" s="234" t="s">
        <v>631</v>
      </c>
      <c r="O8" t="s">
        <v>602</v>
      </c>
      <c r="U8" t="s">
        <v>331</v>
      </c>
      <c r="W8" t="s">
        <v>628</v>
      </c>
      <c r="X8" t="s">
        <v>623</v>
      </c>
      <c r="Y8">
        <v>12.5</v>
      </c>
      <c r="Z8" t="s">
        <v>614</v>
      </c>
      <c r="AA8" t="s">
        <v>197</v>
      </c>
      <c r="AB8" t="s">
        <v>629</v>
      </c>
      <c r="AO8" t="s">
        <v>309</v>
      </c>
    </row>
    <row r="9" spans="1:62">
      <c r="A9" t="s">
        <v>598</v>
      </c>
      <c r="B9" t="s">
        <v>599</v>
      </c>
      <c r="C9" t="s">
        <v>625</v>
      </c>
      <c r="D9" t="s">
        <v>102</v>
      </c>
      <c r="E9">
        <v>2012</v>
      </c>
      <c r="F9">
        <v>1</v>
      </c>
      <c r="G9">
        <v>2</v>
      </c>
      <c r="H9">
        <v>1</v>
      </c>
      <c r="K9" t="s">
        <v>632</v>
      </c>
      <c r="O9" t="s">
        <v>602</v>
      </c>
      <c r="U9" t="s">
        <v>331</v>
      </c>
      <c r="W9" t="s">
        <v>628</v>
      </c>
      <c r="X9" t="s">
        <v>623</v>
      </c>
      <c r="Y9">
        <v>12.5</v>
      </c>
      <c r="Z9" t="s">
        <v>614</v>
      </c>
      <c r="AA9" t="s">
        <v>197</v>
      </c>
      <c r="AB9" t="s">
        <v>633</v>
      </c>
    </row>
    <row r="10" spans="1:62">
      <c r="A10" t="s">
        <v>598</v>
      </c>
      <c r="B10" t="s">
        <v>599</v>
      </c>
      <c r="C10" t="s">
        <v>634</v>
      </c>
      <c r="D10" t="s">
        <v>102</v>
      </c>
      <c r="E10">
        <v>2019</v>
      </c>
      <c r="F10">
        <v>1</v>
      </c>
      <c r="G10">
        <v>3</v>
      </c>
      <c r="H10">
        <v>1</v>
      </c>
      <c r="J10">
        <v>1</v>
      </c>
      <c r="K10" t="s">
        <v>635</v>
      </c>
      <c r="L10">
        <v>2029</v>
      </c>
      <c r="M10">
        <v>1</v>
      </c>
      <c r="O10" t="s">
        <v>636</v>
      </c>
      <c r="P10" t="s">
        <v>637</v>
      </c>
      <c r="Q10" t="s">
        <v>638</v>
      </c>
      <c r="R10" t="s">
        <v>639</v>
      </c>
      <c r="S10" t="s">
        <v>363</v>
      </c>
      <c r="T10">
        <v>2</v>
      </c>
      <c r="U10" t="s">
        <v>331</v>
      </c>
      <c r="W10" t="s">
        <v>640</v>
      </c>
      <c r="X10" t="s">
        <v>623</v>
      </c>
      <c r="Y10">
        <v>12.5</v>
      </c>
      <c r="Z10" t="s">
        <v>614</v>
      </c>
      <c r="AO10" t="s">
        <v>309</v>
      </c>
    </row>
    <row r="11" spans="1:62">
      <c r="A11" t="s">
        <v>598</v>
      </c>
      <c r="B11" t="s">
        <v>599</v>
      </c>
      <c r="C11" t="s">
        <v>634</v>
      </c>
      <c r="D11" t="s">
        <v>102</v>
      </c>
      <c r="E11">
        <v>2019</v>
      </c>
      <c r="F11">
        <v>1</v>
      </c>
      <c r="G11">
        <v>3</v>
      </c>
      <c r="H11">
        <v>1</v>
      </c>
      <c r="J11">
        <v>1</v>
      </c>
      <c r="K11" t="s">
        <v>641</v>
      </c>
      <c r="L11">
        <v>2030</v>
      </c>
      <c r="M11">
        <v>1</v>
      </c>
      <c r="O11" t="s">
        <v>636</v>
      </c>
      <c r="P11" t="s">
        <v>642</v>
      </c>
      <c r="Q11" t="s">
        <v>643</v>
      </c>
      <c r="R11" t="s">
        <v>644</v>
      </c>
      <c r="S11" t="s">
        <v>303</v>
      </c>
      <c r="T11">
        <v>2</v>
      </c>
      <c r="U11" t="s">
        <v>331</v>
      </c>
      <c r="W11" t="s">
        <v>640</v>
      </c>
      <c r="X11" t="s">
        <v>623</v>
      </c>
      <c r="Y11">
        <v>12.5</v>
      </c>
      <c r="Z11" t="s">
        <v>614</v>
      </c>
      <c r="AO11" t="s">
        <v>309</v>
      </c>
    </row>
    <row r="12" spans="1:62" hidden="1">
      <c r="A12" t="s">
        <v>598</v>
      </c>
      <c r="B12" t="s">
        <v>599</v>
      </c>
      <c r="C12" t="s">
        <v>645</v>
      </c>
      <c r="D12" t="s">
        <v>321</v>
      </c>
      <c r="E12">
        <v>2022</v>
      </c>
      <c r="F12">
        <v>0</v>
      </c>
      <c r="AO12" t="s">
        <v>309</v>
      </c>
    </row>
    <row r="13" spans="1:62">
      <c r="A13" t="s">
        <v>598</v>
      </c>
      <c r="B13" t="s">
        <v>599</v>
      </c>
      <c r="C13" t="s">
        <v>646</v>
      </c>
      <c r="D13" t="s">
        <v>110</v>
      </c>
      <c r="E13">
        <v>2022</v>
      </c>
      <c r="F13">
        <v>0</v>
      </c>
      <c r="G13">
        <v>2</v>
      </c>
      <c r="H13">
        <v>0</v>
      </c>
      <c r="I13">
        <v>1</v>
      </c>
      <c r="J13">
        <v>1</v>
      </c>
      <c r="K13" t="s">
        <v>647</v>
      </c>
      <c r="L13">
        <v>2030</v>
      </c>
      <c r="M13">
        <v>1</v>
      </c>
      <c r="O13" t="s">
        <v>648</v>
      </c>
      <c r="P13" t="s">
        <v>649</v>
      </c>
      <c r="Q13" t="s">
        <v>650</v>
      </c>
      <c r="R13" t="s">
        <v>651</v>
      </c>
      <c r="S13" t="s">
        <v>363</v>
      </c>
      <c r="T13">
        <v>3</v>
      </c>
      <c r="U13" t="s">
        <v>331</v>
      </c>
      <c r="W13" t="s">
        <v>623</v>
      </c>
      <c r="X13" t="s">
        <v>606</v>
      </c>
      <c r="Y13">
        <v>12.5</v>
      </c>
      <c r="Z13" t="s">
        <v>614</v>
      </c>
      <c r="AO13" t="s">
        <v>309</v>
      </c>
    </row>
    <row r="14" spans="1:62">
      <c r="A14" t="s">
        <v>598</v>
      </c>
      <c r="B14" t="s">
        <v>599</v>
      </c>
      <c r="C14" t="s">
        <v>646</v>
      </c>
      <c r="D14" t="s">
        <v>110</v>
      </c>
      <c r="E14">
        <v>2022</v>
      </c>
      <c r="F14">
        <v>0</v>
      </c>
      <c r="G14">
        <v>2</v>
      </c>
      <c r="H14">
        <v>0</v>
      </c>
      <c r="I14">
        <v>1</v>
      </c>
      <c r="J14">
        <v>1</v>
      </c>
      <c r="K14" t="s">
        <v>652</v>
      </c>
      <c r="L14">
        <v>2030</v>
      </c>
      <c r="M14">
        <v>1</v>
      </c>
      <c r="O14" t="s">
        <v>648</v>
      </c>
      <c r="P14" t="s">
        <v>653</v>
      </c>
      <c r="Q14" t="s">
        <v>654</v>
      </c>
      <c r="R14" t="s">
        <v>655</v>
      </c>
      <c r="S14" t="s">
        <v>363</v>
      </c>
      <c r="T14">
        <v>3</v>
      </c>
      <c r="U14" t="s">
        <v>331</v>
      </c>
      <c r="W14" t="s">
        <v>623</v>
      </c>
      <c r="X14" t="s">
        <v>606</v>
      </c>
      <c r="Y14">
        <v>12.5</v>
      </c>
      <c r="Z14" t="s">
        <v>614</v>
      </c>
      <c r="AO14" t="s">
        <v>309</v>
      </c>
    </row>
    <row r="15" spans="1:62">
      <c r="A15" t="s">
        <v>598</v>
      </c>
      <c r="B15" t="s">
        <v>599</v>
      </c>
      <c r="C15" t="s">
        <v>646</v>
      </c>
      <c r="D15" t="s">
        <v>110</v>
      </c>
      <c r="E15">
        <v>2022</v>
      </c>
      <c r="F15">
        <v>0</v>
      </c>
      <c r="G15">
        <v>2</v>
      </c>
      <c r="H15">
        <v>0</v>
      </c>
      <c r="I15">
        <v>1</v>
      </c>
      <c r="J15">
        <v>1</v>
      </c>
      <c r="K15" t="s">
        <v>656</v>
      </c>
      <c r="L15">
        <v>2030</v>
      </c>
      <c r="M15">
        <v>1</v>
      </c>
      <c r="O15" t="s">
        <v>648</v>
      </c>
      <c r="P15" t="s">
        <v>657</v>
      </c>
      <c r="Q15" t="s">
        <v>658</v>
      </c>
      <c r="R15" t="s">
        <v>659</v>
      </c>
      <c r="S15" t="s">
        <v>363</v>
      </c>
      <c r="T15">
        <v>3</v>
      </c>
      <c r="U15" t="s">
        <v>331</v>
      </c>
      <c r="W15" t="s">
        <v>623</v>
      </c>
      <c r="X15" t="s">
        <v>606</v>
      </c>
      <c r="Y15">
        <v>12.5</v>
      </c>
      <c r="Z15" t="s">
        <v>614</v>
      </c>
      <c r="AO15" t="s">
        <v>309</v>
      </c>
    </row>
    <row r="16" spans="1:62">
      <c r="A16" t="s">
        <v>598</v>
      </c>
      <c r="B16" t="s">
        <v>599</v>
      </c>
      <c r="C16" t="s">
        <v>646</v>
      </c>
      <c r="D16" t="s">
        <v>110</v>
      </c>
      <c r="E16">
        <v>2022</v>
      </c>
      <c r="F16">
        <v>0</v>
      </c>
      <c r="G16">
        <v>2</v>
      </c>
      <c r="H16">
        <v>0</v>
      </c>
      <c r="I16">
        <v>1</v>
      </c>
      <c r="J16">
        <v>1</v>
      </c>
      <c r="K16" t="s">
        <v>660</v>
      </c>
      <c r="L16">
        <v>2030</v>
      </c>
      <c r="M16">
        <v>1</v>
      </c>
      <c r="O16" t="s">
        <v>648</v>
      </c>
      <c r="P16" t="s">
        <v>661</v>
      </c>
      <c r="Q16" t="s">
        <v>662</v>
      </c>
      <c r="R16" t="s">
        <v>663</v>
      </c>
      <c r="S16" t="s">
        <v>363</v>
      </c>
      <c r="T16">
        <v>3</v>
      </c>
      <c r="U16" t="s">
        <v>331</v>
      </c>
      <c r="W16" t="s">
        <v>623</v>
      </c>
      <c r="X16" t="s">
        <v>606</v>
      </c>
      <c r="Y16">
        <v>12.5</v>
      </c>
      <c r="Z16" t="s">
        <v>614</v>
      </c>
      <c r="AO16" t="s">
        <v>309</v>
      </c>
    </row>
    <row r="17" spans="1:41">
      <c r="A17" t="s">
        <v>598</v>
      </c>
      <c r="B17" t="s">
        <v>599</v>
      </c>
      <c r="C17" t="s">
        <v>646</v>
      </c>
      <c r="D17" t="s">
        <v>110</v>
      </c>
      <c r="E17">
        <v>2022</v>
      </c>
      <c r="F17">
        <v>0</v>
      </c>
      <c r="G17">
        <v>2</v>
      </c>
      <c r="H17">
        <v>0</v>
      </c>
      <c r="I17">
        <v>1</v>
      </c>
      <c r="J17">
        <v>1</v>
      </c>
      <c r="K17" t="s">
        <v>664</v>
      </c>
      <c r="L17">
        <v>2030</v>
      </c>
      <c r="M17">
        <v>1</v>
      </c>
      <c r="O17" t="s">
        <v>648</v>
      </c>
      <c r="P17" t="s">
        <v>665</v>
      </c>
      <c r="Q17" t="s">
        <v>643</v>
      </c>
      <c r="R17" t="s">
        <v>666</v>
      </c>
      <c r="S17" t="s">
        <v>363</v>
      </c>
      <c r="T17">
        <v>3</v>
      </c>
      <c r="U17" t="s">
        <v>331</v>
      </c>
      <c r="W17" t="s">
        <v>623</v>
      </c>
      <c r="X17" t="s">
        <v>606</v>
      </c>
      <c r="Y17">
        <v>12.5</v>
      </c>
      <c r="Z17" t="s">
        <v>614</v>
      </c>
      <c r="AO17" t="s">
        <v>309</v>
      </c>
    </row>
    <row r="18" spans="1:41">
      <c r="A18" t="s">
        <v>598</v>
      </c>
      <c r="B18" t="s">
        <v>599</v>
      </c>
      <c r="C18" t="s">
        <v>646</v>
      </c>
      <c r="D18" t="s">
        <v>110</v>
      </c>
      <c r="E18">
        <v>2022</v>
      </c>
      <c r="F18">
        <v>0</v>
      </c>
      <c r="G18">
        <v>2</v>
      </c>
      <c r="H18">
        <v>0</v>
      </c>
      <c r="I18">
        <v>1</v>
      </c>
      <c r="J18">
        <v>1</v>
      </c>
      <c r="K18" t="s">
        <v>667</v>
      </c>
      <c r="L18">
        <v>2030</v>
      </c>
      <c r="M18">
        <v>1</v>
      </c>
      <c r="O18" t="s">
        <v>648</v>
      </c>
      <c r="P18" t="s">
        <v>668</v>
      </c>
      <c r="Q18" t="s">
        <v>669</v>
      </c>
      <c r="R18" t="s">
        <v>670</v>
      </c>
      <c r="S18" t="s">
        <v>519</v>
      </c>
      <c r="T18">
        <v>2</v>
      </c>
      <c r="U18" t="s">
        <v>331</v>
      </c>
      <c r="W18" t="s">
        <v>640</v>
      </c>
      <c r="X18" t="s">
        <v>623</v>
      </c>
      <c r="Y18">
        <v>12.5</v>
      </c>
      <c r="Z18" t="s">
        <v>614</v>
      </c>
      <c r="AO18" t="s">
        <v>309</v>
      </c>
    </row>
    <row r="19" spans="1:41">
      <c r="A19" t="s">
        <v>598</v>
      </c>
      <c r="B19" t="s">
        <v>599</v>
      </c>
      <c r="C19" t="s">
        <v>646</v>
      </c>
      <c r="D19" t="s">
        <v>110</v>
      </c>
      <c r="E19">
        <v>2022</v>
      </c>
      <c r="F19">
        <v>0</v>
      </c>
      <c r="G19">
        <v>2</v>
      </c>
      <c r="H19">
        <v>0</v>
      </c>
      <c r="I19">
        <v>1</v>
      </c>
      <c r="J19">
        <v>1</v>
      </c>
      <c r="K19" t="s">
        <v>671</v>
      </c>
      <c r="L19">
        <v>2030</v>
      </c>
      <c r="M19">
        <v>1</v>
      </c>
      <c r="O19" t="s">
        <v>648</v>
      </c>
      <c r="P19" t="s">
        <v>672</v>
      </c>
      <c r="Q19" t="s">
        <v>673</v>
      </c>
      <c r="R19" t="s">
        <v>674</v>
      </c>
      <c r="S19" t="s">
        <v>363</v>
      </c>
      <c r="T19">
        <v>2</v>
      </c>
      <c r="U19" t="s">
        <v>331</v>
      </c>
      <c r="W19" t="s">
        <v>606</v>
      </c>
      <c r="X19" t="s">
        <v>623</v>
      </c>
      <c r="Y19">
        <v>12.5</v>
      </c>
      <c r="Z19" t="s">
        <v>614</v>
      </c>
      <c r="AA19" t="s">
        <v>197</v>
      </c>
      <c r="AB19" t="s">
        <v>675</v>
      </c>
      <c r="AO19" t="s">
        <v>309</v>
      </c>
    </row>
    <row r="20" spans="1:41">
      <c r="A20" t="s">
        <v>598</v>
      </c>
      <c r="B20" t="s">
        <v>599</v>
      </c>
      <c r="C20" t="s">
        <v>646</v>
      </c>
      <c r="D20" t="s">
        <v>110</v>
      </c>
      <c r="E20">
        <v>2022</v>
      </c>
      <c r="F20">
        <v>0</v>
      </c>
      <c r="G20">
        <v>2</v>
      </c>
      <c r="H20">
        <v>0</v>
      </c>
      <c r="I20">
        <v>1</v>
      </c>
      <c r="J20">
        <v>1</v>
      </c>
      <c r="K20" t="s">
        <v>676</v>
      </c>
      <c r="L20">
        <v>2030</v>
      </c>
      <c r="M20">
        <v>1</v>
      </c>
      <c r="O20" t="s">
        <v>648</v>
      </c>
      <c r="P20" t="s">
        <v>677</v>
      </c>
      <c r="Q20" t="s">
        <v>678</v>
      </c>
      <c r="R20" t="s">
        <v>679</v>
      </c>
      <c r="S20" t="s">
        <v>356</v>
      </c>
      <c r="T20">
        <v>1</v>
      </c>
      <c r="U20" t="s">
        <v>331</v>
      </c>
      <c r="W20" t="s">
        <v>606</v>
      </c>
      <c r="X20" t="s">
        <v>623</v>
      </c>
      <c r="Y20">
        <v>12.5</v>
      </c>
      <c r="Z20" t="s">
        <v>614</v>
      </c>
      <c r="AO20" t="s">
        <v>309</v>
      </c>
    </row>
    <row r="21" spans="1:41">
      <c r="A21" t="s">
        <v>598</v>
      </c>
      <c r="B21" t="s">
        <v>599</v>
      </c>
      <c r="C21" t="s">
        <v>646</v>
      </c>
      <c r="D21" t="s">
        <v>110</v>
      </c>
      <c r="E21">
        <v>2022</v>
      </c>
      <c r="F21">
        <v>0</v>
      </c>
      <c r="G21">
        <v>2</v>
      </c>
      <c r="H21">
        <v>0</v>
      </c>
      <c r="I21">
        <v>1</v>
      </c>
      <c r="J21">
        <v>1</v>
      </c>
      <c r="K21" t="s">
        <v>680</v>
      </c>
      <c r="L21">
        <v>2025</v>
      </c>
      <c r="M21">
        <v>1</v>
      </c>
      <c r="O21" t="s">
        <v>636</v>
      </c>
      <c r="P21" t="s">
        <v>681</v>
      </c>
      <c r="Q21" t="s">
        <v>682</v>
      </c>
      <c r="R21" t="s">
        <v>683</v>
      </c>
      <c r="S21" t="s">
        <v>363</v>
      </c>
      <c r="T21">
        <v>2</v>
      </c>
      <c r="U21" t="s">
        <v>331</v>
      </c>
      <c r="W21" t="s">
        <v>640</v>
      </c>
      <c r="Y21">
        <v>12.5</v>
      </c>
      <c r="Z21" t="s">
        <v>614</v>
      </c>
      <c r="AA21" t="s">
        <v>197</v>
      </c>
      <c r="AB21" t="s">
        <v>684</v>
      </c>
      <c r="AO21" t="s">
        <v>309</v>
      </c>
    </row>
    <row r="22" spans="1:41" ht="409.6">
      <c r="A22" t="s">
        <v>598</v>
      </c>
      <c r="B22" t="s">
        <v>599</v>
      </c>
      <c r="C22" t="s">
        <v>646</v>
      </c>
      <c r="D22" t="s">
        <v>110</v>
      </c>
      <c r="E22">
        <v>2022</v>
      </c>
      <c r="F22">
        <v>0</v>
      </c>
      <c r="G22">
        <v>2</v>
      </c>
      <c r="H22">
        <v>0</v>
      </c>
      <c r="I22">
        <v>1</v>
      </c>
      <c r="J22">
        <v>1</v>
      </c>
      <c r="K22" s="234" t="s">
        <v>685</v>
      </c>
      <c r="L22">
        <v>2030</v>
      </c>
      <c r="M22">
        <v>1</v>
      </c>
      <c r="N22" t="s">
        <v>686</v>
      </c>
      <c r="O22" t="s">
        <v>636</v>
      </c>
      <c r="R22" t="s">
        <v>687</v>
      </c>
      <c r="S22" t="s">
        <v>303</v>
      </c>
      <c r="T22">
        <v>2</v>
      </c>
      <c r="U22" t="s">
        <v>331</v>
      </c>
      <c r="W22" t="s">
        <v>640</v>
      </c>
      <c r="X22" t="s">
        <v>623</v>
      </c>
      <c r="Y22">
        <v>12.5</v>
      </c>
      <c r="Z22" t="s">
        <v>614</v>
      </c>
      <c r="AO22" t="s">
        <v>309</v>
      </c>
    </row>
    <row r="23" spans="1:41">
      <c r="A23" t="s">
        <v>598</v>
      </c>
      <c r="B23" t="s">
        <v>599</v>
      </c>
      <c r="C23" t="s">
        <v>646</v>
      </c>
      <c r="D23" t="s">
        <v>110</v>
      </c>
      <c r="E23">
        <v>2022</v>
      </c>
      <c r="F23">
        <v>0</v>
      </c>
      <c r="G23">
        <v>2</v>
      </c>
      <c r="H23">
        <v>0</v>
      </c>
      <c r="I23">
        <v>1</v>
      </c>
      <c r="J23">
        <v>1</v>
      </c>
      <c r="K23" t="s">
        <v>688</v>
      </c>
      <c r="L23">
        <v>2030</v>
      </c>
      <c r="M23">
        <v>1</v>
      </c>
      <c r="N23" t="s">
        <v>689</v>
      </c>
      <c r="O23" t="s">
        <v>636</v>
      </c>
      <c r="P23" t="s">
        <v>690</v>
      </c>
      <c r="Q23" t="s">
        <v>691</v>
      </c>
      <c r="R23" t="s">
        <v>692</v>
      </c>
      <c r="T23">
        <v>0</v>
      </c>
      <c r="U23" t="s">
        <v>331</v>
      </c>
      <c r="W23" t="s">
        <v>623</v>
      </c>
      <c r="Y23">
        <v>12.5</v>
      </c>
      <c r="Z23" t="s">
        <v>614</v>
      </c>
      <c r="AA23" t="s">
        <v>197</v>
      </c>
      <c r="AB23" t="s">
        <v>675</v>
      </c>
      <c r="AO23" t="s">
        <v>309</v>
      </c>
    </row>
    <row r="24" spans="1:41" hidden="1">
      <c r="A24" t="s">
        <v>598</v>
      </c>
      <c r="B24" t="s">
        <v>599</v>
      </c>
      <c r="C24" t="s">
        <v>693</v>
      </c>
      <c r="D24" t="s">
        <v>110</v>
      </c>
      <c r="E24">
        <v>2023</v>
      </c>
      <c r="F24">
        <v>0</v>
      </c>
      <c r="M24" t="s">
        <v>424</v>
      </c>
    </row>
    <row r="25" spans="1:41" ht="272">
      <c r="A25" t="s">
        <v>598</v>
      </c>
      <c r="B25" t="s">
        <v>599</v>
      </c>
      <c r="C25" t="s">
        <v>608</v>
      </c>
      <c r="D25" t="s">
        <v>101</v>
      </c>
      <c r="E25">
        <v>2023</v>
      </c>
      <c r="F25">
        <v>0</v>
      </c>
      <c r="G25">
        <v>2</v>
      </c>
      <c r="H25">
        <v>0</v>
      </c>
      <c r="I25">
        <v>1</v>
      </c>
      <c r="J25">
        <v>1</v>
      </c>
      <c r="K25" t="s">
        <v>694</v>
      </c>
      <c r="L25">
        <v>2030</v>
      </c>
      <c r="M25">
        <v>1</v>
      </c>
      <c r="N25" s="234" t="s">
        <v>695</v>
      </c>
      <c r="O25" t="s">
        <v>696</v>
      </c>
      <c r="P25" t="s">
        <v>697</v>
      </c>
      <c r="Q25" t="s">
        <v>698</v>
      </c>
      <c r="R25" t="s">
        <v>699</v>
      </c>
      <c r="S25" t="s">
        <v>519</v>
      </c>
      <c r="T25">
        <v>2</v>
      </c>
      <c r="U25" t="s">
        <v>700</v>
      </c>
      <c r="V25" t="s">
        <v>701</v>
      </c>
      <c r="W25" t="s">
        <v>606</v>
      </c>
      <c r="X25" t="s">
        <v>617</v>
      </c>
      <c r="Y25">
        <v>12.3</v>
      </c>
      <c r="Z25" t="s">
        <v>614</v>
      </c>
      <c r="AA25" t="s">
        <v>702</v>
      </c>
      <c r="AB25" t="s">
        <v>618</v>
      </c>
    </row>
    <row r="26" spans="1:41" ht="208">
      <c r="A26" t="s">
        <v>598</v>
      </c>
      <c r="B26" t="s">
        <v>599</v>
      </c>
      <c r="C26" t="s">
        <v>608</v>
      </c>
      <c r="D26" t="s">
        <v>101</v>
      </c>
      <c r="E26">
        <v>2023</v>
      </c>
      <c r="F26">
        <v>0</v>
      </c>
      <c r="G26">
        <v>2</v>
      </c>
      <c r="H26">
        <v>0</v>
      </c>
      <c r="I26">
        <v>1</v>
      </c>
      <c r="J26">
        <v>1</v>
      </c>
      <c r="K26" t="s">
        <v>703</v>
      </c>
      <c r="L26">
        <v>2030</v>
      </c>
      <c r="M26">
        <v>1</v>
      </c>
      <c r="N26" s="234" t="s">
        <v>704</v>
      </c>
      <c r="O26" t="s">
        <v>696</v>
      </c>
      <c r="P26" t="s">
        <v>697</v>
      </c>
      <c r="Q26" t="s">
        <v>705</v>
      </c>
      <c r="R26" t="s">
        <v>699</v>
      </c>
      <c r="S26" t="s">
        <v>519</v>
      </c>
      <c r="T26">
        <v>2</v>
      </c>
      <c r="U26" t="s">
        <v>700</v>
      </c>
      <c r="V26" t="s">
        <v>701</v>
      </c>
      <c r="W26" t="s">
        <v>606</v>
      </c>
      <c r="X26" t="s">
        <v>617</v>
      </c>
      <c r="Y26">
        <v>12.3</v>
      </c>
      <c r="Z26" t="s">
        <v>614</v>
      </c>
      <c r="AA26" t="s">
        <v>702</v>
      </c>
      <c r="AB26" t="s">
        <v>618</v>
      </c>
    </row>
    <row r="27" spans="1:41" ht="350">
      <c r="A27" t="s">
        <v>598</v>
      </c>
      <c r="B27" t="s">
        <v>706</v>
      </c>
      <c r="C27" t="s">
        <v>707</v>
      </c>
      <c r="D27" t="s">
        <v>298</v>
      </c>
      <c r="E27">
        <v>2023</v>
      </c>
      <c r="F27">
        <v>1</v>
      </c>
      <c r="G27">
        <v>3</v>
      </c>
      <c r="H27">
        <v>1</v>
      </c>
      <c r="J27">
        <v>1</v>
      </c>
      <c r="K27" s="234" t="s">
        <v>708</v>
      </c>
      <c r="L27">
        <v>2027</v>
      </c>
      <c r="M27">
        <v>1</v>
      </c>
      <c r="O27" t="s">
        <v>709</v>
      </c>
      <c r="R27" t="s">
        <v>710</v>
      </c>
      <c r="T27">
        <v>2</v>
      </c>
      <c r="U27" t="s">
        <v>331</v>
      </c>
      <c r="W27" t="s">
        <v>711</v>
      </c>
      <c r="X27" t="s">
        <v>623</v>
      </c>
      <c r="Y27">
        <v>12.5</v>
      </c>
      <c r="Z27" t="s">
        <v>614</v>
      </c>
    </row>
    <row r="28" spans="1:41" ht="409.6">
      <c r="A28" t="s">
        <v>598</v>
      </c>
      <c r="B28" t="s">
        <v>706</v>
      </c>
      <c r="C28" t="s">
        <v>707</v>
      </c>
      <c r="D28" t="s">
        <v>298</v>
      </c>
      <c r="E28">
        <v>2023</v>
      </c>
      <c r="F28">
        <v>1</v>
      </c>
      <c r="G28">
        <v>3</v>
      </c>
      <c r="H28">
        <v>1</v>
      </c>
      <c r="J28">
        <v>1</v>
      </c>
      <c r="K28" s="234" t="s">
        <v>712</v>
      </c>
      <c r="L28">
        <v>2027</v>
      </c>
      <c r="M28">
        <v>1</v>
      </c>
      <c r="N28" t="s">
        <v>713</v>
      </c>
      <c r="O28" t="s">
        <v>709</v>
      </c>
      <c r="R28" t="s">
        <v>714</v>
      </c>
      <c r="T28">
        <v>3</v>
      </c>
      <c r="U28" t="s">
        <v>331</v>
      </c>
      <c r="W28" t="s">
        <v>711</v>
      </c>
      <c r="X28" t="s">
        <v>623</v>
      </c>
      <c r="Y28">
        <v>12.5</v>
      </c>
      <c r="Z28" t="s">
        <v>614</v>
      </c>
    </row>
    <row r="29" spans="1:41" ht="409.6">
      <c r="A29" t="s">
        <v>598</v>
      </c>
      <c r="B29" t="s">
        <v>706</v>
      </c>
      <c r="C29" t="s">
        <v>707</v>
      </c>
      <c r="D29" t="s">
        <v>298</v>
      </c>
      <c r="E29">
        <v>2023</v>
      </c>
      <c r="F29">
        <v>1</v>
      </c>
      <c r="G29">
        <v>3</v>
      </c>
      <c r="H29">
        <v>1</v>
      </c>
      <c r="J29">
        <v>1</v>
      </c>
      <c r="K29" s="234" t="s">
        <v>715</v>
      </c>
      <c r="L29">
        <v>2030</v>
      </c>
      <c r="M29">
        <v>1</v>
      </c>
      <c r="O29" t="s">
        <v>709</v>
      </c>
      <c r="R29" t="s">
        <v>716</v>
      </c>
      <c r="T29">
        <v>2</v>
      </c>
      <c r="U29" t="s">
        <v>331</v>
      </c>
      <c r="W29" t="s">
        <v>711</v>
      </c>
      <c r="X29" t="s">
        <v>623</v>
      </c>
      <c r="Y29">
        <v>12.5</v>
      </c>
      <c r="Z29" t="s">
        <v>614</v>
      </c>
    </row>
    <row r="30" spans="1:41" ht="409.6">
      <c r="A30" t="s">
        <v>598</v>
      </c>
      <c r="B30" t="s">
        <v>706</v>
      </c>
      <c r="C30" t="s">
        <v>707</v>
      </c>
      <c r="D30" t="s">
        <v>298</v>
      </c>
      <c r="E30">
        <v>2023</v>
      </c>
      <c r="F30">
        <v>1</v>
      </c>
      <c r="G30">
        <v>3</v>
      </c>
      <c r="H30">
        <v>1</v>
      </c>
      <c r="J30">
        <v>1</v>
      </c>
      <c r="K30" s="234" t="s">
        <v>717</v>
      </c>
      <c r="L30">
        <v>2030</v>
      </c>
      <c r="M30">
        <v>1</v>
      </c>
      <c r="N30" t="s">
        <v>718</v>
      </c>
      <c r="O30" t="s">
        <v>709</v>
      </c>
      <c r="R30" s="234" t="s">
        <v>719</v>
      </c>
      <c r="T30">
        <v>3</v>
      </c>
      <c r="U30" t="s">
        <v>331</v>
      </c>
      <c r="W30" t="s">
        <v>711</v>
      </c>
      <c r="X30" t="s">
        <v>623</v>
      </c>
      <c r="Y30">
        <v>12.5</v>
      </c>
      <c r="Z30" t="s">
        <v>614</v>
      </c>
      <c r="AO30" t="s">
        <v>309</v>
      </c>
    </row>
    <row r="31" spans="1:41" ht="350">
      <c r="A31" t="s">
        <v>598</v>
      </c>
      <c r="B31" t="s">
        <v>706</v>
      </c>
      <c r="C31" t="s">
        <v>707</v>
      </c>
      <c r="D31" t="s">
        <v>298</v>
      </c>
      <c r="E31">
        <v>2023</v>
      </c>
      <c r="F31">
        <v>1</v>
      </c>
      <c r="G31">
        <v>3</v>
      </c>
      <c r="H31">
        <v>1</v>
      </c>
      <c r="J31">
        <v>1</v>
      </c>
      <c r="K31" s="234" t="s">
        <v>720</v>
      </c>
      <c r="L31">
        <v>2027</v>
      </c>
      <c r="M31">
        <v>1</v>
      </c>
      <c r="O31" t="s">
        <v>709</v>
      </c>
      <c r="P31" t="s">
        <v>721</v>
      </c>
      <c r="Q31" t="s">
        <v>722</v>
      </c>
      <c r="R31" t="s">
        <v>723</v>
      </c>
      <c r="T31">
        <v>1</v>
      </c>
      <c r="U31" t="s">
        <v>331</v>
      </c>
      <c r="W31" t="s">
        <v>711</v>
      </c>
      <c r="X31" t="s">
        <v>623</v>
      </c>
      <c r="Y31">
        <v>12.5</v>
      </c>
      <c r="Z31" t="s">
        <v>614</v>
      </c>
    </row>
    <row r="32" spans="1:41" ht="365">
      <c r="A32" t="s">
        <v>598</v>
      </c>
      <c r="B32" t="s">
        <v>706</v>
      </c>
      <c r="C32" t="s">
        <v>707</v>
      </c>
      <c r="D32" t="s">
        <v>298</v>
      </c>
      <c r="E32">
        <v>2023</v>
      </c>
      <c r="F32">
        <v>1</v>
      </c>
      <c r="G32">
        <v>3</v>
      </c>
      <c r="H32">
        <v>1</v>
      </c>
      <c r="J32">
        <v>1</v>
      </c>
      <c r="K32" s="234" t="s">
        <v>724</v>
      </c>
      <c r="L32">
        <v>2031</v>
      </c>
      <c r="M32">
        <v>1</v>
      </c>
      <c r="O32" t="s">
        <v>709</v>
      </c>
      <c r="P32" t="s">
        <v>725</v>
      </c>
      <c r="Q32" t="s">
        <v>726</v>
      </c>
      <c r="R32" t="s">
        <v>727</v>
      </c>
      <c r="T32">
        <v>0</v>
      </c>
      <c r="U32" t="s">
        <v>331</v>
      </c>
      <c r="W32" t="s">
        <v>711</v>
      </c>
      <c r="X32" t="s">
        <v>623</v>
      </c>
      <c r="Y32">
        <v>12.5</v>
      </c>
      <c r="Z32" t="s">
        <v>614</v>
      </c>
    </row>
    <row r="33" spans="1:41">
      <c r="A33" t="s">
        <v>598</v>
      </c>
      <c r="B33" t="s">
        <v>706</v>
      </c>
      <c r="C33" t="s">
        <v>707</v>
      </c>
      <c r="D33" t="s">
        <v>298</v>
      </c>
      <c r="E33">
        <v>2023</v>
      </c>
      <c r="F33">
        <v>1</v>
      </c>
      <c r="G33">
        <v>3</v>
      </c>
      <c r="H33">
        <v>1</v>
      </c>
      <c r="J33">
        <v>1</v>
      </c>
      <c r="K33" t="s">
        <v>728</v>
      </c>
      <c r="L33">
        <v>2028</v>
      </c>
      <c r="M33">
        <v>1</v>
      </c>
      <c r="O33" t="s">
        <v>709</v>
      </c>
      <c r="P33" t="s">
        <v>729</v>
      </c>
      <c r="Q33" t="s">
        <v>730</v>
      </c>
      <c r="R33" t="s">
        <v>731</v>
      </c>
      <c r="T33">
        <v>0</v>
      </c>
      <c r="U33" t="s">
        <v>331</v>
      </c>
      <c r="W33" t="s">
        <v>711</v>
      </c>
      <c r="X33" t="s">
        <v>623</v>
      </c>
      <c r="Y33">
        <v>12.5</v>
      </c>
      <c r="Z33" t="s">
        <v>614</v>
      </c>
    </row>
    <row r="34" spans="1:41" ht="409.6">
      <c r="A34" t="s">
        <v>598</v>
      </c>
      <c r="B34" t="s">
        <v>706</v>
      </c>
      <c r="C34" t="s">
        <v>707</v>
      </c>
      <c r="D34" t="s">
        <v>298</v>
      </c>
      <c r="E34">
        <v>2023</v>
      </c>
      <c r="F34">
        <v>1</v>
      </c>
      <c r="G34">
        <v>3</v>
      </c>
      <c r="H34">
        <v>1</v>
      </c>
      <c r="J34">
        <v>1</v>
      </c>
      <c r="K34" s="234" t="s">
        <v>732</v>
      </c>
      <c r="L34">
        <v>2023</v>
      </c>
      <c r="M34">
        <v>1</v>
      </c>
      <c r="N34" t="s">
        <v>733</v>
      </c>
      <c r="O34" t="s">
        <v>709</v>
      </c>
      <c r="P34" t="s">
        <v>734</v>
      </c>
      <c r="Q34" t="s">
        <v>735</v>
      </c>
      <c r="R34" s="234" t="s">
        <v>736</v>
      </c>
      <c r="T34">
        <v>0</v>
      </c>
      <c r="U34" t="s">
        <v>331</v>
      </c>
      <c r="W34" t="s">
        <v>711</v>
      </c>
      <c r="X34" t="s">
        <v>623</v>
      </c>
      <c r="Y34">
        <v>12.5</v>
      </c>
      <c r="Z34" t="s">
        <v>614</v>
      </c>
      <c r="AO34" t="s">
        <v>309</v>
      </c>
    </row>
    <row r="35" spans="1:41">
      <c r="A35" t="s">
        <v>598</v>
      </c>
      <c r="B35" t="s">
        <v>706</v>
      </c>
      <c r="C35" t="s">
        <v>707</v>
      </c>
      <c r="D35" t="s">
        <v>298</v>
      </c>
      <c r="E35">
        <v>2023</v>
      </c>
      <c r="F35">
        <v>1</v>
      </c>
      <c r="G35">
        <v>3</v>
      </c>
      <c r="H35">
        <v>1</v>
      </c>
      <c r="J35">
        <v>1</v>
      </c>
      <c r="K35" t="s">
        <v>737</v>
      </c>
      <c r="M35">
        <v>1</v>
      </c>
      <c r="O35" t="s">
        <v>709</v>
      </c>
      <c r="R35" t="s">
        <v>738</v>
      </c>
      <c r="T35">
        <v>1</v>
      </c>
      <c r="U35" t="s">
        <v>331</v>
      </c>
      <c r="W35" t="s">
        <v>711</v>
      </c>
      <c r="X35" t="s">
        <v>623</v>
      </c>
      <c r="Y35">
        <v>12.5</v>
      </c>
      <c r="Z35" t="s">
        <v>614</v>
      </c>
    </row>
    <row r="36" spans="1:41" hidden="1">
      <c r="A36" t="s">
        <v>598</v>
      </c>
      <c r="B36" t="s">
        <v>739</v>
      </c>
    </row>
    <row r="37" spans="1:41" hidden="1">
      <c r="A37" t="s">
        <v>598</v>
      </c>
      <c r="B37" t="s">
        <v>740</v>
      </c>
      <c r="C37" t="s">
        <v>741</v>
      </c>
      <c r="D37" t="s">
        <v>321</v>
      </c>
      <c r="E37">
        <v>2023</v>
      </c>
      <c r="F37">
        <v>0</v>
      </c>
    </row>
    <row r="38" spans="1:41">
      <c r="A38" t="s">
        <v>598</v>
      </c>
      <c r="B38" t="s">
        <v>740</v>
      </c>
      <c r="C38" t="s">
        <v>742</v>
      </c>
      <c r="D38" t="s">
        <v>110</v>
      </c>
      <c r="E38">
        <v>2023</v>
      </c>
      <c r="F38">
        <v>0</v>
      </c>
      <c r="G38">
        <v>2</v>
      </c>
      <c r="H38">
        <v>0</v>
      </c>
      <c r="I38">
        <v>1</v>
      </c>
      <c r="J38">
        <v>1</v>
      </c>
      <c r="K38" t="s">
        <v>743</v>
      </c>
      <c r="L38">
        <v>2040</v>
      </c>
      <c r="M38">
        <v>1</v>
      </c>
      <c r="O38" t="s">
        <v>744</v>
      </c>
      <c r="U38" t="s">
        <v>331</v>
      </c>
      <c r="W38" t="s">
        <v>401</v>
      </c>
      <c r="Y38">
        <v>12.2</v>
      </c>
      <c r="Z38" t="s">
        <v>614</v>
      </c>
    </row>
    <row r="39" spans="1:41">
      <c r="A39" t="s">
        <v>598</v>
      </c>
      <c r="B39" t="s">
        <v>740</v>
      </c>
      <c r="C39" t="s">
        <v>745</v>
      </c>
      <c r="D39" t="s">
        <v>110</v>
      </c>
      <c r="E39">
        <v>2023</v>
      </c>
      <c r="F39">
        <v>0</v>
      </c>
      <c r="G39">
        <v>2</v>
      </c>
      <c r="H39">
        <v>0</v>
      </c>
      <c r="I39">
        <v>1</v>
      </c>
      <c r="J39">
        <v>1</v>
      </c>
      <c r="K39" t="s">
        <v>746</v>
      </c>
      <c r="L39">
        <v>2030</v>
      </c>
      <c r="M39">
        <v>1</v>
      </c>
      <c r="O39" t="s">
        <v>744</v>
      </c>
      <c r="P39" t="s">
        <v>747</v>
      </c>
      <c r="Q39">
        <v>0.65</v>
      </c>
      <c r="R39" t="s">
        <v>748</v>
      </c>
      <c r="T39">
        <v>2</v>
      </c>
      <c r="U39" t="s">
        <v>331</v>
      </c>
      <c r="W39" t="s">
        <v>401</v>
      </c>
      <c r="Y39">
        <v>12.2</v>
      </c>
      <c r="Z39" t="s">
        <v>614</v>
      </c>
      <c r="AA39" t="s">
        <v>749</v>
      </c>
    </row>
    <row r="40" spans="1:41" ht="409.6">
      <c r="A40" t="s">
        <v>598</v>
      </c>
      <c r="B40" t="s">
        <v>740</v>
      </c>
      <c r="C40" t="s">
        <v>745</v>
      </c>
      <c r="D40" t="s">
        <v>110</v>
      </c>
      <c r="E40">
        <v>2023</v>
      </c>
      <c r="F40">
        <v>0</v>
      </c>
      <c r="G40">
        <v>2</v>
      </c>
      <c r="H40">
        <v>0</v>
      </c>
      <c r="I40">
        <v>1</v>
      </c>
      <c r="J40">
        <v>1</v>
      </c>
      <c r="K40" t="s">
        <v>750</v>
      </c>
      <c r="L40">
        <v>2030</v>
      </c>
      <c r="M40">
        <v>1</v>
      </c>
      <c r="N40" t="s">
        <v>751</v>
      </c>
      <c r="O40" t="s">
        <v>744</v>
      </c>
      <c r="P40" t="s">
        <v>752</v>
      </c>
      <c r="Q40">
        <v>0.15</v>
      </c>
      <c r="R40" s="234" t="s">
        <v>753</v>
      </c>
      <c r="T40">
        <v>2</v>
      </c>
      <c r="U40" t="s">
        <v>331</v>
      </c>
      <c r="W40" t="s">
        <v>401</v>
      </c>
      <c r="X40" t="s">
        <v>623</v>
      </c>
      <c r="Y40">
        <v>12.2</v>
      </c>
      <c r="Z40" t="s">
        <v>614</v>
      </c>
      <c r="AA40" t="s">
        <v>754</v>
      </c>
      <c r="AB40" t="s">
        <v>755</v>
      </c>
    </row>
    <row r="41" spans="1:41" ht="409.6">
      <c r="A41" t="s">
        <v>598</v>
      </c>
      <c r="B41" t="s">
        <v>740</v>
      </c>
      <c r="C41" t="s">
        <v>745</v>
      </c>
      <c r="D41" t="s">
        <v>110</v>
      </c>
      <c r="E41">
        <v>2023</v>
      </c>
      <c r="F41">
        <v>0</v>
      </c>
      <c r="G41">
        <v>2</v>
      </c>
      <c r="H41">
        <v>0</v>
      </c>
      <c r="I41">
        <v>1</v>
      </c>
      <c r="J41">
        <v>1</v>
      </c>
      <c r="K41" t="s">
        <v>756</v>
      </c>
      <c r="L41">
        <v>2030</v>
      </c>
      <c r="M41">
        <v>1</v>
      </c>
      <c r="N41" t="s">
        <v>757</v>
      </c>
      <c r="O41" t="s">
        <v>744</v>
      </c>
      <c r="P41" t="s">
        <v>758</v>
      </c>
      <c r="Q41">
        <v>0.4</v>
      </c>
      <c r="R41" s="234" t="s">
        <v>759</v>
      </c>
      <c r="T41">
        <v>2</v>
      </c>
      <c r="U41" t="s">
        <v>331</v>
      </c>
      <c r="W41" t="s">
        <v>401</v>
      </c>
      <c r="Y41">
        <v>12.2</v>
      </c>
      <c r="Z41" t="s">
        <v>614</v>
      </c>
      <c r="AA41" t="s">
        <v>754</v>
      </c>
      <c r="AB41" t="s">
        <v>760</v>
      </c>
      <c r="AC41" t="s">
        <v>761</v>
      </c>
    </row>
    <row r="42" spans="1:41" ht="409.6">
      <c r="A42" t="s">
        <v>598</v>
      </c>
      <c r="B42" t="s">
        <v>740</v>
      </c>
      <c r="C42" t="s">
        <v>745</v>
      </c>
      <c r="D42" t="s">
        <v>110</v>
      </c>
      <c r="E42">
        <v>2023</v>
      </c>
      <c r="F42">
        <v>0</v>
      </c>
      <c r="G42">
        <v>2</v>
      </c>
      <c r="H42">
        <v>0</v>
      </c>
      <c r="I42">
        <v>1</v>
      </c>
      <c r="J42">
        <v>1</v>
      </c>
      <c r="K42" t="s">
        <v>762</v>
      </c>
      <c r="L42">
        <v>2030</v>
      </c>
      <c r="M42">
        <v>1</v>
      </c>
      <c r="N42" t="s">
        <v>763</v>
      </c>
      <c r="O42" t="s">
        <v>744</v>
      </c>
      <c r="P42" t="s">
        <v>764</v>
      </c>
      <c r="Q42">
        <v>0.1</v>
      </c>
      <c r="R42" s="234" t="s">
        <v>765</v>
      </c>
      <c r="T42">
        <v>2</v>
      </c>
      <c r="U42" t="s">
        <v>498</v>
      </c>
      <c r="W42" t="s">
        <v>401</v>
      </c>
      <c r="Y42">
        <v>12.2</v>
      </c>
      <c r="Z42" t="s">
        <v>614</v>
      </c>
      <c r="AA42" t="s">
        <v>754</v>
      </c>
      <c r="AB42" t="s">
        <v>760</v>
      </c>
      <c r="AC42" t="s">
        <v>761</v>
      </c>
    </row>
    <row r="43" spans="1:41" hidden="1">
      <c r="A43" t="s">
        <v>598</v>
      </c>
      <c r="B43" t="s">
        <v>740</v>
      </c>
      <c r="C43" t="s">
        <v>766</v>
      </c>
      <c r="D43" t="s">
        <v>321</v>
      </c>
      <c r="E43">
        <v>2020</v>
      </c>
      <c r="F43">
        <v>0</v>
      </c>
      <c r="M43" t="s">
        <v>424</v>
      </c>
    </row>
    <row r="44" spans="1:41" hidden="1">
      <c r="A44" t="s">
        <v>598</v>
      </c>
      <c r="B44" t="s">
        <v>740</v>
      </c>
      <c r="C44" t="s">
        <v>767</v>
      </c>
      <c r="D44" t="s">
        <v>321</v>
      </c>
      <c r="E44">
        <v>2021</v>
      </c>
      <c r="F44">
        <v>0</v>
      </c>
      <c r="M44" t="s">
        <v>424</v>
      </c>
    </row>
    <row r="45" spans="1:41" hidden="1">
      <c r="A45" t="s">
        <v>598</v>
      </c>
      <c r="B45" t="s">
        <v>768</v>
      </c>
      <c r="C45" t="s">
        <v>769</v>
      </c>
      <c r="D45" t="s">
        <v>321</v>
      </c>
      <c r="E45">
        <v>2022</v>
      </c>
      <c r="F45">
        <v>0</v>
      </c>
      <c r="G45">
        <v>0</v>
      </c>
      <c r="H45">
        <v>0</v>
      </c>
      <c r="I45">
        <v>0</v>
      </c>
      <c r="J45">
        <v>1</v>
      </c>
      <c r="K45" t="s">
        <v>770</v>
      </c>
      <c r="L45">
        <v>2030</v>
      </c>
      <c r="M45">
        <v>0</v>
      </c>
      <c r="O45" t="s">
        <v>610</v>
      </c>
      <c r="R45" t="s">
        <v>771</v>
      </c>
      <c r="T45">
        <v>2</v>
      </c>
      <c r="Y45">
        <v>12.5</v>
      </c>
      <c r="Z45" t="s">
        <v>614</v>
      </c>
    </row>
    <row r="46" spans="1:41" hidden="1">
      <c r="A46" t="s">
        <v>598</v>
      </c>
      <c r="B46" t="s">
        <v>768</v>
      </c>
      <c r="C46" t="s">
        <v>769</v>
      </c>
      <c r="D46" t="s">
        <v>321</v>
      </c>
      <c r="E46">
        <v>2022</v>
      </c>
      <c r="F46">
        <v>0</v>
      </c>
      <c r="G46">
        <v>0</v>
      </c>
      <c r="H46">
        <v>0</v>
      </c>
      <c r="I46">
        <v>0</v>
      </c>
      <c r="J46">
        <v>1</v>
      </c>
      <c r="K46" t="s">
        <v>772</v>
      </c>
      <c r="L46">
        <v>2030</v>
      </c>
      <c r="M46">
        <v>0</v>
      </c>
      <c r="O46" t="s">
        <v>610</v>
      </c>
      <c r="R46" t="s">
        <v>773</v>
      </c>
      <c r="T46">
        <v>0</v>
      </c>
      <c r="Y46">
        <v>12.5</v>
      </c>
      <c r="Z46" t="s">
        <v>614</v>
      </c>
    </row>
    <row r="47" spans="1:41">
      <c r="A47" t="s">
        <v>598</v>
      </c>
      <c r="B47" t="s">
        <v>768</v>
      </c>
      <c r="C47" t="s">
        <v>774</v>
      </c>
      <c r="D47" t="s">
        <v>321</v>
      </c>
      <c r="E47">
        <v>2020</v>
      </c>
      <c r="F47">
        <v>0</v>
      </c>
      <c r="G47">
        <v>1</v>
      </c>
      <c r="H47">
        <v>0</v>
      </c>
      <c r="I47">
        <v>0</v>
      </c>
      <c r="J47">
        <v>1</v>
      </c>
      <c r="K47" t="s">
        <v>775</v>
      </c>
      <c r="L47">
        <v>2030</v>
      </c>
      <c r="M47">
        <v>1</v>
      </c>
      <c r="O47" t="s">
        <v>602</v>
      </c>
      <c r="P47" t="s">
        <v>776</v>
      </c>
      <c r="Q47">
        <v>0.23400000000000001</v>
      </c>
      <c r="R47" t="s">
        <v>777</v>
      </c>
      <c r="S47" t="s">
        <v>519</v>
      </c>
      <c r="T47">
        <v>1</v>
      </c>
      <c r="U47" t="s">
        <v>778</v>
      </c>
      <c r="V47" t="s">
        <v>779</v>
      </c>
      <c r="W47" t="s">
        <v>623</v>
      </c>
      <c r="Y47">
        <v>12.5</v>
      </c>
      <c r="Z47" t="s">
        <v>614</v>
      </c>
      <c r="AB47" t="s">
        <v>780</v>
      </c>
      <c r="AO47" t="s">
        <v>309</v>
      </c>
    </row>
    <row r="48" spans="1:41">
      <c r="A48" t="s">
        <v>598</v>
      </c>
      <c r="B48" t="s">
        <v>768</v>
      </c>
      <c r="C48" t="s">
        <v>774</v>
      </c>
      <c r="D48" t="s">
        <v>321</v>
      </c>
      <c r="E48">
        <v>2020</v>
      </c>
      <c r="F48">
        <v>0</v>
      </c>
      <c r="G48">
        <v>1</v>
      </c>
      <c r="H48">
        <v>0</v>
      </c>
      <c r="I48">
        <v>0</v>
      </c>
      <c r="J48">
        <v>1</v>
      </c>
      <c r="K48" t="s">
        <v>781</v>
      </c>
      <c r="L48">
        <v>2035</v>
      </c>
      <c r="M48">
        <v>1</v>
      </c>
      <c r="O48" t="s">
        <v>602</v>
      </c>
      <c r="P48" t="s">
        <v>782</v>
      </c>
      <c r="Q48">
        <v>0.1</v>
      </c>
      <c r="R48" t="s">
        <v>783</v>
      </c>
      <c r="T48">
        <v>2</v>
      </c>
      <c r="U48" t="s">
        <v>784</v>
      </c>
      <c r="V48" t="s">
        <v>785</v>
      </c>
      <c r="W48" t="s">
        <v>606</v>
      </c>
      <c r="Y48">
        <v>11.6</v>
      </c>
      <c r="Z48" t="s">
        <v>607</v>
      </c>
      <c r="AA48" t="s">
        <v>197</v>
      </c>
      <c r="AB48" t="s">
        <v>786</v>
      </c>
      <c r="AO48" t="s">
        <v>309</v>
      </c>
    </row>
    <row r="49" spans="1:41" ht="32">
      <c r="A49" t="s">
        <v>598</v>
      </c>
      <c r="B49" t="s">
        <v>768</v>
      </c>
      <c r="C49" t="s">
        <v>774</v>
      </c>
      <c r="D49" t="s">
        <v>321</v>
      </c>
      <c r="E49">
        <v>2020</v>
      </c>
      <c r="F49">
        <v>0</v>
      </c>
      <c r="G49">
        <v>1</v>
      </c>
      <c r="H49">
        <v>0</v>
      </c>
      <c r="I49">
        <v>0</v>
      </c>
      <c r="J49">
        <v>1</v>
      </c>
      <c r="K49" t="s">
        <v>787</v>
      </c>
      <c r="L49">
        <v>2030</v>
      </c>
      <c r="M49">
        <v>1</v>
      </c>
      <c r="O49" t="s">
        <v>602</v>
      </c>
      <c r="P49" t="s">
        <v>788</v>
      </c>
      <c r="Q49">
        <v>0.5</v>
      </c>
      <c r="R49" t="s">
        <v>789</v>
      </c>
      <c r="S49" t="s">
        <v>519</v>
      </c>
      <c r="T49">
        <v>2</v>
      </c>
      <c r="U49" t="s">
        <v>784</v>
      </c>
      <c r="V49" s="234" t="s">
        <v>790</v>
      </c>
      <c r="W49" t="s">
        <v>606</v>
      </c>
      <c r="Y49">
        <v>11.6</v>
      </c>
      <c r="Z49" t="s">
        <v>607</v>
      </c>
      <c r="AA49" t="s">
        <v>197</v>
      </c>
      <c r="AB49" t="s">
        <v>624</v>
      </c>
      <c r="AC49" t="s">
        <v>791</v>
      </c>
      <c r="AO49" t="s">
        <v>309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49"/>
  <sheetViews>
    <sheetView workbookViewId="0">
      <selection activeCell="M3" sqref="M3"/>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c r="A2" t="s">
        <v>598</v>
      </c>
      <c r="B2" t="s">
        <v>599</v>
      </c>
      <c r="C2" t="s">
        <v>600</v>
      </c>
      <c r="D2" t="s">
        <v>102</v>
      </c>
      <c r="E2">
        <v>2018</v>
      </c>
      <c r="F2">
        <v>1</v>
      </c>
      <c r="L2">
        <v>2035</v>
      </c>
      <c r="M2" t="s">
        <v>424</v>
      </c>
      <c r="N2" t="s">
        <v>601</v>
      </c>
      <c r="O2" t="s">
        <v>602</v>
      </c>
      <c r="P2" t="s">
        <v>603</v>
      </c>
      <c r="Q2" t="s">
        <v>604</v>
      </c>
      <c r="R2" t="s">
        <v>605</v>
      </c>
      <c r="S2" t="s">
        <v>519</v>
      </c>
      <c r="T2">
        <v>2</v>
      </c>
      <c r="U2" t="s">
        <v>331</v>
      </c>
      <c r="W2" t="s">
        <v>606</v>
      </c>
      <c r="Y2">
        <v>11.6</v>
      </c>
      <c r="Z2" t="e">
        <v>#NAME?</v>
      </c>
      <c r="AO2" t="s">
        <v>309</v>
      </c>
    </row>
    <row r="3" spans="1:62" ht="160">
      <c r="A3" t="s">
        <v>598</v>
      </c>
      <c r="B3" t="s">
        <v>599</v>
      </c>
      <c r="C3" t="s">
        <v>608</v>
      </c>
      <c r="D3" t="s">
        <v>102</v>
      </c>
      <c r="E3">
        <v>2018</v>
      </c>
      <c r="F3">
        <v>1</v>
      </c>
      <c r="G3">
        <v>3</v>
      </c>
      <c r="H3">
        <v>1</v>
      </c>
      <c r="J3">
        <v>1</v>
      </c>
      <c r="K3" t="s">
        <v>609</v>
      </c>
      <c r="L3">
        <v>2025</v>
      </c>
      <c r="M3">
        <v>1</v>
      </c>
      <c r="O3" t="s">
        <v>610</v>
      </c>
      <c r="P3" t="s">
        <v>611</v>
      </c>
      <c r="Q3" t="s">
        <v>612</v>
      </c>
      <c r="R3" s="234" t="s">
        <v>613</v>
      </c>
      <c r="S3" t="s">
        <v>440</v>
      </c>
      <c r="T3">
        <v>3</v>
      </c>
      <c r="U3" t="s">
        <v>331</v>
      </c>
      <c r="W3" t="s">
        <v>606</v>
      </c>
      <c r="Y3">
        <v>12.5</v>
      </c>
      <c r="Z3" t="e">
        <v>#NAME?</v>
      </c>
      <c r="AO3" t="s">
        <v>309</v>
      </c>
    </row>
    <row r="4" spans="1:62">
      <c r="A4" t="s">
        <v>598</v>
      </c>
      <c r="B4" t="s">
        <v>599</v>
      </c>
      <c r="C4" t="s">
        <v>608</v>
      </c>
      <c r="D4" t="s">
        <v>102</v>
      </c>
      <c r="E4">
        <v>2018</v>
      </c>
      <c r="F4">
        <v>1</v>
      </c>
      <c r="K4" t="s">
        <v>615</v>
      </c>
      <c r="L4">
        <v>2030</v>
      </c>
      <c r="M4" t="s">
        <v>424</v>
      </c>
      <c r="N4" t="s">
        <v>616</v>
      </c>
      <c r="W4" t="s">
        <v>617</v>
      </c>
      <c r="X4" t="s">
        <v>606</v>
      </c>
      <c r="Y4">
        <v>12.3</v>
      </c>
      <c r="Z4" t="e">
        <v>#NAME?</v>
      </c>
      <c r="AA4" t="s">
        <v>197</v>
      </c>
      <c r="AB4" t="s">
        <v>618</v>
      </c>
      <c r="AN4" t="s">
        <v>310</v>
      </c>
      <c r="AO4" t="s">
        <v>309</v>
      </c>
    </row>
    <row r="5" spans="1:62">
      <c r="A5" t="s">
        <v>598</v>
      </c>
      <c r="B5" t="s">
        <v>599</v>
      </c>
      <c r="C5" t="s">
        <v>608</v>
      </c>
      <c r="D5" t="s">
        <v>102</v>
      </c>
      <c r="E5">
        <v>2018</v>
      </c>
      <c r="F5">
        <v>1</v>
      </c>
      <c r="G5">
        <v>3</v>
      </c>
      <c r="H5">
        <v>1</v>
      </c>
      <c r="J5">
        <v>1</v>
      </c>
      <c r="K5" t="s">
        <v>619</v>
      </c>
      <c r="L5">
        <v>2025</v>
      </c>
      <c r="M5">
        <v>1</v>
      </c>
      <c r="O5" t="s">
        <v>602</v>
      </c>
      <c r="P5" t="s">
        <v>620</v>
      </c>
      <c r="Q5" t="s">
        <v>621</v>
      </c>
      <c r="R5" t="s">
        <v>622</v>
      </c>
      <c r="S5" t="s">
        <v>303</v>
      </c>
      <c r="T5">
        <v>2</v>
      </c>
      <c r="U5" t="s">
        <v>331</v>
      </c>
      <c r="W5" t="s">
        <v>623</v>
      </c>
      <c r="X5" t="s">
        <v>606</v>
      </c>
      <c r="Y5">
        <v>11.6</v>
      </c>
      <c r="Z5" t="e">
        <v>#NAME?</v>
      </c>
      <c r="AA5" t="s">
        <v>197</v>
      </c>
      <c r="AB5" t="s">
        <v>624</v>
      </c>
      <c r="AO5" t="s">
        <v>309</v>
      </c>
    </row>
    <row r="6" spans="1:62" ht="409.6">
      <c r="A6" t="s">
        <v>598</v>
      </c>
      <c r="B6" t="s">
        <v>599</v>
      </c>
      <c r="C6" t="s">
        <v>625</v>
      </c>
      <c r="D6" t="s">
        <v>102</v>
      </c>
      <c r="E6">
        <v>2012</v>
      </c>
      <c r="F6">
        <v>1</v>
      </c>
      <c r="G6">
        <v>2</v>
      </c>
      <c r="H6">
        <v>1</v>
      </c>
      <c r="K6" s="234" t="s">
        <v>626</v>
      </c>
      <c r="N6" t="s">
        <v>627</v>
      </c>
      <c r="O6" t="s">
        <v>602</v>
      </c>
      <c r="U6" t="s">
        <v>331</v>
      </c>
      <c r="W6" t="s">
        <v>628</v>
      </c>
      <c r="X6" t="s">
        <v>623</v>
      </c>
      <c r="Y6">
        <v>12.5</v>
      </c>
      <c r="Z6" t="e">
        <v>#NAME?</v>
      </c>
      <c r="AA6" t="s">
        <v>197</v>
      </c>
      <c r="AB6" t="s">
        <v>629</v>
      </c>
      <c r="AO6" t="s">
        <v>309</v>
      </c>
    </row>
    <row r="7" spans="1:62" ht="409.6">
      <c r="A7" t="s">
        <v>598</v>
      </c>
      <c r="B7" t="s">
        <v>599</v>
      </c>
      <c r="C7" t="s">
        <v>625</v>
      </c>
      <c r="D7" t="s">
        <v>102</v>
      </c>
      <c r="E7">
        <v>2012</v>
      </c>
      <c r="F7">
        <v>1</v>
      </c>
      <c r="G7">
        <v>2</v>
      </c>
      <c r="H7">
        <v>1</v>
      </c>
      <c r="K7" s="234" t="s">
        <v>630</v>
      </c>
      <c r="O7" t="s">
        <v>602</v>
      </c>
      <c r="U7" t="s">
        <v>331</v>
      </c>
      <c r="W7" t="s">
        <v>628</v>
      </c>
      <c r="X7" t="s">
        <v>623</v>
      </c>
      <c r="Y7">
        <v>12.5</v>
      </c>
      <c r="Z7" t="e">
        <v>#NAME?</v>
      </c>
      <c r="AA7" t="s">
        <v>197</v>
      </c>
      <c r="AB7" t="s">
        <v>629</v>
      </c>
      <c r="AO7" t="s">
        <v>309</v>
      </c>
    </row>
    <row r="8" spans="1:62" ht="409.6">
      <c r="A8" t="s">
        <v>598</v>
      </c>
      <c r="B8" t="s">
        <v>599</v>
      </c>
      <c r="C8" t="s">
        <v>625</v>
      </c>
      <c r="D8" t="s">
        <v>102</v>
      </c>
      <c r="E8">
        <v>2012</v>
      </c>
      <c r="F8">
        <v>1</v>
      </c>
      <c r="G8">
        <v>2</v>
      </c>
      <c r="H8">
        <v>1</v>
      </c>
      <c r="K8" s="234" t="s">
        <v>631</v>
      </c>
      <c r="O8" t="s">
        <v>602</v>
      </c>
      <c r="U8" t="s">
        <v>331</v>
      </c>
      <c r="W8" t="s">
        <v>628</v>
      </c>
      <c r="X8" t="s">
        <v>623</v>
      </c>
      <c r="Y8">
        <v>12.5</v>
      </c>
      <c r="Z8" t="e">
        <v>#NAME?</v>
      </c>
      <c r="AA8" t="s">
        <v>197</v>
      </c>
      <c r="AB8" t="s">
        <v>629</v>
      </c>
      <c r="AO8" t="s">
        <v>309</v>
      </c>
    </row>
    <row r="9" spans="1:62">
      <c r="A9" t="s">
        <v>598</v>
      </c>
      <c r="B9" t="s">
        <v>599</v>
      </c>
      <c r="C9" t="s">
        <v>625</v>
      </c>
      <c r="D9" t="s">
        <v>102</v>
      </c>
      <c r="E9">
        <v>2012</v>
      </c>
      <c r="F9">
        <v>1</v>
      </c>
      <c r="G9">
        <v>2</v>
      </c>
      <c r="H9">
        <v>1</v>
      </c>
      <c r="K9" t="s">
        <v>632</v>
      </c>
      <c r="O9" t="s">
        <v>602</v>
      </c>
      <c r="U9" t="s">
        <v>331</v>
      </c>
      <c r="W9" t="s">
        <v>628</v>
      </c>
      <c r="X9" t="s">
        <v>623</v>
      </c>
      <c r="Y9">
        <v>12.5</v>
      </c>
      <c r="Z9" t="e">
        <v>#NAME?</v>
      </c>
      <c r="AA9" t="s">
        <v>197</v>
      </c>
      <c r="AB9" t="s">
        <v>633</v>
      </c>
    </row>
    <row r="10" spans="1:62">
      <c r="A10" t="s">
        <v>598</v>
      </c>
      <c r="B10" t="s">
        <v>599</v>
      </c>
      <c r="C10" t="s">
        <v>634</v>
      </c>
      <c r="D10" t="s">
        <v>102</v>
      </c>
      <c r="E10">
        <v>2019</v>
      </c>
      <c r="F10">
        <v>1</v>
      </c>
      <c r="G10">
        <v>3</v>
      </c>
      <c r="H10">
        <v>1</v>
      </c>
      <c r="J10">
        <v>1</v>
      </c>
      <c r="K10" t="s">
        <v>635</v>
      </c>
      <c r="L10">
        <v>2029</v>
      </c>
      <c r="M10">
        <v>1</v>
      </c>
      <c r="O10" t="s">
        <v>636</v>
      </c>
      <c r="P10" t="s">
        <v>637</v>
      </c>
      <c r="Q10" t="s">
        <v>638</v>
      </c>
      <c r="R10" t="s">
        <v>639</v>
      </c>
      <c r="S10" t="s">
        <v>363</v>
      </c>
      <c r="T10">
        <v>2</v>
      </c>
      <c r="U10" t="s">
        <v>331</v>
      </c>
      <c r="W10" t="s">
        <v>640</v>
      </c>
      <c r="X10" t="s">
        <v>623</v>
      </c>
      <c r="Y10">
        <v>12.5</v>
      </c>
      <c r="Z10" t="e">
        <v>#NAME?</v>
      </c>
      <c r="AO10" t="s">
        <v>309</v>
      </c>
    </row>
    <row r="11" spans="1:62">
      <c r="A11" t="s">
        <v>598</v>
      </c>
      <c r="B11" t="s">
        <v>599</v>
      </c>
      <c r="C11" t="s">
        <v>634</v>
      </c>
      <c r="D11" t="s">
        <v>102</v>
      </c>
      <c r="E11">
        <v>2019</v>
      </c>
      <c r="F11">
        <v>1</v>
      </c>
      <c r="G11">
        <v>3</v>
      </c>
      <c r="H11">
        <v>1</v>
      </c>
      <c r="J11">
        <v>1</v>
      </c>
      <c r="K11" t="s">
        <v>641</v>
      </c>
      <c r="L11">
        <v>2030</v>
      </c>
      <c r="M11">
        <v>1</v>
      </c>
      <c r="O11" t="s">
        <v>636</v>
      </c>
      <c r="P11" t="s">
        <v>642</v>
      </c>
      <c r="Q11" t="s">
        <v>643</v>
      </c>
      <c r="R11" t="s">
        <v>644</v>
      </c>
      <c r="S11" t="s">
        <v>303</v>
      </c>
      <c r="T11">
        <v>2</v>
      </c>
      <c r="U11" t="s">
        <v>331</v>
      </c>
      <c r="W11" t="s">
        <v>640</v>
      </c>
      <c r="X11" t="s">
        <v>623</v>
      </c>
      <c r="Y11">
        <v>12.5</v>
      </c>
      <c r="Z11" t="e">
        <v>#NAME?</v>
      </c>
      <c r="AO11" t="s">
        <v>309</v>
      </c>
    </row>
    <row r="12" spans="1:62">
      <c r="A12" t="s">
        <v>598</v>
      </c>
      <c r="B12" t="s">
        <v>599</v>
      </c>
      <c r="C12" t="s">
        <v>645</v>
      </c>
      <c r="D12" t="s">
        <v>321</v>
      </c>
      <c r="E12">
        <v>2022</v>
      </c>
      <c r="F12">
        <v>0</v>
      </c>
      <c r="AO12" t="s">
        <v>309</v>
      </c>
    </row>
    <row r="13" spans="1:62">
      <c r="A13" t="s">
        <v>598</v>
      </c>
      <c r="B13" t="s">
        <v>599</v>
      </c>
      <c r="C13" t="s">
        <v>646</v>
      </c>
      <c r="D13" t="s">
        <v>110</v>
      </c>
      <c r="E13">
        <v>2022</v>
      </c>
      <c r="F13">
        <v>0</v>
      </c>
      <c r="G13">
        <v>2</v>
      </c>
      <c r="H13">
        <v>0</v>
      </c>
      <c r="I13">
        <v>1</v>
      </c>
      <c r="J13">
        <v>1</v>
      </c>
      <c r="K13" t="s">
        <v>647</v>
      </c>
      <c r="L13">
        <v>2030</v>
      </c>
      <c r="M13">
        <v>1</v>
      </c>
      <c r="O13" t="s">
        <v>648</v>
      </c>
      <c r="P13" t="s">
        <v>649</v>
      </c>
      <c r="Q13" t="s">
        <v>650</v>
      </c>
      <c r="R13" t="s">
        <v>651</v>
      </c>
      <c r="S13" t="s">
        <v>363</v>
      </c>
      <c r="T13">
        <v>3</v>
      </c>
      <c r="U13" t="s">
        <v>331</v>
      </c>
      <c r="W13" t="s">
        <v>623</v>
      </c>
      <c r="X13" t="s">
        <v>606</v>
      </c>
      <c r="Y13">
        <v>12.5</v>
      </c>
      <c r="Z13" t="e">
        <v>#NAME?</v>
      </c>
      <c r="AO13" t="s">
        <v>309</v>
      </c>
    </row>
    <row r="14" spans="1:62">
      <c r="A14" t="s">
        <v>598</v>
      </c>
      <c r="B14" t="s">
        <v>599</v>
      </c>
      <c r="C14" t="s">
        <v>646</v>
      </c>
      <c r="D14" t="s">
        <v>110</v>
      </c>
      <c r="E14">
        <v>2022</v>
      </c>
      <c r="F14">
        <v>0</v>
      </c>
      <c r="G14">
        <v>2</v>
      </c>
      <c r="H14">
        <v>0</v>
      </c>
      <c r="I14">
        <v>1</v>
      </c>
      <c r="J14">
        <v>1</v>
      </c>
      <c r="K14" t="s">
        <v>652</v>
      </c>
      <c r="L14">
        <v>2030</v>
      </c>
      <c r="M14">
        <v>1</v>
      </c>
      <c r="O14" t="s">
        <v>648</v>
      </c>
      <c r="P14" t="s">
        <v>653</v>
      </c>
      <c r="Q14" t="s">
        <v>654</v>
      </c>
      <c r="R14" t="s">
        <v>655</v>
      </c>
      <c r="S14" t="s">
        <v>363</v>
      </c>
      <c r="T14">
        <v>3</v>
      </c>
      <c r="U14" t="s">
        <v>331</v>
      </c>
      <c r="W14" t="s">
        <v>623</v>
      </c>
      <c r="X14" t="s">
        <v>606</v>
      </c>
      <c r="Y14">
        <v>12.5</v>
      </c>
      <c r="Z14" t="e">
        <v>#NAME?</v>
      </c>
      <c r="AO14" t="s">
        <v>309</v>
      </c>
    </row>
    <row r="15" spans="1:62">
      <c r="A15" t="s">
        <v>598</v>
      </c>
      <c r="B15" t="s">
        <v>599</v>
      </c>
      <c r="C15" t="s">
        <v>646</v>
      </c>
      <c r="D15" t="s">
        <v>110</v>
      </c>
      <c r="E15">
        <v>2022</v>
      </c>
      <c r="F15">
        <v>0</v>
      </c>
      <c r="G15">
        <v>2</v>
      </c>
      <c r="H15">
        <v>0</v>
      </c>
      <c r="I15">
        <v>1</v>
      </c>
      <c r="J15">
        <v>1</v>
      </c>
      <c r="K15" t="s">
        <v>656</v>
      </c>
      <c r="L15">
        <v>2030</v>
      </c>
      <c r="M15">
        <v>1</v>
      </c>
      <c r="O15" t="s">
        <v>648</v>
      </c>
      <c r="P15" t="s">
        <v>657</v>
      </c>
      <c r="Q15" t="s">
        <v>658</v>
      </c>
      <c r="R15" t="s">
        <v>659</v>
      </c>
      <c r="S15" t="s">
        <v>363</v>
      </c>
      <c r="T15">
        <v>3</v>
      </c>
      <c r="U15" t="s">
        <v>331</v>
      </c>
      <c r="W15" t="s">
        <v>623</v>
      </c>
      <c r="X15" t="s">
        <v>606</v>
      </c>
      <c r="Y15">
        <v>12.5</v>
      </c>
      <c r="Z15" t="e">
        <v>#NAME?</v>
      </c>
      <c r="AO15" t="s">
        <v>309</v>
      </c>
    </row>
    <row r="16" spans="1:62">
      <c r="A16" t="s">
        <v>598</v>
      </c>
      <c r="B16" t="s">
        <v>599</v>
      </c>
      <c r="C16" t="s">
        <v>646</v>
      </c>
      <c r="D16" t="s">
        <v>110</v>
      </c>
      <c r="E16">
        <v>2022</v>
      </c>
      <c r="F16">
        <v>0</v>
      </c>
      <c r="G16">
        <v>2</v>
      </c>
      <c r="H16">
        <v>0</v>
      </c>
      <c r="I16">
        <v>1</v>
      </c>
      <c r="J16">
        <v>1</v>
      </c>
      <c r="K16" t="s">
        <v>660</v>
      </c>
      <c r="L16">
        <v>2030</v>
      </c>
      <c r="M16">
        <v>1</v>
      </c>
      <c r="O16" t="s">
        <v>648</v>
      </c>
      <c r="P16" t="s">
        <v>661</v>
      </c>
      <c r="Q16" t="s">
        <v>662</v>
      </c>
      <c r="R16" t="s">
        <v>663</v>
      </c>
      <c r="S16" t="s">
        <v>363</v>
      </c>
      <c r="T16">
        <v>3</v>
      </c>
      <c r="U16" t="s">
        <v>331</v>
      </c>
      <c r="W16" t="s">
        <v>623</v>
      </c>
      <c r="X16" t="s">
        <v>606</v>
      </c>
      <c r="Y16">
        <v>12.5</v>
      </c>
      <c r="Z16" t="e">
        <v>#NAME?</v>
      </c>
      <c r="AO16" t="s">
        <v>309</v>
      </c>
    </row>
    <row r="17" spans="1:41">
      <c r="A17" t="s">
        <v>598</v>
      </c>
      <c r="B17" t="s">
        <v>599</v>
      </c>
      <c r="C17" t="s">
        <v>646</v>
      </c>
      <c r="D17" t="s">
        <v>110</v>
      </c>
      <c r="E17">
        <v>2022</v>
      </c>
      <c r="F17">
        <v>0</v>
      </c>
      <c r="G17">
        <v>2</v>
      </c>
      <c r="H17">
        <v>0</v>
      </c>
      <c r="I17">
        <v>1</v>
      </c>
      <c r="J17">
        <v>1</v>
      </c>
      <c r="K17" t="s">
        <v>664</v>
      </c>
      <c r="L17">
        <v>2030</v>
      </c>
      <c r="M17">
        <v>1</v>
      </c>
      <c r="O17" t="s">
        <v>648</v>
      </c>
      <c r="P17" t="s">
        <v>665</v>
      </c>
      <c r="Q17" t="s">
        <v>643</v>
      </c>
      <c r="R17" t="s">
        <v>666</v>
      </c>
      <c r="S17" t="s">
        <v>363</v>
      </c>
      <c r="T17">
        <v>3</v>
      </c>
      <c r="U17" t="s">
        <v>331</v>
      </c>
      <c r="W17" t="s">
        <v>623</v>
      </c>
      <c r="X17" t="s">
        <v>606</v>
      </c>
      <c r="Y17">
        <v>12.5</v>
      </c>
      <c r="Z17" t="e">
        <v>#NAME?</v>
      </c>
      <c r="AO17" t="s">
        <v>309</v>
      </c>
    </row>
    <row r="18" spans="1:41">
      <c r="A18" t="s">
        <v>598</v>
      </c>
      <c r="B18" t="s">
        <v>599</v>
      </c>
      <c r="C18" t="s">
        <v>646</v>
      </c>
      <c r="D18" t="s">
        <v>110</v>
      </c>
      <c r="E18">
        <v>2022</v>
      </c>
      <c r="F18">
        <v>0</v>
      </c>
      <c r="G18">
        <v>2</v>
      </c>
      <c r="H18">
        <v>0</v>
      </c>
      <c r="I18">
        <v>1</v>
      </c>
      <c r="J18">
        <v>1</v>
      </c>
      <c r="K18" t="s">
        <v>667</v>
      </c>
      <c r="L18">
        <v>2030</v>
      </c>
      <c r="M18">
        <v>1</v>
      </c>
      <c r="O18" t="s">
        <v>648</v>
      </c>
      <c r="P18" t="s">
        <v>668</v>
      </c>
      <c r="Q18" t="s">
        <v>669</v>
      </c>
      <c r="R18" t="s">
        <v>670</v>
      </c>
      <c r="S18" t="s">
        <v>519</v>
      </c>
      <c r="T18">
        <v>2</v>
      </c>
      <c r="U18" t="s">
        <v>331</v>
      </c>
      <c r="W18" t="s">
        <v>640</v>
      </c>
      <c r="X18" t="s">
        <v>623</v>
      </c>
      <c r="Y18">
        <v>12.5</v>
      </c>
      <c r="Z18" t="e">
        <v>#NAME?</v>
      </c>
      <c r="AO18" t="s">
        <v>309</v>
      </c>
    </row>
    <row r="19" spans="1:41">
      <c r="A19" t="s">
        <v>598</v>
      </c>
      <c r="B19" t="s">
        <v>599</v>
      </c>
      <c r="C19" t="s">
        <v>646</v>
      </c>
      <c r="D19" t="s">
        <v>110</v>
      </c>
      <c r="E19">
        <v>2022</v>
      </c>
      <c r="F19">
        <v>0</v>
      </c>
      <c r="G19">
        <v>2</v>
      </c>
      <c r="H19">
        <v>0</v>
      </c>
      <c r="I19">
        <v>1</v>
      </c>
      <c r="J19">
        <v>1</v>
      </c>
      <c r="K19" t="s">
        <v>671</v>
      </c>
      <c r="L19">
        <v>2030</v>
      </c>
      <c r="M19">
        <v>1</v>
      </c>
      <c r="O19" t="s">
        <v>648</v>
      </c>
      <c r="P19" t="s">
        <v>672</v>
      </c>
      <c r="Q19" t="s">
        <v>673</v>
      </c>
      <c r="R19" t="s">
        <v>674</v>
      </c>
      <c r="S19" t="s">
        <v>363</v>
      </c>
      <c r="T19">
        <v>2</v>
      </c>
      <c r="U19" t="s">
        <v>331</v>
      </c>
      <c r="W19" t="s">
        <v>606</v>
      </c>
      <c r="X19" t="s">
        <v>623</v>
      </c>
      <c r="Y19">
        <v>12.5</v>
      </c>
      <c r="Z19" t="e">
        <v>#NAME?</v>
      </c>
      <c r="AA19" t="s">
        <v>197</v>
      </c>
      <c r="AB19" t="s">
        <v>675</v>
      </c>
      <c r="AO19" t="s">
        <v>309</v>
      </c>
    </row>
    <row r="20" spans="1:41">
      <c r="A20" t="s">
        <v>598</v>
      </c>
      <c r="B20" t="s">
        <v>599</v>
      </c>
      <c r="C20" t="s">
        <v>646</v>
      </c>
      <c r="D20" t="s">
        <v>110</v>
      </c>
      <c r="E20">
        <v>2022</v>
      </c>
      <c r="F20">
        <v>0</v>
      </c>
      <c r="G20">
        <v>2</v>
      </c>
      <c r="H20">
        <v>0</v>
      </c>
      <c r="I20">
        <v>1</v>
      </c>
      <c r="J20">
        <v>1</v>
      </c>
      <c r="K20" t="s">
        <v>676</v>
      </c>
      <c r="L20">
        <v>2030</v>
      </c>
      <c r="M20">
        <v>1</v>
      </c>
      <c r="O20" t="s">
        <v>648</v>
      </c>
      <c r="P20" t="s">
        <v>677</v>
      </c>
      <c r="Q20" t="s">
        <v>678</v>
      </c>
      <c r="R20" t="s">
        <v>679</v>
      </c>
      <c r="S20" t="s">
        <v>356</v>
      </c>
      <c r="T20">
        <v>1</v>
      </c>
      <c r="U20" t="s">
        <v>331</v>
      </c>
      <c r="W20" t="s">
        <v>606</v>
      </c>
      <c r="X20" t="s">
        <v>623</v>
      </c>
      <c r="Y20">
        <v>12.5</v>
      </c>
      <c r="Z20" t="e">
        <v>#NAME?</v>
      </c>
      <c r="AO20" t="s">
        <v>309</v>
      </c>
    </row>
    <row r="21" spans="1:41">
      <c r="A21" t="s">
        <v>598</v>
      </c>
      <c r="B21" t="s">
        <v>599</v>
      </c>
      <c r="C21" t="s">
        <v>646</v>
      </c>
      <c r="D21" t="s">
        <v>110</v>
      </c>
      <c r="E21">
        <v>2022</v>
      </c>
      <c r="F21">
        <v>0</v>
      </c>
      <c r="G21">
        <v>2</v>
      </c>
      <c r="H21">
        <v>0</v>
      </c>
      <c r="I21">
        <v>1</v>
      </c>
      <c r="J21">
        <v>1</v>
      </c>
      <c r="K21" t="s">
        <v>680</v>
      </c>
      <c r="L21">
        <v>2025</v>
      </c>
      <c r="M21">
        <v>1</v>
      </c>
      <c r="O21" t="s">
        <v>636</v>
      </c>
      <c r="P21" t="s">
        <v>681</v>
      </c>
      <c r="Q21" t="s">
        <v>682</v>
      </c>
      <c r="R21" t="s">
        <v>683</v>
      </c>
      <c r="S21" t="s">
        <v>363</v>
      </c>
      <c r="T21">
        <v>2</v>
      </c>
      <c r="U21" t="s">
        <v>331</v>
      </c>
      <c r="W21" t="s">
        <v>640</v>
      </c>
      <c r="Y21">
        <v>12.5</v>
      </c>
      <c r="Z21" t="e">
        <v>#NAME?</v>
      </c>
      <c r="AA21" t="s">
        <v>197</v>
      </c>
      <c r="AB21" t="s">
        <v>684</v>
      </c>
      <c r="AO21" t="s">
        <v>309</v>
      </c>
    </row>
    <row r="22" spans="1:41" ht="409.6">
      <c r="A22" t="s">
        <v>598</v>
      </c>
      <c r="B22" t="s">
        <v>599</v>
      </c>
      <c r="C22" t="s">
        <v>646</v>
      </c>
      <c r="D22" t="s">
        <v>110</v>
      </c>
      <c r="E22">
        <v>2022</v>
      </c>
      <c r="F22">
        <v>0</v>
      </c>
      <c r="G22">
        <v>2</v>
      </c>
      <c r="H22">
        <v>0</v>
      </c>
      <c r="I22">
        <v>1</v>
      </c>
      <c r="J22">
        <v>1</v>
      </c>
      <c r="K22" s="234" t="s">
        <v>685</v>
      </c>
      <c r="L22">
        <v>2030</v>
      </c>
      <c r="M22">
        <v>1</v>
      </c>
      <c r="N22" t="s">
        <v>686</v>
      </c>
      <c r="O22" t="s">
        <v>636</v>
      </c>
      <c r="R22" t="s">
        <v>687</v>
      </c>
      <c r="S22" t="s">
        <v>303</v>
      </c>
      <c r="T22">
        <v>2</v>
      </c>
      <c r="U22" t="s">
        <v>331</v>
      </c>
      <c r="W22" t="s">
        <v>640</v>
      </c>
      <c r="X22" t="s">
        <v>623</v>
      </c>
      <c r="Y22">
        <v>12.5</v>
      </c>
      <c r="Z22" t="e">
        <v>#NAME?</v>
      </c>
      <c r="AO22" t="s">
        <v>309</v>
      </c>
    </row>
    <row r="23" spans="1:41">
      <c r="A23" t="s">
        <v>598</v>
      </c>
      <c r="B23" t="s">
        <v>599</v>
      </c>
      <c r="C23" t="s">
        <v>646</v>
      </c>
      <c r="D23" t="s">
        <v>110</v>
      </c>
      <c r="E23">
        <v>2022</v>
      </c>
      <c r="F23">
        <v>0</v>
      </c>
      <c r="G23">
        <v>2</v>
      </c>
      <c r="H23">
        <v>0</v>
      </c>
      <c r="I23">
        <v>1</v>
      </c>
      <c r="J23">
        <v>1</v>
      </c>
      <c r="K23" t="s">
        <v>688</v>
      </c>
      <c r="L23">
        <v>2030</v>
      </c>
      <c r="M23">
        <v>1</v>
      </c>
      <c r="N23" t="s">
        <v>689</v>
      </c>
      <c r="O23" t="s">
        <v>636</v>
      </c>
      <c r="P23" t="s">
        <v>690</v>
      </c>
      <c r="Q23" t="s">
        <v>691</v>
      </c>
      <c r="R23" t="s">
        <v>692</v>
      </c>
      <c r="T23">
        <v>0</v>
      </c>
      <c r="U23" t="s">
        <v>331</v>
      </c>
      <c r="W23" t="s">
        <v>623</v>
      </c>
      <c r="Y23">
        <v>12.5</v>
      </c>
      <c r="Z23" t="e">
        <v>#NAME?</v>
      </c>
      <c r="AA23" t="s">
        <v>197</v>
      </c>
      <c r="AB23" t="s">
        <v>675</v>
      </c>
      <c r="AO23" t="s">
        <v>309</v>
      </c>
    </row>
    <row r="24" spans="1:41">
      <c r="A24" t="s">
        <v>598</v>
      </c>
      <c r="B24" t="s">
        <v>599</v>
      </c>
      <c r="C24" t="s">
        <v>693</v>
      </c>
      <c r="D24" t="s">
        <v>110</v>
      </c>
      <c r="E24">
        <v>2023</v>
      </c>
      <c r="F24">
        <v>0</v>
      </c>
      <c r="M24" t="s">
        <v>424</v>
      </c>
    </row>
    <row r="25" spans="1:41" ht="272">
      <c r="A25" t="s">
        <v>598</v>
      </c>
      <c r="B25" t="s">
        <v>599</v>
      </c>
      <c r="C25" t="s">
        <v>608</v>
      </c>
      <c r="D25" t="s">
        <v>101</v>
      </c>
      <c r="E25">
        <v>2023</v>
      </c>
      <c r="F25">
        <v>0</v>
      </c>
      <c r="G25">
        <v>2</v>
      </c>
      <c r="H25">
        <v>0</v>
      </c>
      <c r="I25">
        <v>1</v>
      </c>
      <c r="J25">
        <v>1</v>
      </c>
      <c r="K25" t="s">
        <v>694</v>
      </c>
      <c r="L25">
        <v>2030</v>
      </c>
      <c r="M25">
        <v>1</v>
      </c>
      <c r="N25" s="234" t="s">
        <v>695</v>
      </c>
      <c r="O25" t="s">
        <v>696</v>
      </c>
      <c r="P25" t="s">
        <v>697</v>
      </c>
      <c r="Q25" t="s">
        <v>698</v>
      </c>
      <c r="R25" t="s">
        <v>699</v>
      </c>
      <c r="S25" t="s">
        <v>519</v>
      </c>
      <c r="T25">
        <v>2</v>
      </c>
      <c r="U25" t="s">
        <v>700</v>
      </c>
      <c r="V25" t="s">
        <v>701</v>
      </c>
      <c r="W25" t="s">
        <v>606</v>
      </c>
      <c r="X25" t="s">
        <v>617</v>
      </c>
      <c r="Y25">
        <v>12.3</v>
      </c>
      <c r="Z25" t="e">
        <v>#NAME?</v>
      </c>
      <c r="AA25" t="s">
        <v>702</v>
      </c>
      <c r="AB25" t="s">
        <v>618</v>
      </c>
    </row>
    <row r="26" spans="1:41" ht="208">
      <c r="A26" t="s">
        <v>598</v>
      </c>
      <c r="B26" t="s">
        <v>599</v>
      </c>
      <c r="C26" t="s">
        <v>608</v>
      </c>
      <c r="D26" t="s">
        <v>101</v>
      </c>
      <c r="E26">
        <v>2023</v>
      </c>
      <c r="F26">
        <v>0</v>
      </c>
      <c r="G26">
        <v>2</v>
      </c>
      <c r="H26">
        <v>0</v>
      </c>
      <c r="I26">
        <v>1</v>
      </c>
      <c r="J26">
        <v>1</v>
      </c>
      <c r="K26" t="s">
        <v>703</v>
      </c>
      <c r="L26">
        <v>2030</v>
      </c>
      <c r="M26">
        <v>1</v>
      </c>
      <c r="N26" s="234" t="s">
        <v>704</v>
      </c>
      <c r="O26" t="s">
        <v>696</v>
      </c>
      <c r="P26" t="s">
        <v>697</v>
      </c>
      <c r="Q26" t="s">
        <v>705</v>
      </c>
      <c r="R26" t="s">
        <v>699</v>
      </c>
      <c r="S26" t="s">
        <v>519</v>
      </c>
      <c r="T26">
        <v>2</v>
      </c>
      <c r="U26" t="s">
        <v>700</v>
      </c>
      <c r="V26" t="s">
        <v>701</v>
      </c>
      <c r="W26" t="s">
        <v>606</v>
      </c>
      <c r="X26" t="s">
        <v>617</v>
      </c>
      <c r="Y26">
        <v>12.3</v>
      </c>
      <c r="Z26" t="e">
        <v>#NAME?</v>
      </c>
      <c r="AA26" t="s">
        <v>702</v>
      </c>
      <c r="AB26" t="s">
        <v>618</v>
      </c>
    </row>
    <row r="27" spans="1:41" ht="350">
      <c r="A27" t="s">
        <v>598</v>
      </c>
      <c r="B27" t="s">
        <v>706</v>
      </c>
      <c r="C27" t="s">
        <v>707</v>
      </c>
      <c r="D27" t="s">
        <v>298</v>
      </c>
      <c r="E27">
        <v>2023</v>
      </c>
      <c r="F27">
        <v>1</v>
      </c>
      <c r="G27">
        <v>3</v>
      </c>
      <c r="H27">
        <v>1</v>
      </c>
      <c r="J27">
        <v>1</v>
      </c>
      <c r="K27" s="234" t="s">
        <v>708</v>
      </c>
      <c r="L27">
        <v>2027</v>
      </c>
      <c r="M27">
        <v>1</v>
      </c>
      <c r="O27" t="s">
        <v>709</v>
      </c>
      <c r="R27" t="s">
        <v>710</v>
      </c>
      <c r="T27">
        <v>2</v>
      </c>
      <c r="U27" t="s">
        <v>331</v>
      </c>
      <c r="W27" t="s">
        <v>711</v>
      </c>
      <c r="X27" t="s">
        <v>623</v>
      </c>
      <c r="Y27">
        <v>12.5</v>
      </c>
      <c r="Z27" t="e">
        <v>#NAME?</v>
      </c>
    </row>
    <row r="28" spans="1:41" ht="409.6">
      <c r="A28" t="s">
        <v>598</v>
      </c>
      <c r="B28" t="s">
        <v>706</v>
      </c>
      <c r="C28" t="s">
        <v>707</v>
      </c>
      <c r="D28" t="s">
        <v>298</v>
      </c>
      <c r="E28">
        <v>2023</v>
      </c>
      <c r="F28">
        <v>1</v>
      </c>
      <c r="G28">
        <v>3</v>
      </c>
      <c r="H28">
        <v>1</v>
      </c>
      <c r="J28">
        <v>1</v>
      </c>
      <c r="K28" s="234" t="s">
        <v>712</v>
      </c>
      <c r="L28">
        <v>2027</v>
      </c>
      <c r="M28">
        <v>1</v>
      </c>
      <c r="N28" t="s">
        <v>713</v>
      </c>
      <c r="O28" t="s">
        <v>709</v>
      </c>
      <c r="R28" t="s">
        <v>714</v>
      </c>
      <c r="T28">
        <v>3</v>
      </c>
      <c r="U28" t="s">
        <v>331</v>
      </c>
      <c r="W28" t="s">
        <v>711</v>
      </c>
      <c r="X28" t="s">
        <v>623</v>
      </c>
      <c r="Y28">
        <v>12.5</v>
      </c>
      <c r="Z28" t="e">
        <v>#NAME?</v>
      </c>
    </row>
    <row r="29" spans="1:41" ht="409.6">
      <c r="A29" t="s">
        <v>598</v>
      </c>
      <c r="B29" t="s">
        <v>706</v>
      </c>
      <c r="C29" t="s">
        <v>707</v>
      </c>
      <c r="D29" t="s">
        <v>298</v>
      </c>
      <c r="E29">
        <v>2023</v>
      </c>
      <c r="F29">
        <v>1</v>
      </c>
      <c r="G29">
        <v>3</v>
      </c>
      <c r="H29">
        <v>1</v>
      </c>
      <c r="J29">
        <v>1</v>
      </c>
      <c r="K29" s="234" t="s">
        <v>715</v>
      </c>
      <c r="L29">
        <v>2030</v>
      </c>
      <c r="M29">
        <v>1</v>
      </c>
      <c r="O29" t="s">
        <v>709</v>
      </c>
      <c r="R29" t="s">
        <v>716</v>
      </c>
      <c r="T29">
        <v>2</v>
      </c>
      <c r="U29" t="s">
        <v>331</v>
      </c>
      <c r="W29" t="s">
        <v>711</v>
      </c>
      <c r="X29" t="s">
        <v>623</v>
      </c>
      <c r="Y29">
        <v>12.5</v>
      </c>
      <c r="Z29" t="e">
        <v>#NAME?</v>
      </c>
    </row>
    <row r="30" spans="1:41" ht="409.6">
      <c r="A30" t="s">
        <v>598</v>
      </c>
      <c r="B30" t="s">
        <v>706</v>
      </c>
      <c r="C30" t="s">
        <v>707</v>
      </c>
      <c r="D30" t="s">
        <v>298</v>
      </c>
      <c r="E30">
        <v>2023</v>
      </c>
      <c r="F30">
        <v>1</v>
      </c>
      <c r="G30">
        <v>3</v>
      </c>
      <c r="H30">
        <v>1</v>
      </c>
      <c r="J30">
        <v>1</v>
      </c>
      <c r="K30" s="234" t="s">
        <v>717</v>
      </c>
      <c r="L30">
        <v>2030</v>
      </c>
      <c r="M30">
        <v>1</v>
      </c>
      <c r="N30" t="s">
        <v>718</v>
      </c>
      <c r="O30" t="s">
        <v>709</v>
      </c>
      <c r="R30" s="234" t="s">
        <v>719</v>
      </c>
      <c r="T30">
        <v>3</v>
      </c>
      <c r="U30" t="s">
        <v>331</v>
      </c>
      <c r="W30" t="s">
        <v>711</v>
      </c>
      <c r="X30" t="s">
        <v>623</v>
      </c>
      <c r="Y30">
        <v>12.5</v>
      </c>
      <c r="Z30" t="e">
        <v>#NAME?</v>
      </c>
      <c r="AO30" t="s">
        <v>309</v>
      </c>
    </row>
    <row r="31" spans="1:41" ht="350">
      <c r="A31" t="s">
        <v>598</v>
      </c>
      <c r="B31" t="s">
        <v>706</v>
      </c>
      <c r="C31" t="s">
        <v>707</v>
      </c>
      <c r="D31" t="s">
        <v>298</v>
      </c>
      <c r="E31">
        <v>2023</v>
      </c>
      <c r="F31">
        <v>1</v>
      </c>
      <c r="G31">
        <v>3</v>
      </c>
      <c r="H31">
        <v>1</v>
      </c>
      <c r="J31">
        <v>1</v>
      </c>
      <c r="K31" s="234" t="s">
        <v>720</v>
      </c>
      <c r="L31">
        <v>2027</v>
      </c>
      <c r="M31">
        <v>1</v>
      </c>
      <c r="O31" t="s">
        <v>709</v>
      </c>
      <c r="P31" t="s">
        <v>721</v>
      </c>
      <c r="Q31" t="s">
        <v>722</v>
      </c>
      <c r="R31" t="s">
        <v>723</v>
      </c>
      <c r="T31">
        <v>1</v>
      </c>
      <c r="U31" t="s">
        <v>331</v>
      </c>
      <c r="W31" t="s">
        <v>711</v>
      </c>
      <c r="X31" t="s">
        <v>623</v>
      </c>
      <c r="Y31">
        <v>12.5</v>
      </c>
      <c r="Z31" t="e">
        <v>#NAME?</v>
      </c>
    </row>
    <row r="32" spans="1:41" ht="365">
      <c r="A32" t="s">
        <v>598</v>
      </c>
      <c r="B32" t="s">
        <v>706</v>
      </c>
      <c r="C32" t="s">
        <v>707</v>
      </c>
      <c r="D32" t="s">
        <v>298</v>
      </c>
      <c r="E32">
        <v>2023</v>
      </c>
      <c r="F32">
        <v>1</v>
      </c>
      <c r="G32">
        <v>3</v>
      </c>
      <c r="H32">
        <v>1</v>
      </c>
      <c r="J32">
        <v>1</v>
      </c>
      <c r="K32" s="234" t="s">
        <v>724</v>
      </c>
      <c r="L32">
        <v>2031</v>
      </c>
      <c r="M32">
        <v>1</v>
      </c>
      <c r="O32" t="s">
        <v>709</v>
      </c>
      <c r="P32" t="s">
        <v>725</v>
      </c>
      <c r="Q32" t="s">
        <v>726</v>
      </c>
      <c r="R32" t="s">
        <v>727</v>
      </c>
      <c r="T32">
        <v>0</v>
      </c>
      <c r="U32" t="s">
        <v>331</v>
      </c>
      <c r="W32" t="s">
        <v>711</v>
      </c>
      <c r="X32" t="s">
        <v>623</v>
      </c>
      <c r="Y32">
        <v>12.5</v>
      </c>
      <c r="Z32" t="e">
        <v>#NAME?</v>
      </c>
    </row>
    <row r="33" spans="1:41">
      <c r="A33" t="s">
        <v>598</v>
      </c>
      <c r="B33" t="s">
        <v>706</v>
      </c>
      <c r="C33" t="s">
        <v>707</v>
      </c>
      <c r="D33" t="s">
        <v>298</v>
      </c>
      <c r="E33">
        <v>2023</v>
      </c>
      <c r="F33">
        <v>1</v>
      </c>
      <c r="G33">
        <v>3</v>
      </c>
      <c r="H33">
        <v>1</v>
      </c>
      <c r="J33">
        <v>1</v>
      </c>
      <c r="K33" t="s">
        <v>728</v>
      </c>
      <c r="L33">
        <v>2028</v>
      </c>
      <c r="M33">
        <v>1</v>
      </c>
      <c r="O33" t="s">
        <v>709</v>
      </c>
      <c r="P33" t="s">
        <v>729</v>
      </c>
      <c r="Q33" t="s">
        <v>730</v>
      </c>
      <c r="R33" t="s">
        <v>731</v>
      </c>
      <c r="T33">
        <v>0</v>
      </c>
      <c r="U33" t="s">
        <v>331</v>
      </c>
      <c r="W33" t="s">
        <v>711</v>
      </c>
      <c r="X33" t="s">
        <v>623</v>
      </c>
      <c r="Y33">
        <v>12.5</v>
      </c>
      <c r="Z33" t="e">
        <v>#NAME?</v>
      </c>
    </row>
    <row r="34" spans="1:41" ht="409.6">
      <c r="A34" t="s">
        <v>598</v>
      </c>
      <c r="B34" t="s">
        <v>706</v>
      </c>
      <c r="C34" t="s">
        <v>707</v>
      </c>
      <c r="D34" t="s">
        <v>298</v>
      </c>
      <c r="E34">
        <v>2023</v>
      </c>
      <c r="F34">
        <v>1</v>
      </c>
      <c r="G34">
        <v>3</v>
      </c>
      <c r="H34">
        <v>1</v>
      </c>
      <c r="J34">
        <v>1</v>
      </c>
      <c r="K34" s="234" t="s">
        <v>732</v>
      </c>
      <c r="L34">
        <v>2023</v>
      </c>
      <c r="M34">
        <v>1</v>
      </c>
      <c r="N34" t="s">
        <v>733</v>
      </c>
      <c r="O34" t="s">
        <v>709</v>
      </c>
      <c r="P34" t="s">
        <v>734</v>
      </c>
      <c r="Q34" t="s">
        <v>735</v>
      </c>
      <c r="R34" s="234" t="s">
        <v>736</v>
      </c>
      <c r="T34">
        <v>0</v>
      </c>
      <c r="U34" t="s">
        <v>331</v>
      </c>
      <c r="W34" t="s">
        <v>711</v>
      </c>
      <c r="X34" t="s">
        <v>623</v>
      </c>
      <c r="Y34">
        <v>12.5</v>
      </c>
      <c r="Z34" t="e">
        <v>#NAME?</v>
      </c>
      <c r="AO34" t="s">
        <v>309</v>
      </c>
    </row>
    <row r="35" spans="1:41">
      <c r="A35" t="s">
        <v>598</v>
      </c>
      <c r="B35" t="s">
        <v>706</v>
      </c>
      <c r="C35" t="s">
        <v>707</v>
      </c>
      <c r="D35" t="s">
        <v>298</v>
      </c>
      <c r="E35">
        <v>2023</v>
      </c>
      <c r="F35">
        <v>1</v>
      </c>
      <c r="G35">
        <v>3</v>
      </c>
      <c r="H35">
        <v>1</v>
      </c>
      <c r="J35">
        <v>1</v>
      </c>
      <c r="K35" t="s">
        <v>737</v>
      </c>
      <c r="M35">
        <v>1</v>
      </c>
      <c r="O35" t="s">
        <v>709</v>
      </c>
      <c r="R35" t="s">
        <v>738</v>
      </c>
      <c r="T35">
        <v>1</v>
      </c>
      <c r="U35" t="s">
        <v>331</v>
      </c>
      <c r="W35" t="s">
        <v>711</v>
      </c>
      <c r="X35" t="s">
        <v>623</v>
      </c>
      <c r="Y35">
        <v>12.5</v>
      </c>
      <c r="Z35" t="e">
        <v>#NAME?</v>
      </c>
    </row>
    <row r="36" spans="1:41">
      <c r="A36" t="s">
        <v>598</v>
      </c>
      <c r="B36" t="s">
        <v>739</v>
      </c>
    </row>
    <row r="37" spans="1:41">
      <c r="A37" t="s">
        <v>598</v>
      </c>
      <c r="B37" t="s">
        <v>740</v>
      </c>
      <c r="C37" t="s">
        <v>741</v>
      </c>
      <c r="D37" t="s">
        <v>321</v>
      </c>
      <c r="E37">
        <v>2023</v>
      </c>
      <c r="F37">
        <v>0</v>
      </c>
    </row>
    <row r="38" spans="1:41">
      <c r="A38" t="s">
        <v>598</v>
      </c>
      <c r="B38" t="s">
        <v>740</v>
      </c>
      <c r="C38" t="s">
        <v>742</v>
      </c>
      <c r="D38" t="s">
        <v>110</v>
      </c>
      <c r="E38">
        <v>2023</v>
      </c>
      <c r="F38">
        <v>0</v>
      </c>
      <c r="G38">
        <v>2</v>
      </c>
      <c r="H38">
        <v>0</v>
      </c>
      <c r="I38">
        <v>1</v>
      </c>
      <c r="J38">
        <v>1</v>
      </c>
      <c r="K38" t="s">
        <v>743</v>
      </c>
      <c r="L38">
        <v>2040</v>
      </c>
      <c r="M38">
        <v>1</v>
      </c>
      <c r="O38" t="s">
        <v>744</v>
      </c>
      <c r="U38" t="s">
        <v>331</v>
      </c>
      <c r="W38" t="s">
        <v>401</v>
      </c>
      <c r="Y38">
        <v>12.2</v>
      </c>
      <c r="Z38" t="e">
        <v>#NAME?</v>
      </c>
    </row>
    <row r="39" spans="1:41">
      <c r="A39" t="s">
        <v>598</v>
      </c>
      <c r="B39" t="s">
        <v>740</v>
      </c>
      <c r="C39" t="s">
        <v>745</v>
      </c>
      <c r="D39" t="s">
        <v>110</v>
      </c>
      <c r="E39">
        <v>2023</v>
      </c>
      <c r="F39">
        <v>0</v>
      </c>
      <c r="G39">
        <v>2</v>
      </c>
      <c r="H39">
        <v>0</v>
      </c>
      <c r="I39">
        <v>1</v>
      </c>
      <c r="J39">
        <v>1</v>
      </c>
      <c r="K39" t="s">
        <v>746</v>
      </c>
      <c r="L39">
        <v>2030</v>
      </c>
      <c r="M39">
        <v>1</v>
      </c>
      <c r="O39" t="s">
        <v>744</v>
      </c>
      <c r="P39" t="s">
        <v>747</v>
      </c>
      <c r="Q39">
        <v>0.65</v>
      </c>
      <c r="R39" t="s">
        <v>748</v>
      </c>
      <c r="T39">
        <v>2</v>
      </c>
      <c r="U39" t="s">
        <v>331</v>
      </c>
      <c r="W39" t="s">
        <v>401</v>
      </c>
      <c r="Y39">
        <v>12.2</v>
      </c>
      <c r="Z39" t="e">
        <v>#NAME?</v>
      </c>
      <c r="AA39" t="s">
        <v>749</v>
      </c>
    </row>
    <row r="40" spans="1:41" ht="409.6">
      <c r="A40" t="s">
        <v>598</v>
      </c>
      <c r="B40" t="s">
        <v>740</v>
      </c>
      <c r="C40" t="s">
        <v>745</v>
      </c>
      <c r="D40" t="s">
        <v>110</v>
      </c>
      <c r="E40">
        <v>2023</v>
      </c>
      <c r="F40">
        <v>0</v>
      </c>
      <c r="G40">
        <v>2</v>
      </c>
      <c r="H40">
        <v>0</v>
      </c>
      <c r="I40">
        <v>1</v>
      </c>
      <c r="J40">
        <v>1</v>
      </c>
      <c r="K40" t="s">
        <v>750</v>
      </c>
      <c r="L40">
        <v>2030</v>
      </c>
      <c r="M40">
        <v>1</v>
      </c>
      <c r="N40" t="s">
        <v>751</v>
      </c>
      <c r="O40" t="s">
        <v>744</v>
      </c>
      <c r="P40" t="s">
        <v>752</v>
      </c>
      <c r="Q40">
        <v>0.15</v>
      </c>
      <c r="R40" s="234" t="s">
        <v>753</v>
      </c>
      <c r="T40">
        <v>2</v>
      </c>
      <c r="U40" t="s">
        <v>331</v>
      </c>
      <c r="W40" t="s">
        <v>401</v>
      </c>
      <c r="X40" t="s">
        <v>623</v>
      </c>
      <c r="Y40">
        <v>12.2</v>
      </c>
      <c r="Z40" t="e">
        <v>#NAME?</v>
      </c>
      <c r="AA40" t="s">
        <v>754</v>
      </c>
      <c r="AB40" t="s">
        <v>755</v>
      </c>
    </row>
    <row r="41" spans="1:41" ht="409.6">
      <c r="A41" t="s">
        <v>598</v>
      </c>
      <c r="B41" t="s">
        <v>740</v>
      </c>
      <c r="C41" t="s">
        <v>745</v>
      </c>
      <c r="D41" t="s">
        <v>110</v>
      </c>
      <c r="E41">
        <v>2023</v>
      </c>
      <c r="F41">
        <v>0</v>
      </c>
      <c r="G41">
        <v>2</v>
      </c>
      <c r="H41">
        <v>0</v>
      </c>
      <c r="I41">
        <v>1</v>
      </c>
      <c r="J41">
        <v>1</v>
      </c>
      <c r="K41" t="s">
        <v>756</v>
      </c>
      <c r="L41">
        <v>2030</v>
      </c>
      <c r="M41">
        <v>1</v>
      </c>
      <c r="N41" t="s">
        <v>757</v>
      </c>
      <c r="O41" t="s">
        <v>744</v>
      </c>
      <c r="P41" t="s">
        <v>758</v>
      </c>
      <c r="Q41">
        <v>0.4</v>
      </c>
      <c r="R41" s="234" t="s">
        <v>759</v>
      </c>
      <c r="T41">
        <v>2</v>
      </c>
      <c r="U41" t="s">
        <v>331</v>
      </c>
      <c r="W41" t="s">
        <v>401</v>
      </c>
      <c r="Y41">
        <v>12.2</v>
      </c>
      <c r="Z41" t="e">
        <v>#NAME?</v>
      </c>
      <c r="AA41" t="s">
        <v>754</v>
      </c>
      <c r="AB41" t="s">
        <v>760</v>
      </c>
      <c r="AC41" t="s">
        <v>761</v>
      </c>
    </row>
    <row r="42" spans="1:41" ht="409.6">
      <c r="A42" t="s">
        <v>598</v>
      </c>
      <c r="B42" t="s">
        <v>740</v>
      </c>
      <c r="C42" t="s">
        <v>745</v>
      </c>
      <c r="D42" t="s">
        <v>110</v>
      </c>
      <c r="E42">
        <v>2023</v>
      </c>
      <c r="F42">
        <v>0</v>
      </c>
      <c r="G42">
        <v>2</v>
      </c>
      <c r="H42">
        <v>0</v>
      </c>
      <c r="I42">
        <v>1</v>
      </c>
      <c r="J42">
        <v>1</v>
      </c>
      <c r="K42" t="s">
        <v>762</v>
      </c>
      <c r="L42">
        <v>2030</v>
      </c>
      <c r="M42">
        <v>1</v>
      </c>
      <c r="N42" t="s">
        <v>763</v>
      </c>
      <c r="O42" t="s">
        <v>744</v>
      </c>
      <c r="P42" t="s">
        <v>764</v>
      </c>
      <c r="Q42">
        <v>0.1</v>
      </c>
      <c r="R42" s="234" t="s">
        <v>765</v>
      </c>
      <c r="T42">
        <v>2</v>
      </c>
      <c r="U42" t="s">
        <v>498</v>
      </c>
      <c r="W42" t="s">
        <v>401</v>
      </c>
      <c r="Y42">
        <v>12.2</v>
      </c>
      <c r="Z42" t="e">
        <v>#NAME?</v>
      </c>
      <c r="AA42" t="s">
        <v>754</v>
      </c>
      <c r="AB42" t="s">
        <v>760</v>
      </c>
      <c r="AC42" t="s">
        <v>761</v>
      </c>
    </row>
    <row r="43" spans="1:41">
      <c r="A43" t="s">
        <v>598</v>
      </c>
      <c r="B43" t="s">
        <v>740</v>
      </c>
      <c r="C43" t="s">
        <v>766</v>
      </c>
      <c r="D43" t="s">
        <v>321</v>
      </c>
      <c r="E43">
        <v>2020</v>
      </c>
      <c r="F43">
        <v>0</v>
      </c>
      <c r="M43" t="s">
        <v>424</v>
      </c>
    </row>
    <row r="44" spans="1:41">
      <c r="A44" t="s">
        <v>598</v>
      </c>
      <c r="B44" t="s">
        <v>740</v>
      </c>
      <c r="C44" t="s">
        <v>767</v>
      </c>
      <c r="D44" t="s">
        <v>321</v>
      </c>
      <c r="E44">
        <v>2021</v>
      </c>
      <c r="F44">
        <v>0</v>
      </c>
      <c r="M44" t="s">
        <v>424</v>
      </c>
    </row>
    <row r="45" spans="1:41">
      <c r="A45" t="s">
        <v>598</v>
      </c>
      <c r="B45" t="s">
        <v>768</v>
      </c>
      <c r="C45" t="s">
        <v>769</v>
      </c>
      <c r="D45" t="s">
        <v>321</v>
      </c>
      <c r="E45">
        <v>2022</v>
      </c>
      <c r="F45">
        <v>0</v>
      </c>
      <c r="G45">
        <v>0</v>
      </c>
      <c r="H45">
        <v>0</v>
      </c>
      <c r="I45">
        <v>0</v>
      </c>
      <c r="J45">
        <v>1</v>
      </c>
      <c r="K45" t="s">
        <v>770</v>
      </c>
      <c r="L45">
        <v>2030</v>
      </c>
      <c r="O45" t="s">
        <v>610</v>
      </c>
      <c r="R45" t="s">
        <v>771</v>
      </c>
      <c r="T45">
        <v>2</v>
      </c>
      <c r="Y45">
        <v>12.5</v>
      </c>
      <c r="Z45" t="e">
        <v>#NAME?</v>
      </c>
    </row>
    <row r="46" spans="1:41">
      <c r="A46" t="s">
        <v>598</v>
      </c>
      <c r="B46" t="s">
        <v>768</v>
      </c>
      <c r="C46" t="s">
        <v>769</v>
      </c>
      <c r="D46" t="s">
        <v>321</v>
      </c>
      <c r="E46">
        <v>2022</v>
      </c>
      <c r="F46">
        <v>0</v>
      </c>
      <c r="G46">
        <v>0</v>
      </c>
      <c r="H46">
        <v>0</v>
      </c>
      <c r="I46">
        <v>0</v>
      </c>
      <c r="J46">
        <v>1</v>
      </c>
      <c r="K46" t="s">
        <v>772</v>
      </c>
      <c r="L46">
        <v>2030</v>
      </c>
      <c r="O46" t="s">
        <v>610</v>
      </c>
      <c r="R46" t="s">
        <v>773</v>
      </c>
      <c r="T46">
        <v>0</v>
      </c>
      <c r="Y46">
        <v>12.5</v>
      </c>
      <c r="Z46" t="e">
        <v>#NAME?</v>
      </c>
    </row>
    <row r="47" spans="1:41">
      <c r="A47" t="s">
        <v>598</v>
      </c>
      <c r="B47" t="s">
        <v>768</v>
      </c>
      <c r="C47" t="s">
        <v>774</v>
      </c>
      <c r="D47" t="s">
        <v>321</v>
      </c>
      <c r="E47">
        <v>2020</v>
      </c>
      <c r="F47">
        <v>0</v>
      </c>
      <c r="G47">
        <v>1</v>
      </c>
      <c r="H47">
        <v>0</v>
      </c>
      <c r="I47">
        <v>0</v>
      </c>
      <c r="J47">
        <v>1</v>
      </c>
      <c r="K47" t="s">
        <v>775</v>
      </c>
      <c r="L47">
        <v>2030</v>
      </c>
      <c r="M47">
        <v>1</v>
      </c>
      <c r="O47" t="s">
        <v>602</v>
      </c>
      <c r="P47" t="s">
        <v>776</v>
      </c>
      <c r="Q47">
        <v>0.23400000000000001</v>
      </c>
      <c r="R47" t="s">
        <v>777</v>
      </c>
      <c r="S47" t="s">
        <v>519</v>
      </c>
      <c r="T47">
        <v>1</v>
      </c>
      <c r="U47" t="s">
        <v>778</v>
      </c>
      <c r="V47" t="s">
        <v>779</v>
      </c>
      <c r="W47" t="s">
        <v>623</v>
      </c>
      <c r="Y47">
        <v>12.5</v>
      </c>
      <c r="Z47" t="e">
        <v>#NAME?</v>
      </c>
      <c r="AB47" t="s">
        <v>780</v>
      </c>
      <c r="AO47" t="s">
        <v>309</v>
      </c>
    </row>
    <row r="48" spans="1:41">
      <c r="A48" t="s">
        <v>598</v>
      </c>
      <c r="B48" t="s">
        <v>768</v>
      </c>
      <c r="C48" t="s">
        <v>774</v>
      </c>
      <c r="D48" t="s">
        <v>321</v>
      </c>
      <c r="E48">
        <v>2020</v>
      </c>
      <c r="F48">
        <v>0</v>
      </c>
      <c r="G48">
        <v>1</v>
      </c>
      <c r="H48">
        <v>0</v>
      </c>
      <c r="I48">
        <v>0</v>
      </c>
      <c r="J48">
        <v>1</v>
      </c>
      <c r="K48" t="s">
        <v>781</v>
      </c>
      <c r="L48">
        <v>2035</v>
      </c>
      <c r="M48">
        <v>1</v>
      </c>
      <c r="O48" t="s">
        <v>602</v>
      </c>
      <c r="P48" t="s">
        <v>782</v>
      </c>
      <c r="Q48">
        <v>0.1</v>
      </c>
      <c r="R48" t="s">
        <v>783</v>
      </c>
      <c r="T48">
        <v>2</v>
      </c>
      <c r="U48" t="s">
        <v>784</v>
      </c>
      <c r="V48" t="s">
        <v>785</v>
      </c>
      <c r="W48" t="s">
        <v>606</v>
      </c>
      <c r="Y48">
        <v>11.6</v>
      </c>
      <c r="Z48" t="e">
        <v>#NAME?</v>
      </c>
      <c r="AA48" t="s">
        <v>197</v>
      </c>
      <c r="AB48" t="s">
        <v>786</v>
      </c>
      <c r="AO48" t="s">
        <v>309</v>
      </c>
    </row>
    <row r="49" spans="1:41" ht="32">
      <c r="A49" t="s">
        <v>598</v>
      </c>
      <c r="B49" t="s">
        <v>768</v>
      </c>
      <c r="C49" t="s">
        <v>774</v>
      </c>
      <c r="D49" t="s">
        <v>321</v>
      </c>
      <c r="E49">
        <v>2020</v>
      </c>
      <c r="F49">
        <v>0</v>
      </c>
      <c r="G49">
        <v>1</v>
      </c>
      <c r="H49">
        <v>0</v>
      </c>
      <c r="I49">
        <v>0</v>
      </c>
      <c r="J49">
        <v>1</v>
      </c>
      <c r="K49" t="s">
        <v>787</v>
      </c>
      <c r="L49">
        <v>2030</v>
      </c>
      <c r="M49">
        <v>1</v>
      </c>
      <c r="O49" t="s">
        <v>602</v>
      </c>
      <c r="P49" t="s">
        <v>788</v>
      </c>
      <c r="Q49">
        <v>0.5</v>
      </c>
      <c r="R49" t="s">
        <v>789</v>
      </c>
      <c r="S49" t="s">
        <v>519</v>
      </c>
      <c r="T49">
        <v>2</v>
      </c>
      <c r="U49" t="s">
        <v>784</v>
      </c>
      <c r="V49" s="234" t="s">
        <v>790</v>
      </c>
      <c r="W49" t="s">
        <v>606</v>
      </c>
      <c r="Y49">
        <v>11.6</v>
      </c>
      <c r="Z49" t="e">
        <v>#NAME?</v>
      </c>
      <c r="AA49" t="s">
        <v>197</v>
      </c>
      <c r="AB49" t="s">
        <v>624</v>
      </c>
      <c r="AC49" t="s">
        <v>791</v>
      </c>
      <c r="AO49" t="s">
        <v>309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J55"/>
  <sheetViews>
    <sheetView topLeftCell="J2" workbookViewId="0">
      <selection activeCell="J2" sqref="J2"/>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c r="A2" t="s">
        <v>403</v>
      </c>
      <c r="B2" t="s">
        <v>404</v>
      </c>
      <c r="C2" t="s">
        <v>405</v>
      </c>
      <c r="D2" t="s">
        <v>321</v>
      </c>
      <c r="E2">
        <v>2022</v>
      </c>
      <c r="F2">
        <v>0</v>
      </c>
      <c r="G2">
        <v>1</v>
      </c>
      <c r="H2">
        <v>0</v>
      </c>
      <c r="I2">
        <v>0</v>
      </c>
      <c r="J2">
        <v>1</v>
      </c>
      <c r="K2" t="s">
        <v>406</v>
      </c>
      <c r="L2">
        <v>2030</v>
      </c>
      <c r="M2">
        <v>1</v>
      </c>
      <c r="O2" t="s">
        <v>407</v>
      </c>
      <c r="R2" t="s">
        <v>408</v>
      </c>
      <c r="T2">
        <v>1</v>
      </c>
      <c r="U2" t="s">
        <v>331</v>
      </c>
      <c r="W2" t="s">
        <v>400</v>
      </c>
      <c r="X2" t="s">
        <v>401</v>
      </c>
      <c r="Y2">
        <v>9.4</v>
      </c>
      <c r="Z2" t="e">
        <v>#NAME?</v>
      </c>
      <c r="AF2" t="s">
        <v>309</v>
      </c>
      <c r="AP2" t="s">
        <v>310</v>
      </c>
    </row>
    <row r="3" spans="1:62">
      <c r="A3" t="s">
        <v>403</v>
      </c>
      <c r="B3" t="s">
        <v>409</v>
      </c>
      <c r="C3" t="s">
        <v>410</v>
      </c>
      <c r="D3" t="s">
        <v>321</v>
      </c>
      <c r="E3">
        <v>2020</v>
      </c>
      <c r="F3">
        <v>0</v>
      </c>
      <c r="G3">
        <v>1</v>
      </c>
      <c r="H3">
        <v>0</v>
      </c>
      <c r="I3">
        <v>0</v>
      </c>
      <c r="J3">
        <v>1</v>
      </c>
      <c r="K3" t="s">
        <v>411</v>
      </c>
      <c r="L3">
        <v>2030</v>
      </c>
      <c r="M3">
        <v>1</v>
      </c>
      <c r="O3" t="s">
        <v>412</v>
      </c>
      <c r="P3" t="s">
        <v>413</v>
      </c>
      <c r="Q3" t="s">
        <v>414</v>
      </c>
      <c r="R3" t="s">
        <v>415</v>
      </c>
      <c r="T3">
        <v>2</v>
      </c>
      <c r="W3" t="s">
        <v>416</v>
      </c>
      <c r="Y3">
        <v>7.2</v>
      </c>
      <c r="Z3" t="e">
        <v>#NAME?</v>
      </c>
      <c r="AA3" t="s">
        <v>417</v>
      </c>
      <c r="AB3" t="s">
        <v>418</v>
      </c>
      <c r="AE3" t="s">
        <v>309</v>
      </c>
    </row>
    <row r="4" spans="1:62">
      <c r="A4" t="s">
        <v>403</v>
      </c>
      <c r="B4" t="s">
        <v>409</v>
      </c>
      <c r="C4" t="s">
        <v>410</v>
      </c>
      <c r="D4" t="s">
        <v>321</v>
      </c>
      <c r="E4">
        <v>2020</v>
      </c>
      <c r="F4">
        <v>0</v>
      </c>
      <c r="G4">
        <v>1</v>
      </c>
      <c r="H4">
        <v>0</v>
      </c>
      <c r="I4">
        <v>0</v>
      </c>
      <c r="J4">
        <v>1</v>
      </c>
      <c r="K4" t="s">
        <v>419</v>
      </c>
      <c r="L4">
        <v>2030</v>
      </c>
      <c r="M4">
        <v>1</v>
      </c>
      <c r="O4" t="s">
        <v>412</v>
      </c>
      <c r="P4" t="s">
        <v>420</v>
      </c>
      <c r="Q4" t="s">
        <v>421</v>
      </c>
      <c r="R4" t="s">
        <v>422</v>
      </c>
      <c r="T4">
        <v>2</v>
      </c>
      <c r="W4" t="s">
        <v>416</v>
      </c>
      <c r="Y4">
        <v>7.2</v>
      </c>
      <c r="Z4" t="e">
        <v>#NAME?</v>
      </c>
      <c r="AA4" t="s">
        <v>417</v>
      </c>
      <c r="AB4" t="s">
        <v>418</v>
      </c>
      <c r="AE4" t="s">
        <v>309</v>
      </c>
    </row>
    <row r="5" spans="1:62" hidden="1">
      <c r="A5" t="s">
        <v>403</v>
      </c>
      <c r="B5" t="s">
        <v>409</v>
      </c>
      <c r="C5" t="s">
        <v>423</v>
      </c>
      <c r="D5" t="s">
        <v>321</v>
      </c>
      <c r="E5">
        <v>2023</v>
      </c>
      <c r="F5">
        <v>0</v>
      </c>
      <c r="M5" t="s">
        <v>424</v>
      </c>
    </row>
    <row r="6" spans="1:62" hidden="1">
      <c r="A6" t="s">
        <v>403</v>
      </c>
      <c r="B6" t="s">
        <v>409</v>
      </c>
      <c r="C6" t="s">
        <v>425</v>
      </c>
      <c r="D6" t="s">
        <v>321</v>
      </c>
      <c r="E6">
        <v>2023</v>
      </c>
      <c r="F6">
        <v>0</v>
      </c>
      <c r="M6" t="s">
        <v>424</v>
      </c>
    </row>
    <row r="7" spans="1:62">
      <c r="A7" t="s">
        <v>403</v>
      </c>
      <c r="B7" t="s">
        <v>426</v>
      </c>
      <c r="C7" t="s">
        <v>427</v>
      </c>
      <c r="D7" t="s">
        <v>321</v>
      </c>
      <c r="E7">
        <v>2020</v>
      </c>
      <c r="F7">
        <v>0</v>
      </c>
      <c r="G7">
        <v>1</v>
      </c>
      <c r="H7">
        <v>0</v>
      </c>
      <c r="I7">
        <v>0</v>
      </c>
      <c r="J7">
        <v>1</v>
      </c>
      <c r="K7" t="s">
        <v>428</v>
      </c>
      <c r="L7">
        <v>2030</v>
      </c>
      <c r="M7">
        <v>1</v>
      </c>
      <c r="O7" t="s">
        <v>429</v>
      </c>
      <c r="P7" t="s">
        <v>430</v>
      </c>
      <c r="Q7" t="s">
        <v>431</v>
      </c>
      <c r="R7" t="s">
        <v>432</v>
      </c>
      <c r="S7" t="s">
        <v>363</v>
      </c>
      <c r="T7">
        <v>3</v>
      </c>
      <c r="U7" t="s">
        <v>433</v>
      </c>
      <c r="V7" t="s">
        <v>434</v>
      </c>
      <c r="W7" t="s">
        <v>416</v>
      </c>
      <c r="Y7">
        <v>7.2</v>
      </c>
      <c r="Z7" t="e">
        <v>#NAME?</v>
      </c>
      <c r="AE7" t="s">
        <v>309</v>
      </c>
    </row>
    <row r="8" spans="1:62" hidden="1">
      <c r="A8" t="s">
        <v>403</v>
      </c>
      <c r="B8" t="s">
        <v>435</v>
      </c>
      <c r="C8" t="s">
        <v>436</v>
      </c>
      <c r="D8" t="s">
        <v>298</v>
      </c>
      <c r="E8">
        <v>2022</v>
      </c>
      <c r="F8">
        <v>1</v>
      </c>
      <c r="M8" t="s">
        <v>424</v>
      </c>
    </row>
    <row r="9" spans="1:62">
      <c r="A9" t="s">
        <v>403</v>
      </c>
      <c r="C9" t="s">
        <v>405</v>
      </c>
      <c r="D9" t="s">
        <v>321</v>
      </c>
      <c r="E9">
        <v>2022</v>
      </c>
      <c r="F9">
        <v>0</v>
      </c>
      <c r="G9">
        <v>1</v>
      </c>
      <c r="H9">
        <v>0</v>
      </c>
      <c r="I9">
        <v>0</v>
      </c>
      <c r="J9">
        <v>1</v>
      </c>
      <c r="K9" t="s">
        <v>437</v>
      </c>
      <c r="L9">
        <v>2030</v>
      </c>
      <c r="M9">
        <v>1</v>
      </c>
      <c r="N9" t="s">
        <v>438</v>
      </c>
      <c r="O9" t="s">
        <v>407</v>
      </c>
      <c r="R9" t="s">
        <v>439</v>
      </c>
      <c r="S9" t="s">
        <v>440</v>
      </c>
      <c r="T9">
        <v>3</v>
      </c>
      <c r="U9" t="s">
        <v>331</v>
      </c>
      <c r="W9" t="s">
        <v>400</v>
      </c>
      <c r="X9" t="s">
        <v>401</v>
      </c>
      <c r="Y9">
        <v>9.4</v>
      </c>
      <c r="Z9" t="e">
        <v>#NAME?</v>
      </c>
      <c r="AA9" t="s">
        <v>216</v>
      </c>
      <c r="AB9" t="s">
        <v>441</v>
      </c>
      <c r="AE9" t="s">
        <v>310</v>
      </c>
      <c r="AF9" t="s">
        <v>309</v>
      </c>
    </row>
    <row r="10" spans="1:62" ht="409.6">
      <c r="A10" t="s">
        <v>403</v>
      </c>
      <c r="C10" t="s">
        <v>405</v>
      </c>
      <c r="D10" t="s">
        <v>321</v>
      </c>
      <c r="E10">
        <v>2022</v>
      </c>
      <c r="F10">
        <v>0</v>
      </c>
      <c r="G10">
        <v>1</v>
      </c>
      <c r="H10">
        <v>0</v>
      </c>
      <c r="I10">
        <v>0</v>
      </c>
      <c r="J10">
        <v>1</v>
      </c>
      <c r="K10" t="s">
        <v>442</v>
      </c>
      <c r="L10">
        <v>2030</v>
      </c>
      <c r="M10">
        <v>1</v>
      </c>
      <c r="N10" s="234" t="s">
        <v>443</v>
      </c>
      <c r="O10" t="s">
        <v>407</v>
      </c>
      <c r="R10" t="s">
        <v>444</v>
      </c>
      <c r="S10" t="s">
        <v>445</v>
      </c>
      <c r="T10">
        <v>0</v>
      </c>
      <c r="U10" t="s">
        <v>331</v>
      </c>
      <c r="W10" t="s">
        <v>400</v>
      </c>
      <c r="Y10">
        <v>9.1</v>
      </c>
      <c r="Z10" t="e">
        <v>#NAME?</v>
      </c>
      <c r="AA10" t="s">
        <v>216</v>
      </c>
      <c r="AB10" t="s">
        <v>441</v>
      </c>
      <c r="AE10" t="s">
        <v>310</v>
      </c>
      <c r="AF10" t="s">
        <v>309</v>
      </c>
    </row>
    <row r="11" spans="1:62">
      <c r="A11" t="s">
        <v>403</v>
      </c>
      <c r="B11" t="s">
        <v>446</v>
      </c>
      <c r="C11" t="s">
        <v>447</v>
      </c>
      <c r="D11" t="s">
        <v>298</v>
      </c>
      <c r="E11">
        <v>2018</v>
      </c>
      <c r="F11">
        <v>1</v>
      </c>
      <c r="G11">
        <v>3</v>
      </c>
      <c r="H11">
        <v>1</v>
      </c>
      <c r="J11">
        <v>1</v>
      </c>
      <c r="K11" t="s">
        <v>448</v>
      </c>
      <c r="L11">
        <v>2030</v>
      </c>
      <c r="M11">
        <v>1</v>
      </c>
      <c r="N11" t="s">
        <v>449</v>
      </c>
      <c r="O11" t="s">
        <v>450</v>
      </c>
      <c r="W11" t="s">
        <v>451</v>
      </c>
      <c r="Y11">
        <v>9.1</v>
      </c>
      <c r="Z11" t="e">
        <v>#NAME?</v>
      </c>
      <c r="AE11" t="s">
        <v>309</v>
      </c>
    </row>
    <row r="12" spans="1:62" hidden="1">
      <c r="A12" t="s">
        <v>403</v>
      </c>
      <c r="B12" t="s">
        <v>446</v>
      </c>
      <c r="C12" t="s">
        <v>452</v>
      </c>
      <c r="D12" t="s">
        <v>453</v>
      </c>
      <c r="E12">
        <v>2022</v>
      </c>
      <c r="F12">
        <v>1</v>
      </c>
    </row>
    <row r="13" spans="1:62" hidden="1">
      <c r="A13" t="s">
        <v>403</v>
      </c>
      <c r="B13" t="s">
        <v>446</v>
      </c>
      <c r="C13" t="s">
        <v>454</v>
      </c>
      <c r="D13" t="s">
        <v>321</v>
      </c>
      <c r="E13">
        <v>2020</v>
      </c>
      <c r="F13">
        <v>0</v>
      </c>
    </row>
    <row r="14" spans="1:62">
      <c r="A14" t="s">
        <v>403</v>
      </c>
      <c r="B14" t="s">
        <v>334</v>
      </c>
      <c r="C14" t="s">
        <v>150</v>
      </c>
      <c r="D14" t="s">
        <v>321</v>
      </c>
      <c r="E14">
        <v>2022</v>
      </c>
      <c r="F14">
        <v>0</v>
      </c>
      <c r="G14">
        <v>1</v>
      </c>
      <c r="H14">
        <v>0</v>
      </c>
      <c r="I14">
        <v>0</v>
      </c>
      <c r="J14">
        <v>1</v>
      </c>
      <c r="K14" t="s">
        <v>455</v>
      </c>
      <c r="L14">
        <v>2025</v>
      </c>
      <c r="M14">
        <v>1</v>
      </c>
      <c r="N14" t="s">
        <v>456</v>
      </c>
      <c r="O14" t="s">
        <v>457</v>
      </c>
      <c r="R14" t="s">
        <v>458</v>
      </c>
      <c r="T14">
        <v>2</v>
      </c>
      <c r="W14" t="s">
        <v>416</v>
      </c>
      <c r="Y14">
        <v>7.2</v>
      </c>
      <c r="Z14" t="e">
        <v>#NAME?</v>
      </c>
      <c r="AB14" t="s">
        <v>459</v>
      </c>
      <c r="AC14" t="s">
        <v>460</v>
      </c>
      <c r="AD14" t="s">
        <v>461</v>
      </c>
      <c r="AE14" t="s">
        <v>310</v>
      </c>
      <c r="AJ14" t="s">
        <v>309</v>
      </c>
    </row>
    <row r="15" spans="1:62">
      <c r="A15" t="s">
        <v>403</v>
      </c>
      <c r="B15" t="s">
        <v>462</v>
      </c>
      <c r="C15" t="s">
        <v>463</v>
      </c>
      <c r="D15" t="s">
        <v>101</v>
      </c>
      <c r="E15">
        <v>2021</v>
      </c>
      <c r="F15">
        <v>0</v>
      </c>
      <c r="G15">
        <v>2</v>
      </c>
      <c r="H15">
        <v>0</v>
      </c>
      <c r="I15">
        <v>1</v>
      </c>
      <c r="J15">
        <v>1</v>
      </c>
      <c r="K15" t="s">
        <v>464</v>
      </c>
      <c r="L15">
        <v>2030</v>
      </c>
      <c r="M15">
        <v>1</v>
      </c>
      <c r="O15" t="s">
        <v>465</v>
      </c>
      <c r="P15" t="s">
        <v>466</v>
      </c>
      <c r="R15" t="s">
        <v>467</v>
      </c>
      <c r="W15" t="s">
        <v>332</v>
      </c>
      <c r="X15" t="s">
        <v>468</v>
      </c>
      <c r="Y15">
        <v>7.3</v>
      </c>
      <c r="Z15" t="e">
        <v>#NAME?</v>
      </c>
      <c r="AE15" t="s">
        <v>310</v>
      </c>
      <c r="AJ15" t="s">
        <v>309</v>
      </c>
    </row>
    <row r="16" spans="1:62" hidden="1">
      <c r="A16" t="s">
        <v>403</v>
      </c>
      <c r="B16" t="s">
        <v>462</v>
      </c>
      <c r="C16" t="s">
        <v>463</v>
      </c>
      <c r="D16" t="s">
        <v>101</v>
      </c>
      <c r="E16">
        <v>2021</v>
      </c>
      <c r="F16">
        <v>0</v>
      </c>
      <c r="H16">
        <v>0</v>
      </c>
      <c r="I16">
        <v>1</v>
      </c>
      <c r="K16" t="s">
        <v>469</v>
      </c>
      <c r="L16">
        <v>2030</v>
      </c>
      <c r="M16">
        <v>1</v>
      </c>
      <c r="N16" t="s">
        <v>470</v>
      </c>
      <c r="O16" t="s">
        <v>465</v>
      </c>
      <c r="P16" t="s">
        <v>471</v>
      </c>
      <c r="Q16">
        <v>1</v>
      </c>
      <c r="R16" t="s">
        <v>472</v>
      </c>
      <c r="W16" t="s">
        <v>332</v>
      </c>
      <c r="X16" t="s">
        <v>468</v>
      </c>
      <c r="Z16" t="e">
        <v>#NAME?</v>
      </c>
      <c r="AE16" t="s">
        <v>310</v>
      </c>
      <c r="AJ16" t="s">
        <v>309</v>
      </c>
    </row>
    <row r="17" spans="1:36">
      <c r="A17" t="s">
        <v>403</v>
      </c>
      <c r="C17" t="s">
        <v>396</v>
      </c>
      <c r="D17" t="s">
        <v>102</v>
      </c>
      <c r="E17">
        <v>2023</v>
      </c>
      <c r="F17">
        <v>1</v>
      </c>
      <c r="G17">
        <v>3</v>
      </c>
      <c r="H17">
        <v>1</v>
      </c>
      <c r="J17">
        <v>1</v>
      </c>
      <c r="K17" t="s">
        <v>398</v>
      </c>
      <c r="L17">
        <v>2030</v>
      </c>
      <c r="M17">
        <v>1</v>
      </c>
      <c r="N17" t="s">
        <v>438</v>
      </c>
      <c r="O17" t="s">
        <v>407</v>
      </c>
      <c r="R17" t="s">
        <v>408</v>
      </c>
      <c r="S17" t="s">
        <v>473</v>
      </c>
      <c r="T17">
        <v>1</v>
      </c>
      <c r="Y17">
        <v>7.2</v>
      </c>
      <c r="Z17" t="e">
        <v>#NAME?</v>
      </c>
    </row>
    <row r="18" spans="1:36">
      <c r="A18" t="s">
        <v>403</v>
      </c>
      <c r="C18" t="s">
        <v>396</v>
      </c>
      <c r="D18" t="s">
        <v>102</v>
      </c>
      <c r="E18">
        <v>2023</v>
      </c>
      <c r="F18">
        <v>1</v>
      </c>
      <c r="G18">
        <v>3</v>
      </c>
      <c r="H18">
        <v>1</v>
      </c>
      <c r="J18">
        <v>1</v>
      </c>
      <c r="K18" t="s">
        <v>474</v>
      </c>
      <c r="L18">
        <v>2030</v>
      </c>
      <c r="M18">
        <v>1</v>
      </c>
      <c r="N18" t="s">
        <v>438</v>
      </c>
      <c r="O18" t="s">
        <v>407</v>
      </c>
      <c r="R18" t="s">
        <v>408</v>
      </c>
      <c r="S18" t="s">
        <v>473</v>
      </c>
      <c r="T18">
        <v>1</v>
      </c>
      <c r="W18" t="s">
        <v>416</v>
      </c>
      <c r="Y18">
        <v>9.1</v>
      </c>
      <c r="Z18" t="e">
        <v>#NAME?</v>
      </c>
      <c r="AE18" t="s">
        <v>309</v>
      </c>
    </row>
    <row r="19" spans="1:36">
      <c r="A19" t="s">
        <v>403</v>
      </c>
      <c r="B19" t="s">
        <v>462</v>
      </c>
      <c r="C19" t="s">
        <v>463</v>
      </c>
      <c r="D19" t="s">
        <v>101</v>
      </c>
      <c r="E19">
        <v>2021</v>
      </c>
      <c r="F19">
        <v>0</v>
      </c>
      <c r="G19">
        <v>2</v>
      </c>
      <c r="H19">
        <v>0</v>
      </c>
      <c r="I19">
        <v>1</v>
      </c>
      <c r="J19">
        <v>1</v>
      </c>
      <c r="K19" t="s">
        <v>475</v>
      </c>
      <c r="L19">
        <v>2030</v>
      </c>
      <c r="M19">
        <v>1</v>
      </c>
      <c r="O19" t="s">
        <v>465</v>
      </c>
      <c r="P19" t="s">
        <v>476</v>
      </c>
      <c r="Q19">
        <v>1</v>
      </c>
      <c r="R19" t="s">
        <v>467</v>
      </c>
      <c r="W19" t="s">
        <v>332</v>
      </c>
      <c r="X19" t="s">
        <v>468</v>
      </c>
      <c r="Y19">
        <v>7.2</v>
      </c>
      <c r="Z19" t="e">
        <v>#NAME?</v>
      </c>
      <c r="AE19" t="s">
        <v>310</v>
      </c>
      <c r="AJ19" t="s">
        <v>309</v>
      </c>
    </row>
    <row r="20" spans="1:36">
      <c r="A20" t="s">
        <v>403</v>
      </c>
      <c r="B20" t="s">
        <v>462</v>
      </c>
      <c r="C20" t="s">
        <v>463</v>
      </c>
      <c r="D20" t="s">
        <v>101</v>
      </c>
      <c r="E20">
        <v>2021</v>
      </c>
      <c r="F20">
        <v>0</v>
      </c>
      <c r="G20">
        <v>2</v>
      </c>
      <c r="H20">
        <v>0</v>
      </c>
      <c r="I20">
        <v>1</v>
      </c>
      <c r="J20">
        <v>1</v>
      </c>
      <c r="K20" t="s">
        <v>477</v>
      </c>
      <c r="L20">
        <v>2050</v>
      </c>
      <c r="M20">
        <v>1</v>
      </c>
      <c r="O20" t="s">
        <v>326</v>
      </c>
      <c r="P20" t="s">
        <v>478</v>
      </c>
      <c r="Q20">
        <v>1</v>
      </c>
      <c r="R20" t="s">
        <v>467</v>
      </c>
      <c r="W20" t="s">
        <v>332</v>
      </c>
      <c r="X20" t="s">
        <v>468</v>
      </c>
      <c r="Y20">
        <v>7.3</v>
      </c>
      <c r="Z20" t="e">
        <v>#NAME?</v>
      </c>
      <c r="AE20" t="s">
        <v>310</v>
      </c>
      <c r="AJ20" t="s">
        <v>309</v>
      </c>
    </row>
    <row r="21" spans="1:36" ht="409.6">
      <c r="A21" t="s">
        <v>403</v>
      </c>
      <c r="C21" t="s">
        <v>396</v>
      </c>
      <c r="D21" t="s">
        <v>102</v>
      </c>
      <c r="E21">
        <v>2023</v>
      </c>
      <c r="G21">
        <v>3</v>
      </c>
      <c r="H21">
        <v>1</v>
      </c>
      <c r="J21">
        <v>1</v>
      </c>
      <c r="K21" s="234" t="s">
        <v>480</v>
      </c>
      <c r="M21">
        <v>1</v>
      </c>
      <c r="N21" t="s">
        <v>438</v>
      </c>
      <c r="O21" t="s">
        <v>407</v>
      </c>
      <c r="Y21">
        <v>7.2</v>
      </c>
      <c r="Z21" t="e">
        <v>#NAME?</v>
      </c>
    </row>
    <row r="22" spans="1:36">
      <c r="A22" t="s">
        <v>403</v>
      </c>
      <c r="B22" t="s">
        <v>462</v>
      </c>
      <c r="C22" t="s">
        <v>463</v>
      </c>
      <c r="D22" t="s">
        <v>101</v>
      </c>
      <c r="E22">
        <v>2021</v>
      </c>
      <c r="F22">
        <v>0</v>
      </c>
      <c r="G22">
        <v>2</v>
      </c>
      <c r="H22">
        <v>0</v>
      </c>
      <c r="I22">
        <v>1</v>
      </c>
      <c r="J22">
        <v>1</v>
      </c>
      <c r="K22" t="s">
        <v>481</v>
      </c>
      <c r="L22">
        <v>2030</v>
      </c>
      <c r="M22">
        <v>1</v>
      </c>
      <c r="O22" t="s">
        <v>465</v>
      </c>
      <c r="P22" t="s">
        <v>482</v>
      </c>
      <c r="Q22">
        <v>1</v>
      </c>
      <c r="R22" t="s">
        <v>467</v>
      </c>
      <c r="W22" t="s">
        <v>332</v>
      </c>
      <c r="X22" t="s">
        <v>468</v>
      </c>
      <c r="Y22">
        <v>7.3</v>
      </c>
      <c r="Z22" t="e">
        <v>#NAME?</v>
      </c>
      <c r="AE22" t="s">
        <v>310</v>
      </c>
      <c r="AJ22" t="s">
        <v>309</v>
      </c>
    </row>
    <row r="23" spans="1:36" hidden="1">
      <c r="A23" t="s">
        <v>403</v>
      </c>
      <c r="B23" t="s">
        <v>462</v>
      </c>
      <c r="C23" t="s">
        <v>463</v>
      </c>
      <c r="D23" t="s">
        <v>101</v>
      </c>
      <c r="E23">
        <v>2021</v>
      </c>
      <c r="F23">
        <v>0</v>
      </c>
      <c r="K23" t="s">
        <v>483</v>
      </c>
      <c r="L23">
        <v>2033</v>
      </c>
      <c r="M23" t="s">
        <v>424</v>
      </c>
      <c r="N23" t="s">
        <v>484</v>
      </c>
      <c r="P23" t="s">
        <v>485</v>
      </c>
      <c r="Q23">
        <v>1</v>
      </c>
      <c r="R23" t="s">
        <v>467</v>
      </c>
      <c r="W23" t="s">
        <v>332</v>
      </c>
      <c r="X23" t="s">
        <v>468</v>
      </c>
      <c r="Z23" t="e">
        <v>#NAME?</v>
      </c>
      <c r="AE23" t="s">
        <v>310</v>
      </c>
      <c r="AJ23" t="s">
        <v>309</v>
      </c>
    </row>
    <row r="24" spans="1:36" hidden="1">
      <c r="A24" t="s">
        <v>403</v>
      </c>
      <c r="B24" t="s">
        <v>462</v>
      </c>
      <c r="C24" t="s">
        <v>463</v>
      </c>
      <c r="D24" t="s">
        <v>101</v>
      </c>
      <c r="E24">
        <v>2021</v>
      </c>
      <c r="F24">
        <v>0</v>
      </c>
      <c r="K24" t="s">
        <v>486</v>
      </c>
      <c r="L24">
        <v>2027</v>
      </c>
      <c r="M24" t="s">
        <v>424</v>
      </c>
      <c r="N24" t="s">
        <v>484</v>
      </c>
      <c r="P24" t="s">
        <v>487</v>
      </c>
      <c r="Q24">
        <v>1</v>
      </c>
      <c r="R24" t="s">
        <v>467</v>
      </c>
      <c r="W24" t="s">
        <v>332</v>
      </c>
      <c r="X24" t="s">
        <v>468</v>
      </c>
      <c r="Z24" t="e">
        <v>#NAME?</v>
      </c>
      <c r="AE24" t="s">
        <v>310</v>
      </c>
      <c r="AJ24" t="s">
        <v>309</v>
      </c>
    </row>
    <row r="25" spans="1:36">
      <c r="A25" t="s">
        <v>403</v>
      </c>
      <c r="B25" t="s">
        <v>462</v>
      </c>
      <c r="C25" t="s">
        <v>463</v>
      </c>
      <c r="D25" t="s">
        <v>101</v>
      </c>
      <c r="E25">
        <v>2021</v>
      </c>
      <c r="F25">
        <v>0</v>
      </c>
      <c r="G25">
        <v>2</v>
      </c>
      <c r="H25">
        <v>0</v>
      </c>
      <c r="I25">
        <v>1</v>
      </c>
      <c r="J25">
        <v>1</v>
      </c>
      <c r="K25" t="s">
        <v>488</v>
      </c>
      <c r="L25">
        <v>2030</v>
      </c>
      <c r="M25">
        <v>1</v>
      </c>
      <c r="O25" t="s">
        <v>465</v>
      </c>
      <c r="P25" t="s">
        <v>489</v>
      </c>
      <c r="Q25">
        <v>1</v>
      </c>
      <c r="R25" t="s">
        <v>467</v>
      </c>
      <c r="W25" t="s">
        <v>332</v>
      </c>
      <c r="X25" t="s">
        <v>468</v>
      </c>
      <c r="Y25">
        <v>7.3</v>
      </c>
      <c r="Z25" t="e">
        <v>#NAME?</v>
      </c>
      <c r="AE25" t="s">
        <v>310</v>
      </c>
      <c r="AJ25" t="s">
        <v>309</v>
      </c>
    </row>
    <row r="26" spans="1:36">
      <c r="A26" t="s">
        <v>403</v>
      </c>
      <c r="B26" t="s">
        <v>462</v>
      </c>
      <c r="C26" t="s">
        <v>463</v>
      </c>
      <c r="D26" t="s">
        <v>101</v>
      </c>
      <c r="E26">
        <v>2021</v>
      </c>
      <c r="F26">
        <v>0</v>
      </c>
      <c r="G26">
        <v>2</v>
      </c>
      <c r="H26">
        <v>0</v>
      </c>
      <c r="I26">
        <v>1</v>
      </c>
      <c r="J26">
        <v>1</v>
      </c>
      <c r="K26" t="s">
        <v>490</v>
      </c>
      <c r="L26">
        <v>2030</v>
      </c>
      <c r="M26">
        <v>1</v>
      </c>
      <c r="O26" t="s">
        <v>465</v>
      </c>
      <c r="P26" t="s">
        <v>491</v>
      </c>
      <c r="Q26" t="s">
        <v>492</v>
      </c>
      <c r="R26" t="s">
        <v>493</v>
      </c>
      <c r="S26" t="s">
        <v>494</v>
      </c>
      <c r="T26">
        <v>1</v>
      </c>
      <c r="U26" t="s">
        <v>331</v>
      </c>
      <c r="W26" t="s">
        <v>332</v>
      </c>
      <c r="X26" t="s">
        <v>468</v>
      </c>
      <c r="Y26">
        <v>7.3</v>
      </c>
      <c r="Z26" t="e">
        <v>#NAME?</v>
      </c>
      <c r="AE26" t="s">
        <v>310</v>
      </c>
      <c r="AJ26" t="s">
        <v>309</v>
      </c>
    </row>
    <row r="27" spans="1:36">
      <c r="A27" t="s">
        <v>403</v>
      </c>
      <c r="B27" t="s">
        <v>462</v>
      </c>
      <c r="C27" t="s">
        <v>463</v>
      </c>
      <c r="D27" t="s">
        <v>101</v>
      </c>
      <c r="E27">
        <v>2021</v>
      </c>
      <c r="F27">
        <v>0</v>
      </c>
      <c r="G27">
        <v>2</v>
      </c>
      <c r="H27">
        <v>0</v>
      </c>
      <c r="I27">
        <v>1</v>
      </c>
      <c r="J27">
        <v>1</v>
      </c>
      <c r="K27" t="s">
        <v>495</v>
      </c>
      <c r="L27">
        <v>2030</v>
      </c>
      <c r="M27">
        <v>1</v>
      </c>
      <c r="O27" t="s">
        <v>465</v>
      </c>
      <c r="P27" t="s">
        <v>496</v>
      </c>
      <c r="Q27" t="s">
        <v>497</v>
      </c>
      <c r="R27" t="s">
        <v>329</v>
      </c>
      <c r="S27" t="s">
        <v>330</v>
      </c>
      <c r="T27">
        <v>2</v>
      </c>
      <c r="U27" t="s">
        <v>498</v>
      </c>
      <c r="W27" t="s">
        <v>332</v>
      </c>
      <c r="X27" t="s">
        <v>468</v>
      </c>
      <c r="Y27">
        <v>7.3</v>
      </c>
      <c r="Z27" t="e">
        <v>#NAME?</v>
      </c>
      <c r="AB27" t="s">
        <v>499</v>
      </c>
      <c r="AE27" t="s">
        <v>310</v>
      </c>
      <c r="AJ27" t="s">
        <v>309</v>
      </c>
    </row>
    <row r="28" spans="1:36">
      <c r="A28" t="s">
        <v>403</v>
      </c>
      <c r="B28" t="s">
        <v>462</v>
      </c>
      <c r="C28" t="s">
        <v>324</v>
      </c>
      <c r="D28" t="s">
        <v>321</v>
      </c>
      <c r="E28">
        <v>2020</v>
      </c>
      <c r="F28">
        <v>0</v>
      </c>
      <c r="G28">
        <v>1</v>
      </c>
      <c r="H28">
        <v>0</v>
      </c>
      <c r="I28">
        <v>0</v>
      </c>
      <c r="J28">
        <v>1</v>
      </c>
      <c r="K28" t="s">
        <v>500</v>
      </c>
      <c r="L28">
        <v>2030</v>
      </c>
      <c r="M28">
        <v>1</v>
      </c>
      <c r="O28" t="s">
        <v>465</v>
      </c>
      <c r="P28" t="s">
        <v>501</v>
      </c>
      <c r="Q28" t="s">
        <v>502</v>
      </c>
      <c r="R28" t="s">
        <v>503</v>
      </c>
      <c r="S28" t="s">
        <v>330</v>
      </c>
      <c r="T28">
        <v>2</v>
      </c>
      <c r="U28" t="s">
        <v>498</v>
      </c>
      <c r="W28" t="s">
        <v>332</v>
      </c>
      <c r="X28" t="s">
        <v>468</v>
      </c>
      <c r="Y28">
        <v>7.3</v>
      </c>
      <c r="Z28" t="e">
        <v>#NAME?</v>
      </c>
      <c r="AB28" t="s">
        <v>499</v>
      </c>
      <c r="AE28" t="s">
        <v>310</v>
      </c>
      <c r="AJ28" t="s">
        <v>309</v>
      </c>
    </row>
    <row r="29" spans="1:36">
      <c r="A29" t="s">
        <v>403</v>
      </c>
      <c r="B29" t="s">
        <v>462</v>
      </c>
      <c r="C29" t="s">
        <v>324</v>
      </c>
      <c r="D29" t="s">
        <v>321</v>
      </c>
      <c r="E29">
        <v>2020</v>
      </c>
      <c r="F29">
        <v>0</v>
      </c>
      <c r="G29">
        <v>1</v>
      </c>
      <c r="H29">
        <v>0</v>
      </c>
      <c r="I29">
        <v>0</v>
      </c>
      <c r="J29">
        <v>1</v>
      </c>
      <c r="K29" t="s">
        <v>504</v>
      </c>
      <c r="L29">
        <v>2030</v>
      </c>
      <c r="M29">
        <v>1</v>
      </c>
      <c r="O29" t="s">
        <v>465</v>
      </c>
      <c r="P29" t="s">
        <v>505</v>
      </c>
      <c r="Q29" t="s">
        <v>506</v>
      </c>
      <c r="R29" t="s">
        <v>507</v>
      </c>
      <c r="S29" t="s">
        <v>494</v>
      </c>
      <c r="T29">
        <v>1</v>
      </c>
      <c r="U29" t="s">
        <v>508</v>
      </c>
      <c r="V29" t="s">
        <v>509</v>
      </c>
      <c r="W29" t="s">
        <v>332</v>
      </c>
      <c r="X29" t="s">
        <v>468</v>
      </c>
      <c r="Y29">
        <v>7.3</v>
      </c>
      <c r="Z29" t="e">
        <v>#NAME?</v>
      </c>
      <c r="AA29" t="s">
        <v>192</v>
      </c>
      <c r="AB29" t="s">
        <v>510</v>
      </c>
      <c r="AE29" t="s">
        <v>310</v>
      </c>
      <c r="AJ29" t="s">
        <v>309</v>
      </c>
    </row>
    <row r="30" spans="1:36">
      <c r="A30" t="s">
        <v>403</v>
      </c>
      <c r="B30" t="s">
        <v>462</v>
      </c>
      <c r="C30" t="s">
        <v>511</v>
      </c>
      <c r="D30" t="s">
        <v>102</v>
      </c>
      <c r="E30">
        <v>2023</v>
      </c>
      <c r="F30">
        <v>1</v>
      </c>
      <c r="G30">
        <v>3</v>
      </c>
      <c r="H30">
        <v>1</v>
      </c>
      <c r="J30">
        <v>1</v>
      </c>
      <c r="K30" t="s">
        <v>512</v>
      </c>
      <c r="L30">
        <v>2030</v>
      </c>
      <c r="M30">
        <v>1</v>
      </c>
      <c r="O30" t="s">
        <v>465</v>
      </c>
      <c r="R30" t="s">
        <v>329</v>
      </c>
      <c r="S30" t="s">
        <v>330</v>
      </c>
      <c r="T30">
        <v>2</v>
      </c>
      <c r="Y30">
        <v>7.3</v>
      </c>
      <c r="Z30" t="e">
        <v>#NAME?</v>
      </c>
    </row>
    <row r="31" spans="1:36">
      <c r="A31" t="s">
        <v>403</v>
      </c>
      <c r="C31" t="s">
        <v>511</v>
      </c>
      <c r="D31" t="s">
        <v>102</v>
      </c>
      <c r="E31">
        <v>2023</v>
      </c>
      <c r="F31">
        <v>1</v>
      </c>
      <c r="G31">
        <v>3</v>
      </c>
      <c r="H31">
        <v>1</v>
      </c>
      <c r="J31">
        <v>1</v>
      </c>
      <c r="K31" t="s">
        <v>513</v>
      </c>
      <c r="L31">
        <v>2030</v>
      </c>
      <c r="M31">
        <v>1</v>
      </c>
      <c r="O31" t="s">
        <v>465</v>
      </c>
      <c r="R31" t="s">
        <v>514</v>
      </c>
      <c r="S31" t="s">
        <v>330</v>
      </c>
      <c r="T31">
        <v>2</v>
      </c>
      <c r="Y31">
        <v>7.3</v>
      </c>
      <c r="Z31" t="e">
        <v>#NAME?</v>
      </c>
    </row>
    <row r="32" spans="1:36" ht="144">
      <c r="A32" t="s">
        <v>403</v>
      </c>
      <c r="B32" t="s">
        <v>462</v>
      </c>
      <c r="C32" t="s">
        <v>511</v>
      </c>
      <c r="D32" t="s">
        <v>102</v>
      </c>
      <c r="E32">
        <v>2023</v>
      </c>
      <c r="F32">
        <v>1</v>
      </c>
      <c r="G32">
        <v>3</v>
      </c>
      <c r="H32">
        <v>1</v>
      </c>
      <c r="J32">
        <v>1</v>
      </c>
      <c r="K32" t="s">
        <v>515</v>
      </c>
      <c r="L32">
        <v>2030</v>
      </c>
      <c r="M32">
        <v>1</v>
      </c>
      <c r="O32" t="s">
        <v>465</v>
      </c>
      <c r="P32" t="s">
        <v>516</v>
      </c>
      <c r="Q32" t="s">
        <v>517</v>
      </c>
      <c r="R32" s="234" t="s">
        <v>518</v>
      </c>
      <c r="S32" t="s">
        <v>519</v>
      </c>
      <c r="T32">
        <v>2</v>
      </c>
      <c r="U32" t="s">
        <v>331</v>
      </c>
      <c r="W32" t="s">
        <v>468</v>
      </c>
      <c r="Y32">
        <v>7.3</v>
      </c>
      <c r="Z32" t="e">
        <v>#NAME?</v>
      </c>
      <c r="AA32" t="s">
        <v>201</v>
      </c>
      <c r="AB32" t="s">
        <v>520</v>
      </c>
      <c r="AE32" t="s">
        <v>309</v>
      </c>
    </row>
    <row r="33" spans="1:42" hidden="1">
      <c r="A33" t="s">
        <v>403</v>
      </c>
      <c r="C33" t="s">
        <v>405</v>
      </c>
      <c r="D33" t="s">
        <v>321</v>
      </c>
      <c r="E33">
        <v>2022</v>
      </c>
      <c r="F33">
        <v>0</v>
      </c>
      <c r="K33" t="s">
        <v>521</v>
      </c>
      <c r="L33">
        <v>2030</v>
      </c>
      <c r="N33" t="s">
        <v>522</v>
      </c>
      <c r="O33" t="s">
        <v>429</v>
      </c>
      <c r="P33" t="s">
        <v>523</v>
      </c>
      <c r="Q33" t="s">
        <v>524</v>
      </c>
      <c r="S33" t="s">
        <v>525</v>
      </c>
      <c r="W33" t="s">
        <v>416</v>
      </c>
      <c r="Z33" t="e">
        <v>#NAME?</v>
      </c>
      <c r="AA33" t="s">
        <v>190</v>
      </c>
      <c r="AB33" t="s">
        <v>526</v>
      </c>
      <c r="AE33" t="s">
        <v>309</v>
      </c>
    </row>
    <row r="34" spans="1:42">
      <c r="A34" t="s">
        <v>403</v>
      </c>
      <c r="B34" t="s">
        <v>462</v>
      </c>
      <c r="C34" t="s">
        <v>405</v>
      </c>
      <c r="D34" t="s">
        <v>321</v>
      </c>
      <c r="E34">
        <v>2022</v>
      </c>
      <c r="F34">
        <v>0</v>
      </c>
      <c r="G34">
        <v>1</v>
      </c>
      <c r="H34">
        <v>0</v>
      </c>
      <c r="I34">
        <v>0</v>
      </c>
      <c r="J34">
        <v>1</v>
      </c>
      <c r="K34" t="s">
        <v>527</v>
      </c>
      <c r="L34">
        <v>2027</v>
      </c>
      <c r="M34">
        <v>1</v>
      </c>
      <c r="N34" t="s">
        <v>528</v>
      </c>
      <c r="O34" t="s">
        <v>465</v>
      </c>
      <c r="P34" t="s">
        <v>529</v>
      </c>
      <c r="Q34" t="s">
        <v>530</v>
      </c>
      <c r="R34" t="s">
        <v>531</v>
      </c>
      <c r="S34" t="s">
        <v>519</v>
      </c>
      <c r="T34">
        <v>2</v>
      </c>
      <c r="U34" t="s">
        <v>331</v>
      </c>
      <c r="W34" t="s">
        <v>395</v>
      </c>
      <c r="Y34">
        <v>7.3</v>
      </c>
      <c r="Z34" t="e">
        <v>#NAME?</v>
      </c>
      <c r="AA34" t="s">
        <v>196</v>
      </c>
      <c r="AB34" t="s">
        <v>532</v>
      </c>
      <c r="AE34" t="s">
        <v>309</v>
      </c>
    </row>
    <row r="35" spans="1:42" hidden="1">
      <c r="A35" t="s">
        <v>403</v>
      </c>
      <c r="C35" t="s">
        <v>405</v>
      </c>
      <c r="D35" t="s">
        <v>321</v>
      </c>
      <c r="E35">
        <v>2022</v>
      </c>
      <c r="F35">
        <v>0</v>
      </c>
      <c r="K35" t="s">
        <v>533</v>
      </c>
      <c r="L35">
        <v>2030</v>
      </c>
      <c r="N35" t="s">
        <v>522</v>
      </c>
      <c r="O35" t="s">
        <v>465</v>
      </c>
      <c r="P35" t="s">
        <v>534</v>
      </c>
      <c r="Q35">
        <v>0.13</v>
      </c>
      <c r="R35" t="s">
        <v>535</v>
      </c>
      <c r="S35" t="s">
        <v>330</v>
      </c>
      <c r="T35">
        <v>2</v>
      </c>
      <c r="U35" t="s">
        <v>331</v>
      </c>
      <c r="W35" t="s">
        <v>395</v>
      </c>
      <c r="Z35" t="e">
        <v>#NAME?</v>
      </c>
      <c r="AA35" t="s">
        <v>197</v>
      </c>
      <c r="AB35" t="s">
        <v>536</v>
      </c>
      <c r="AE35" t="s">
        <v>309</v>
      </c>
    </row>
    <row r="36" spans="1:42">
      <c r="A36" t="s">
        <v>403</v>
      </c>
      <c r="C36" t="s">
        <v>150</v>
      </c>
      <c r="D36" t="s">
        <v>321</v>
      </c>
      <c r="E36">
        <v>2022</v>
      </c>
      <c r="F36">
        <v>0</v>
      </c>
      <c r="G36">
        <v>1</v>
      </c>
      <c r="H36">
        <v>0</v>
      </c>
      <c r="I36">
        <v>0</v>
      </c>
      <c r="J36">
        <v>1</v>
      </c>
      <c r="K36" t="s">
        <v>537</v>
      </c>
      <c r="L36">
        <v>2030</v>
      </c>
      <c r="M36">
        <v>1</v>
      </c>
      <c r="O36" t="s">
        <v>538</v>
      </c>
      <c r="R36" t="s">
        <v>539</v>
      </c>
      <c r="S36" t="s">
        <v>303</v>
      </c>
      <c r="T36">
        <v>2</v>
      </c>
      <c r="W36" t="s">
        <v>416</v>
      </c>
      <c r="Y36">
        <v>7.2</v>
      </c>
      <c r="Z36" t="e">
        <v>#NAME?</v>
      </c>
      <c r="AA36" t="s">
        <v>217</v>
      </c>
      <c r="AB36" t="s">
        <v>540</v>
      </c>
      <c r="AE36" t="s">
        <v>309</v>
      </c>
    </row>
    <row r="37" spans="1:42" ht="64">
      <c r="A37" t="s">
        <v>403</v>
      </c>
      <c r="C37" t="s">
        <v>150</v>
      </c>
      <c r="D37" t="s">
        <v>321</v>
      </c>
      <c r="E37">
        <v>2022</v>
      </c>
      <c r="F37">
        <v>0</v>
      </c>
      <c r="G37">
        <v>1</v>
      </c>
      <c r="H37">
        <v>0</v>
      </c>
      <c r="I37">
        <v>0</v>
      </c>
      <c r="J37">
        <v>1</v>
      </c>
      <c r="K37" t="s">
        <v>541</v>
      </c>
      <c r="L37">
        <v>2030</v>
      </c>
      <c r="M37">
        <v>1</v>
      </c>
      <c r="O37" t="s">
        <v>538</v>
      </c>
      <c r="R37" s="234" t="s">
        <v>542</v>
      </c>
      <c r="S37" t="s">
        <v>303</v>
      </c>
      <c r="T37">
        <v>2</v>
      </c>
      <c r="U37" t="s">
        <v>331</v>
      </c>
      <c r="W37" t="s">
        <v>416</v>
      </c>
      <c r="Y37">
        <v>7.2</v>
      </c>
      <c r="Z37" t="e">
        <v>#NAME?</v>
      </c>
      <c r="AE37" t="s">
        <v>309</v>
      </c>
    </row>
    <row r="38" spans="1:42" ht="64">
      <c r="A38" t="s">
        <v>403</v>
      </c>
      <c r="C38" t="s">
        <v>150</v>
      </c>
      <c r="D38" t="s">
        <v>321</v>
      </c>
      <c r="E38">
        <v>2022</v>
      </c>
      <c r="F38">
        <v>0</v>
      </c>
      <c r="G38">
        <v>1</v>
      </c>
      <c r="H38">
        <v>0</v>
      </c>
      <c r="I38">
        <v>0</v>
      </c>
      <c r="J38">
        <v>1</v>
      </c>
      <c r="K38" t="s">
        <v>543</v>
      </c>
      <c r="L38">
        <v>2030</v>
      </c>
      <c r="M38">
        <v>1</v>
      </c>
      <c r="O38" t="s">
        <v>538</v>
      </c>
      <c r="R38" s="234" t="s">
        <v>544</v>
      </c>
      <c r="S38" t="s">
        <v>303</v>
      </c>
      <c r="T38">
        <v>2</v>
      </c>
      <c r="U38" t="s">
        <v>331</v>
      </c>
      <c r="W38" t="s">
        <v>416</v>
      </c>
      <c r="Y38">
        <v>7.2</v>
      </c>
      <c r="Z38" t="e">
        <v>#NAME?</v>
      </c>
      <c r="AA38" t="s">
        <v>217</v>
      </c>
      <c r="AB38" t="s">
        <v>540</v>
      </c>
      <c r="AE38" t="s">
        <v>309</v>
      </c>
    </row>
    <row r="39" spans="1:42">
      <c r="A39" t="s">
        <v>403</v>
      </c>
      <c r="C39" t="s">
        <v>150</v>
      </c>
      <c r="D39" t="s">
        <v>321</v>
      </c>
      <c r="E39">
        <v>2022</v>
      </c>
      <c r="F39">
        <v>0</v>
      </c>
      <c r="G39">
        <v>0</v>
      </c>
      <c r="H39">
        <v>0</v>
      </c>
      <c r="I39">
        <v>0</v>
      </c>
      <c r="J39">
        <v>1</v>
      </c>
      <c r="K39" t="s">
        <v>545</v>
      </c>
      <c r="M39">
        <v>0</v>
      </c>
      <c r="O39" t="s">
        <v>538</v>
      </c>
      <c r="R39" t="s">
        <v>546</v>
      </c>
      <c r="T39">
        <v>0</v>
      </c>
      <c r="W39" t="s">
        <v>416</v>
      </c>
      <c r="Y39">
        <v>7.1</v>
      </c>
      <c r="Z39" t="e">
        <v>#NAME?</v>
      </c>
      <c r="AE39" t="s">
        <v>310</v>
      </c>
      <c r="AJ39" t="s">
        <v>309</v>
      </c>
    </row>
    <row r="40" spans="1:42">
      <c r="A40" t="s">
        <v>403</v>
      </c>
      <c r="B40" t="s">
        <v>462</v>
      </c>
      <c r="C40" t="s">
        <v>150</v>
      </c>
      <c r="D40" t="s">
        <v>321</v>
      </c>
      <c r="E40">
        <v>2022</v>
      </c>
      <c r="F40">
        <v>0</v>
      </c>
      <c r="G40">
        <v>1</v>
      </c>
      <c r="H40">
        <v>0</v>
      </c>
      <c r="I40">
        <v>0</v>
      </c>
      <c r="J40">
        <v>1</v>
      </c>
      <c r="K40" t="s">
        <v>547</v>
      </c>
      <c r="M40">
        <v>1</v>
      </c>
      <c r="O40" t="s">
        <v>538</v>
      </c>
      <c r="R40" t="s">
        <v>467</v>
      </c>
      <c r="U40" t="s">
        <v>498</v>
      </c>
      <c r="W40" t="s">
        <v>416</v>
      </c>
      <c r="X40" t="s">
        <v>332</v>
      </c>
      <c r="Z40" t="e">
        <v>#NAME?</v>
      </c>
      <c r="AE40" t="s">
        <v>310</v>
      </c>
      <c r="AJ40" t="s">
        <v>309</v>
      </c>
    </row>
    <row r="41" spans="1:42">
      <c r="A41" t="s">
        <v>403</v>
      </c>
      <c r="C41" t="s">
        <v>396</v>
      </c>
      <c r="D41" t="s">
        <v>102</v>
      </c>
      <c r="E41">
        <v>2023</v>
      </c>
      <c r="F41">
        <v>1</v>
      </c>
      <c r="G41">
        <v>3</v>
      </c>
      <c r="H41">
        <v>1</v>
      </c>
      <c r="J41">
        <v>1</v>
      </c>
      <c r="K41" t="s">
        <v>548</v>
      </c>
      <c r="L41">
        <v>2030</v>
      </c>
      <c r="M41">
        <v>1</v>
      </c>
      <c r="O41" t="s">
        <v>429</v>
      </c>
      <c r="P41" t="s">
        <v>549</v>
      </c>
      <c r="Q41">
        <v>0.42499999999999999</v>
      </c>
      <c r="R41" t="s">
        <v>550</v>
      </c>
      <c r="S41" t="s">
        <v>363</v>
      </c>
      <c r="T41">
        <v>2</v>
      </c>
      <c r="U41" t="s">
        <v>433</v>
      </c>
      <c r="V41" t="s">
        <v>551</v>
      </c>
      <c r="Y41">
        <v>7.2</v>
      </c>
      <c r="Z41" t="e">
        <v>#NAME?</v>
      </c>
      <c r="AA41" t="s">
        <v>197</v>
      </c>
      <c r="AB41" t="s">
        <v>552</v>
      </c>
      <c r="AE41" t="s">
        <v>309</v>
      </c>
    </row>
    <row r="42" spans="1:42">
      <c r="A42" t="s">
        <v>403</v>
      </c>
      <c r="C42" t="s">
        <v>396</v>
      </c>
      <c r="D42" t="s">
        <v>102</v>
      </c>
      <c r="E42">
        <v>2023</v>
      </c>
      <c r="F42">
        <v>1</v>
      </c>
      <c r="G42">
        <v>3</v>
      </c>
      <c r="H42">
        <v>1</v>
      </c>
      <c r="J42">
        <v>1</v>
      </c>
      <c r="K42" t="s">
        <v>553</v>
      </c>
      <c r="L42">
        <v>2030</v>
      </c>
      <c r="M42">
        <v>1</v>
      </c>
      <c r="O42" t="s">
        <v>429</v>
      </c>
      <c r="Y42">
        <v>7.2</v>
      </c>
      <c r="Z42" t="e">
        <v>#NAME?</v>
      </c>
    </row>
    <row r="43" spans="1:42">
      <c r="A43" t="s">
        <v>403</v>
      </c>
      <c r="C43" t="s">
        <v>396</v>
      </c>
      <c r="D43" t="s">
        <v>102</v>
      </c>
      <c r="E43">
        <v>2023</v>
      </c>
      <c r="F43">
        <v>1</v>
      </c>
      <c r="G43">
        <v>3</v>
      </c>
      <c r="H43">
        <v>1</v>
      </c>
      <c r="J43">
        <v>1</v>
      </c>
      <c r="K43" t="s">
        <v>554</v>
      </c>
      <c r="L43">
        <v>2030</v>
      </c>
      <c r="M43">
        <v>1</v>
      </c>
      <c r="O43" t="s">
        <v>465</v>
      </c>
      <c r="Y43">
        <v>7.2</v>
      </c>
      <c r="Z43" t="e">
        <v>#NAME?</v>
      </c>
    </row>
    <row r="44" spans="1:42">
      <c r="A44" t="s">
        <v>403</v>
      </c>
      <c r="C44" t="s">
        <v>396</v>
      </c>
      <c r="D44" t="s">
        <v>102</v>
      </c>
      <c r="E44">
        <v>2023</v>
      </c>
      <c r="F44">
        <v>1</v>
      </c>
      <c r="G44">
        <v>3</v>
      </c>
      <c r="H44">
        <v>1</v>
      </c>
      <c r="J44">
        <v>1</v>
      </c>
      <c r="K44" t="s">
        <v>555</v>
      </c>
      <c r="L44">
        <v>2030</v>
      </c>
      <c r="M44">
        <v>1</v>
      </c>
      <c r="O44" t="s">
        <v>429</v>
      </c>
      <c r="P44" t="s">
        <v>556</v>
      </c>
      <c r="Q44" t="s">
        <v>557</v>
      </c>
      <c r="R44" t="s">
        <v>558</v>
      </c>
      <c r="S44" t="s">
        <v>559</v>
      </c>
      <c r="T44">
        <v>2</v>
      </c>
      <c r="W44" t="s">
        <v>416</v>
      </c>
      <c r="X44" t="s">
        <v>401</v>
      </c>
      <c r="Y44">
        <v>7.2</v>
      </c>
      <c r="Z44" t="e">
        <v>#NAME?</v>
      </c>
      <c r="AA44" t="s">
        <v>197</v>
      </c>
      <c r="AB44" t="s">
        <v>560</v>
      </c>
      <c r="AE44" t="s">
        <v>309</v>
      </c>
      <c r="AP44" t="s">
        <v>310</v>
      </c>
    </row>
    <row r="45" spans="1:42">
      <c r="A45" t="s">
        <v>403</v>
      </c>
      <c r="C45" t="s">
        <v>396</v>
      </c>
      <c r="D45" t="s">
        <v>102</v>
      </c>
      <c r="E45">
        <v>2023</v>
      </c>
      <c r="F45">
        <v>1</v>
      </c>
      <c r="G45">
        <v>3</v>
      </c>
      <c r="H45">
        <v>1</v>
      </c>
      <c r="J45">
        <v>1</v>
      </c>
      <c r="K45" t="s">
        <v>561</v>
      </c>
      <c r="L45">
        <v>2030</v>
      </c>
      <c r="M45">
        <v>1</v>
      </c>
      <c r="O45" t="s">
        <v>429</v>
      </c>
      <c r="P45" t="s">
        <v>562</v>
      </c>
      <c r="Q45">
        <v>0.28999999999999998</v>
      </c>
      <c r="R45" t="s">
        <v>563</v>
      </c>
      <c r="S45" t="s">
        <v>330</v>
      </c>
      <c r="T45">
        <v>2</v>
      </c>
      <c r="U45" t="s">
        <v>331</v>
      </c>
      <c r="W45" t="s">
        <v>564</v>
      </c>
      <c r="X45" t="s">
        <v>315</v>
      </c>
      <c r="Y45">
        <v>13.2</v>
      </c>
      <c r="Z45" t="e">
        <v>#NAME?</v>
      </c>
      <c r="AA45" t="s">
        <v>190</v>
      </c>
      <c r="AB45" t="s">
        <v>565</v>
      </c>
      <c r="AE45" t="s">
        <v>310</v>
      </c>
      <c r="AI45" t="s">
        <v>309</v>
      </c>
      <c r="AK45" t="s">
        <v>310</v>
      </c>
    </row>
    <row r="46" spans="1:42">
      <c r="A46" t="s">
        <v>403</v>
      </c>
      <c r="C46" t="s">
        <v>396</v>
      </c>
      <c r="D46" t="s">
        <v>102</v>
      </c>
      <c r="E46">
        <v>2023</v>
      </c>
      <c r="F46">
        <v>1</v>
      </c>
      <c r="G46">
        <v>3</v>
      </c>
      <c r="H46">
        <v>1</v>
      </c>
      <c r="J46">
        <v>1</v>
      </c>
      <c r="K46" t="s">
        <v>566</v>
      </c>
      <c r="L46">
        <v>2030</v>
      </c>
      <c r="M46">
        <v>1</v>
      </c>
      <c r="O46" t="s">
        <v>429</v>
      </c>
      <c r="P46" t="s">
        <v>567</v>
      </c>
      <c r="Q46" t="s">
        <v>568</v>
      </c>
      <c r="R46" t="s">
        <v>550</v>
      </c>
      <c r="S46" t="s">
        <v>569</v>
      </c>
      <c r="T46">
        <v>2</v>
      </c>
      <c r="U46" t="s">
        <v>331</v>
      </c>
      <c r="W46" t="s">
        <v>416</v>
      </c>
      <c r="Y46">
        <v>7.2</v>
      </c>
      <c r="Z46" t="e">
        <v>#NAME?</v>
      </c>
      <c r="AA46" t="s">
        <v>197</v>
      </c>
      <c r="AB46" t="s">
        <v>570</v>
      </c>
      <c r="AE46" t="s">
        <v>309</v>
      </c>
    </row>
    <row r="47" spans="1:42">
      <c r="A47" t="s">
        <v>403</v>
      </c>
      <c r="C47" t="s">
        <v>396</v>
      </c>
      <c r="D47" t="s">
        <v>102</v>
      </c>
      <c r="E47">
        <v>2023</v>
      </c>
      <c r="F47">
        <v>1</v>
      </c>
      <c r="G47">
        <v>3</v>
      </c>
      <c r="H47">
        <v>1</v>
      </c>
      <c r="J47">
        <v>1</v>
      </c>
      <c r="K47" t="s">
        <v>571</v>
      </c>
      <c r="L47">
        <v>2030</v>
      </c>
      <c r="M47">
        <v>1</v>
      </c>
      <c r="O47" t="s">
        <v>429</v>
      </c>
      <c r="P47" t="s">
        <v>572</v>
      </c>
      <c r="Q47">
        <v>0.65</v>
      </c>
      <c r="R47" t="s">
        <v>573</v>
      </c>
      <c r="S47" t="s">
        <v>363</v>
      </c>
      <c r="T47">
        <v>2</v>
      </c>
      <c r="U47" t="s">
        <v>433</v>
      </c>
      <c r="W47" t="s">
        <v>416</v>
      </c>
      <c r="Y47">
        <v>7.2</v>
      </c>
      <c r="Z47" t="e">
        <v>#NAME?</v>
      </c>
      <c r="AE47" t="s">
        <v>309</v>
      </c>
    </row>
    <row r="48" spans="1:42">
      <c r="A48" t="s">
        <v>403</v>
      </c>
      <c r="C48" t="s">
        <v>396</v>
      </c>
      <c r="D48" t="s">
        <v>102</v>
      </c>
      <c r="E48">
        <v>2023</v>
      </c>
      <c r="F48">
        <v>1</v>
      </c>
      <c r="G48">
        <v>3</v>
      </c>
      <c r="H48">
        <v>1</v>
      </c>
      <c r="J48">
        <v>1</v>
      </c>
      <c r="K48" t="s">
        <v>574</v>
      </c>
      <c r="L48">
        <v>2030</v>
      </c>
      <c r="M48">
        <v>1</v>
      </c>
      <c r="O48" t="s">
        <v>465</v>
      </c>
      <c r="P48" t="s">
        <v>575</v>
      </c>
      <c r="Q48" t="s">
        <v>576</v>
      </c>
      <c r="R48" t="s">
        <v>577</v>
      </c>
      <c r="S48" t="s">
        <v>330</v>
      </c>
      <c r="T48">
        <v>2</v>
      </c>
      <c r="W48" t="s">
        <v>395</v>
      </c>
      <c r="Y48">
        <v>7.2</v>
      </c>
      <c r="Z48" t="e">
        <v>#NAME?</v>
      </c>
      <c r="AA48" t="s">
        <v>201</v>
      </c>
      <c r="AB48" t="s">
        <v>578</v>
      </c>
      <c r="AE48" t="s">
        <v>309</v>
      </c>
    </row>
    <row r="49" spans="1:36">
      <c r="A49" t="s">
        <v>403</v>
      </c>
      <c r="B49" t="s">
        <v>426</v>
      </c>
      <c r="C49" t="s">
        <v>396</v>
      </c>
      <c r="D49" t="s">
        <v>102</v>
      </c>
      <c r="E49">
        <v>2023</v>
      </c>
      <c r="F49">
        <v>1</v>
      </c>
      <c r="G49">
        <v>3</v>
      </c>
      <c r="H49">
        <v>1</v>
      </c>
      <c r="J49">
        <v>1</v>
      </c>
      <c r="K49" t="s">
        <v>579</v>
      </c>
      <c r="L49">
        <v>2030</v>
      </c>
      <c r="M49">
        <v>1</v>
      </c>
      <c r="N49" t="s">
        <v>580</v>
      </c>
      <c r="O49" t="s">
        <v>450</v>
      </c>
      <c r="R49" t="s">
        <v>581</v>
      </c>
      <c r="T49">
        <v>0</v>
      </c>
      <c r="W49" t="s">
        <v>451</v>
      </c>
      <c r="Y49">
        <v>9.4</v>
      </c>
      <c r="Z49" t="e">
        <v>#NAME?</v>
      </c>
      <c r="AE49" t="s">
        <v>309</v>
      </c>
    </row>
    <row r="50" spans="1:36">
      <c r="A50" t="s">
        <v>403</v>
      </c>
      <c r="C50" t="s">
        <v>396</v>
      </c>
      <c r="D50" t="s">
        <v>102</v>
      </c>
      <c r="E50">
        <v>2023</v>
      </c>
      <c r="F50">
        <v>1</v>
      </c>
      <c r="G50">
        <v>3</v>
      </c>
      <c r="H50">
        <v>1</v>
      </c>
      <c r="J50">
        <v>1</v>
      </c>
      <c r="K50" t="s">
        <v>582</v>
      </c>
      <c r="L50">
        <v>2030</v>
      </c>
      <c r="M50">
        <v>1</v>
      </c>
      <c r="O50" t="s">
        <v>465</v>
      </c>
      <c r="P50" t="s">
        <v>583</v>
      </c>
      <c r="Q50" t="s">
        <v>584</v>
      </c>
      <c r="R50" t="s">
        <v>585</v>
      </c>
      <c r="T50">
        <v>0</v>
      </c>
      <c r="W50" t="s">
        <v>332</v>
      </c>
      <c r="X50" t="s">
        <v>416</v>
      </c>
      <c r="Y50">
        <v>7.2</v>
      </c>
      <c r="Z50" t="e">
        <v>#NAME?</v>
      </c>
      <c r="AE50" t="s">
        <v>310</v>
      </c>
      <c r="AJ50" t="s">
        <v>309</v>
      </c>
    </row>
    <row r="51" spans="1:36" hidden="1">
      <c r="A51" t="s">
        <v>403</v>
      </c>
      <c r="B51" t="s">
        <v>435</v>
      </c>
      <c r="C51" t="s">
        <v>436</v>
      </c>
      <c r="D51" t="s">
        <v>298</v>
      </c>
      <c r="E51">
        <v>2022</v>
      </c>
      <c r="F51">
        <v>1</v>
      </c>
    </row>
    <row r="52" spans="1:36" hidden="1">
      <c r="A52" t="s">
        <v>403</v>
      </c>
      <c r="B52" t="s">
        <v>426</v>
      </c>
      <c r="C52" t="s">
        <v>586</v>
      </c>
      <c r="D52" t="s">
        <v>110</v>
      </c>
      <c r="E52">
        <v>2023</v>
      </c>
      <c r="F52">
        <v>0</v>
      </c>
    </row>
    <row r="53" spans="1:36">
      <c r="A53" t="s">
        <v>403</v>
      </c>
      <c r="B53" t="s">
        <v>462</v>
      </c>
      <c r="C53" t="s">
        <v>511</v>
      </c>
      <c r="D53" t="s">
        <v>102</v>
      </c>
      <c r="E53">
        <v>2023</v>
      </c>
      <c r="F53">
        <v>1</v>
      </c>
      <c r="G53">
        <v>3</v>
      </c>
      <c r="H53">
        <v>1</v>
      </c>
      <c r="J53">
        <v>1</v>
      </c>
      <c r="K53" t="s">
        <v>587</v>
      </c>
      <c r="L53">
        <v>2030</v>
      </c>
      <c r="M53">
        <v>1</v>
      </c>
      <c r="O53" t="s">
        <v>465</v>
      </c>
      <c r="P53" t="s">
        <v>588</v>
      </c>
      <c r="Q53">
        <v>1.9E-2</v>
      </c>
      <c r="R53" t="s">
        <v>589</v>
      </c>
      <c r="S53" t="s">
        <v>330</v>
      </c>
      <c r="T53">
        <v>2</v>
      </c>
      <c r="U53" t="s">
        <v>498</v>
      </c>
      <c r="W53" t="s">
        <v>468</v>
      </c>
      <c r="Y53">
        <v>7.3</v>
      </c>
      <c r="Z53" t="e">
        <v>#NAME?</v>
      </c>
      <c r="AA53" t="s">
        <v>197</v>
      </c>
      <c r="AB53" t="s">
        <v>590</v>
      </c>
      <c r="AE53" t="s">
        <v>309</v>
      </c>
    </row>
    <row r="54" spans="1:36">
      <c r="A54" t="s">
        <v>403</v>
      </c>
      <c r="C54" t="s">
        <v>591</v>
      </c>
      <c r="D54" t="s">
        <v>321</v>
      </c>
      <c r="E54">
        <v>2023</v>
      </c>
      <c r="F54">
        <v>0</v>
      </c>
      <c r="G54">
        <v>0</v>
      </c>
      <c r="H54">
        <v>0</v>
      </c>
      <c r="I54">
        <v>0</v>
      </c>
      <c r="J54">
        <v>1</v>
      </c>
      <c r="K54" t="s">
        <v>592</v>
      </c>
      <c r="M54">
        <v>0</v>
      </c>
      <c r="O54" t="s">
        <v>593</v>
      </c>
      <c r="W54" t="s">
        <v>594</v>
      </c>
      <c r="X54" t="s">
        <v>395</v>
      </c>
      <c r="Y54">
        <v>7.2</v>
      </c>
      <c r="Z54" t="e">
        <v>#NAME?</v>
      </c>
      <c r="AE54" t="s">
        <v>309</v>
      </c>
    </row>
    <row r="55" spans="1:36">
      <c r="A55" t="s">
        <v>403</v>
      </c>
      <c r="B55" t="s">
        <v>462</v>
      </c>
      <c r="C55" t="s">
        <v>511</v>
      </c>
      <c r="D55" t="s">
        <v>102</v>
      </c>
      <c r="E55">
        <v>2023</v>
      </c>
      <c r="F55">
        <v>1</v>
      </c>
      <c r="G55">
        <v>3</v>
      </c>
      <c r="H55">
        <v>1</v>
      </c>
      <c r="J55">
        <v>1</v>
      </c>
      <c r="K55" t="s">
        <v>595</v>
      </c>
      <c r="L55">
        <v>2030</v>
      </c>
      <c r="M55">
        <v>1</v>
      </c>
      <c r="O55" t="s">
        <v>465</v>
      </c>
      <c r="P55" t="s">
        <v>596</v>
      </c>
      <c r="Q55">
        <v>0.03</v>
      </c>
      <c r="R55" t="s">
        <v>597</v>
      </c>
      <c r="S55" t="s">
        <v>330</v>
      </c>
      <c r="T55">
        <v>2</v>
      </c>
      <c r="U55" t="s">
        <v>498</v>
      </c>
      <c r="W55" t="s">
        <v>332</v>
      </c>
      <c r="X55" t="s">
        <v>395</v>
      </c>
      <c r="Y55">
        <v>7.3</v>
      </c>
      <c r="Z55" t="e">
        <v>#NAME?</v>
      </c>
      <c r="AB55" t="s">
        <v>499</v>
      </c>
      <c r="AJ55" t="s">
        <v>309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J49"/>
  <sheetViews>
    <sheetView topLeftCell="C1" workbookViewId="0">
      <selection activeCell="I3" sqref="I3"/>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c r="A2" t="s">
        <v>598</v>
      </c>
      <c r="B2" t="s">
        <v>599</v>
      </c>
      <c r="C2" t="s">
        <v>600</v>
      </c>
      <c r="D2" t="s">
        <v>102</v>
      </c>
      <c r="E2">
        <v>2018</v>
      </c>
      <c r="L2">
        <v>2035</v>
      </c>
      <c r="S2" t="s">
        <v>519</v>
      </c>
      <c r="U2" t="s">
        <v>331</v>
      </c>
      <c r="W2" t="s">
        <v>606</v>
      </c>
      <c r="Y2">
        <v>11.6</v>
      </c>
      <c r="Z2" t="e">
        <v>#NAME?</v>
      </c>
      <c r="AO2" t="s">
        <v>309</v>
      </c>
    </row>
    <row r="3" spans="1:62" ht="160" hidden="1">
      <c r="A3" t="s">
        <v>598</v>
      </c>
      <c r="B3" t="s">
        <v>599</v>
      </c>
      <c r="C3" t="s">
        <v>608</v>
      </c>
      <c r="D3" t="s">
        <v>102</v>
      </c>
      <c r="E3">
        <v>2018</v>
      </c>
      <c r="F3">
        <v>1</v>
      </c>
      <c r="G3">
        <v>3</v>
      </c>
      <c r="H3">
        <v>1</v>
      </c>
      <c r="J3">
        <v>1</v>
      </c>
      <c r="K3" t="s">
        <v>609</v>
      </c>
      <c r="L3">
        <v>2025</v>
      </c>
      <c r="M3">
        <v>1</v>
      </c>
      <c r="O3" t="s">
        <v>610</v>
      </c>
      <c r="P3" t="s">
        <v>611</v>
      </c>
      <c r="Q3" t="s">
        <v>612</v>
      </c>
      <c r="R3" s="234" t="s">
        <v>613</v>
      </c>
      <c r="S3" t="s">
        <v>440</v>
      </c>
      <c r="T3">
        <v>3</v>
      </c>
      <c r="U3" t="s">
        <v>331</v>
      </c>
      <c r="W3" t="s">
        <v>606</v>
      </c>
      <c r="Y3">
        <v>12.5</v>
      </c>
      <c r="Z3" t="e">
        <v>#NAME?</v>
      </c>
      <c r="AO3" t="s">
        <v>309</v>
      </c>
    </row>
    <row r="4" spans="1:62">
      <c r="A4" t="s">
        <v>598</v>
      </c>
      <c r="B4" t="s">
        <v>599</v>
      </c>
      <c r="C4" t="s">
        <v>608</v>
      </c>
      <c r="D4" t="s">
        <v>102</v>
      </c>
      <c r="E4">
        <v>2018</v>
      </c>
      <c r="K4" t="s">
        <v>615</v>
      </c>
      <c r="L4">
        <v>2030</v>
      </c>
      <c r="N4" t="s">
        <v>616</v>
      </c>
      <c r="W4" t="s">
        <v>617</v>
      </c>
      <c r="X4" t="s">
        <v>606</v>
      </c>
      <c r="Y4">
        <v>12.3</v>
      </c>
      <c r="Z4" t="e">
        <v>#NAME?</v>
      </c>
      <c r="AA4" t="s">
        <v>197</v>
      </c>
      <c r="AB4" t="s">
        <v>618</v>
      </c>
      <c r="AN4" t="s">
        <v>310</v>
      </c>
      <c r="AO4" t="s">
        <v>309</v>
      </c>
    </row>
    <row r="5" spans="1:62" hidden="1">
      <c r="A5" t="s">
        <v>598</v>
      </c>
      <c r="B5" t="s">
        <v>599</v>
      </c>
      <c r="C5" t="s">
        <v>608</v>
      </c>
      <c r="D5" t="s">
        <v>102</v>
      </c>
      <c r="E5">
        <v>2018</v>
      </c>
      <c r="F5">
        <v>1</v>
      </c>
      <c r="G5">
        <v>3</v>
      </c>
      <c r="H5">
        <v>1</v>
      </c>
      <c r="J5">
        <v>1</v>
      </c>
      <c r="K5" t="s">
        <v>619</v>
      </c>
      <c r="L5">
        <v>2025</v>
      </c>
      <c r="M5">
        <v>1</v>
      </c>
      <c r="O5" t="s">
        <v>602</v>
      </c>
      <c r="P5" t="s">
        <v>620</v>
      </c>
      <c r="Q5" t="s">
        <v>621</v>
      </c>
      <c r="R5" t="s">
        <v>622</v>
      </c>
      <c r="S5" t="s">
        <v>303</v>
      </c>
      <c r="T5">
        <v>2</v>
      </c>
      <c r="U5" t="s">
        <v>331</v>
      </c>
      <c r="W5" t="s">
        <v>623</v>
      </c>
      <c r="X5" t="s">
        <v>606</v>
      </c>
      <c r="Y5">
        <v>11.6</v>
      </c>
      <c r="Z5" t="e">
        <v>#NAME?</v>
      </c>
      <c r="AA5" t="s">
        <v>197</v>
      </c>
      <c r="AB5" t="s">
        <v>624</v>
      </c>
      <c r="AO5" t="s">
        <v>309</v>
      </c>
    </row>
    <row r="6" spans="1:62" ht="409.6">
      <c r="A6" t="s">
        <v>598</v>
      </c>
      <c r="B6" t="s">
        <v>599</v>
      </c>
      <c r="C6" t="s">
        <v>625</v>
      </c>
      <c r="D6" t="s">
        <v>102</v>
      </c>
      <c r="E6">
        <v>2012</v>
      </c>
      <c r="G6">
        <v>2</v>
      </c>
      <c r="H6">
        <v>1</v>
      </c>
      <c r="K6" s="234" t="s">
        <v>626</v>
      </c>
      <c r="N6" t="s">
        <v>627</v>
      </c>
      <c r="O6" t="s">
        <v>602</v>
      </c>
      <c r="U6" t="s">
        <v>331</v>
      </c>
      <c r="W6" t="s">
        <v>628</v>
      </c>
      <c r="X6" t="s">
        <v>623</v>
      </c>
      <c r="Y6">
        <v>12.5</v>
      </c>
      <c r="Z6" t="e">
        <v>#NAME?</v>
      </c>
      <c r="AA6" t="s">
        <v>197</v>
      </c>
      <c r="AB6" t="s">
        <v>629</v>
      </c>
      <c r="AO6" t="s">
        <v>309</v>
      </c>
    </row>
    <row r="7" spans="1:62" ht="409.6">
      <c r="A7" t="s">
        <v>598</v>
      </c>
      <c r="B7" t="s">
        <v>599</v>
      </c>
      <c r="C7" t="s">
        <v>625</v>
      </c>
      <c r="D7" t="s">
        <v>102</v>
      </c>
      <c r="E7">
        <v>2012</v>
      </c>
      <c r="G7">
        <v>2</v>
      </c>
      <c r="H7">
        <v>1</v>
      </c>
      <c r="K7" s="234" t="s">
        <v>630</v>
      </c>
      <c r="O7" t="s">
        <v>602</v>
      </c>
      <c r="U7" t="s">
        <v>331</v>
      </c>
      <c r="W7" t="s">
        <v>628</v>
      </c>
      <c r="X7" t="s">
        <v>623</v>
      </c>
      <c r="Y7">
        <v>12.5</v>
      </c>
      <c r="Z7" t="e">
        <v>#NAME?</v>
      </c>
      <c r="AA7" t="s">
        <v>197</v>
      </c>
      <c r="AB7" t="s">
        <v>629</v>
      </c>
      <c r="AO7" t="s">
        <v>309</v>
      </c>
    </row>
    <row r="8" spans="1:62" ht="409.6">
      <c r="A8" t="s">
        <v>598</v>
      </c>
      <c r="B8" t="s">
        <v>599</v>
      </c>
      <c r="C8" t="s">
        <v>625</v>
      </c>
      <c r="D8" t="s">
        <v>102</v>
      </c>
      <c r="E8">
        <v>2012</v>
      </c>
      <c r="G8">
        <v>2</v>
      </c>
      <c r="H8">
        <v>1</v>
      </c>
      <c r="K8" s="234" t="s">
        <v>631</v>
      </c>
      <c r="O8" t="s">
        <v>602</v>
      </c>
      <c r="U8" t="s">
        <v>331</v>
      </c>
      <c r="W8" t="s">
        <v>628</v>
      </c>
      <c r="X8" t="s">
        <v>623</v>
      </c>
      <c r="Y8">
        <v>12.5</v>
      </c>
      <c r="Z8" t="e">
        <v>#NAME?</v>
      </c>
      <c r="AA8" t="s">
        <v>197</v>
      </c>
      <c r="AB8" t="s">
        <v>629</v>
      </c>
      <c r="AO8" t="s">
        <v>309</v>
      </c>
    </row>
    <row r="9" spans="1:62">
      <c r="A9" t="s">
        <v>598</v>
      </c>
      <c r="B9" t="s">
        <v>599</v>
      </c>
      <c r="C9" t="s">
        <v>625</v>
      </c>
      <c r="D9" t="s">
        <v>102</v>
      </c>
      <c r="E9">
        <v>2012</v>
      </c>
      <c r="G9">
        <v>2</v>
      </c>
      <c r="H9">
        <v>1</v>
      </c>
      <c r="K9" t="s">
        <v>632</v>
      </c>
      <c r="O9" t="s">
        <v>602</v>
      </c>
      <c r="U9" t="s">
        <v>331</v>
      </c>
      <c r="W9" t="s">
        <v>628</v>
      </c>
      <c r="X9" t="s">
        <v>623</v>
      </c>
      <c r="Y9">
        <v>12.5</v>
      </c>
      <c r="Z9" t="e">
        <v>#NAME?</v>
      </c>
      <c r="AA9" t="s">
        <v>197</v>
      </c>
      <c r="AB9" t="s">
        <v>633</v>
      </c>
    </row>
    <row r="10" spans="1:62" hidden="1">
      <c r="A10" t="s">
        <v>598</v>
      </c>
      <c r="B10" t="s">
        <v>599</v>
      </c>
      <c r="C10" t="s">
        <v>634</v>
      </c>
      <c r="D10" t="s">
        <v>102</v>
      </c>
      <c r="E10">
        <v>2019</v>
      </c>
      <c r="F10">
        <v>1</v>
      </c>
      <c r="G10">
        <v>3</v>
      </c>
      <c r="H10">
        <v>1</v>
      </c>
      <c r="J10">
        <v>1</v>
      </c>
      <c r="K10" t="s">
        <v>635</v>
      </c>
      <c r="L10">
        <v>2029</v>
      </c>
      <c r="M10">
        <v>1</v>
      </c>
      <c r="O10" t="s">
        <v>636</v>
      </c>
      <c r="P10" t="s">
        <v>637</v>
      </c>
      <c r="Q10" t="s">
        <v>638</v>
      </c>
      <c r="R10" t="s">
        <v>639</v>
      </c>
      <c r="S10" t="s">
        <v>363</v>
      </c>
      <c r="T10">
        <v>2</v>
      </c>
      <c r="U10" t="s">
        <v>331</v>
      </c>
      <c r="W10" t="s">
        <v>640</v>
      </c>
      <c r="X10" t="s">
        <v>623</v>
      </c>
      <c r="Y10">
        <v>12.5</v>
      </c>
      <c r="Z10" t="e">
        <v>#NAME?</v>
      </c>
      <c r="AO10" t="s">
        <v>309</v>
      </c>
    </row>
    <row r="11" spans="1:62" hidden="1">
      <c r="A11" t="s">
        <v>598</v>
      </c>
      <c r="B11" t="s">
        <v>599</v>
      </c>
      <c r="C11" t="s">
        <v>634</v>
      </c>
      <c r="D11" t="s">
        <v>102</v>
      </c>
      <c r="E11">
        <v>2019</v>
      </c>
      <c r="F11">
        <v>1</v>
      </c>
      <c r="G11">
        <v>3</v>
      </c>
      <c r="H11">
        <v>1</v>
      </c>
      <c r="J11">
        <v>1</v>
      </c>
      <c r="K11" t="s">
        <v>641</v>
      </c>
      <c r="L11">
        <v>2030</v>
      </c>
      <c r="M11">
        <v>1</v>
      </c>
      <c r="O11" t="s">
        <v>636</v>
      </c>
      <c r="P11" t="s">
        <v>642</v>
      </c>
      <c r="Q11" t="s">
        <v>643</v>
      </c>
      <c r="R11" t="s">
        <v>644</v>
      </c>
      <c r="S11" t="s">
        <v>303</v>
      </c>
      <c r="T11">
        <v>2</v>
      </c>
      <c r="U11" t="s">
        <v>331</v>
      </c>
      <c r="W11" t="s">
        <v>640</v>
      </c>
      <c r="X11" t="s">
        <v>623</v>
      </c>
      <c r="Y11">
        <v>12.5</v>
      </c>
      <c r="Z11" t="e">
        <v>#NAME?</v>
      </c>
      <c r="AO11" t="s">
        <v>309</v>
      </c>
    </row>
    <row r="12" spans="1:62">
      <c r="A12" t="s">
        <v>598</v>
      </c>
      <c r="B12" t="s">
        <v>599</v>
      </c>
      <c r="C12" t="s">
        <v>645</v>
      </c>
      <c r="D12" t="s">
        <v>321</v>
      </c>
      <c r="E12">
        <v>2022</v>
      </c>
      <c r="F12">
        <v>0</v>
      </c>
      <c r="AO12" t="s">
        <v>309</v>
      </c>
    </row>
    <row r="13" spans="1:62" hidden="1">
      <c r="A13" t="s">
        <v>598</v>
      </c>
      <c r="B13" t="s">
        <v>599</v>
      </c>
      <c r="C13" t="s">
        <v>646</v>
      </c>
      <c r="D13" t="s">
        <v>110</v>
      </c>
      <c r="E13">
        <v>2022</v>
      </c>
      <c r="F13">
        <v>0</v>
      </c>
      <c r="G13">
        <v>2</v>
      </c>
      <c r="H13">
        <v>0</v>
      </c>
      <c r="I13">
        <v>1</v>
      </c>
      <c r="J13">
        <v>1</v>
      </c>
      <c r="K13" t="s">
        <v>647</v>
      </c>
      <c r="L13">
        <v>2030</v>
      </c>
      <c r="M13">
        <v>1</v>
      </c>
      <c r="O13" t="s">
        <v>648</v>
      </c>
      <c r="P13" t="s">
        <v>649</v>
      </c>
      <c r="Q13" t="s">
        <v>650</v>
      </c>
      <c r="R13" t="s">
        <v>651</v>
      </c>
      <c r="S13" t="s">
        <v>363</v>
      </c>
      <c r="T13">
        <v>3</v>
      </c>
      <c r="U13" t="s">
        <v>331</v>
      </c>
      <c r="W13" t="s">
        <v>623</v>
      </c>
      <c r="X13" t="s">
        <v>606</v>
      </c>
      <c r="Y13">
        <v>12.5</v>
      </c>
      <c r="Z13" t="e">
        <v>#NAME?</v>
      </c>
      <c r="AO13" t="s">
        <v>309</v>
      </c>
    </row>
    <row r="14" spans="1:62" hidden="1">
      <c r="A14" t="s">
        <v>598</v>
      </c>
      <c r="B14" t="s">
        <v>599</v>
      </c>
      <c r="C14" t="s">
        <v>646</v>
      </c>
      <c r="D14" t="s">
        <v>110</v>
      </c>
      <c r="E14">
        <v>2022</v>
      </c>
      <c r="F14">
        <v>0</v>
      </c>
      <c r="G14">
        <v>2</v>
      </c>
      <c r="H14">
        <v>0</v>
      </c>
      <c r="I14">
        <v>1</v>
      </c>
      <c r="J14">
        <v>1</v>
      </c>
      <c r="K14" t="s">
        <v>652</v>
      </c>
      <c r="L14">
        <v>2030</v>
      </c>
      <c r="M14">
        <v>1</v>
      </c>
      <c r="O14" t="s">
        <v>648</v>
      </c>
      <c r="P14" t="s">
        <v>653</v>
      </c>
      <c r="Q14" t="s">
        <v>654</v>
      </c>
      <c r="R14" t="s">
        <v>655</v>
      </c>
      <c r="S14" t="s">
        <v>363</v>
      </c>
      <c r="T14">
        <v>3</v>
      </c>
      <c r="U14" t="s">
        <v>331</v>
      </c>
      <c r="W14" t="s">
        <v>623</v>
      </c>
      <c r="X14" t="s">
        <v>606</v>
      </c>
      <c r="Y14">
        <v>12.5</v>
      </c>
      <c r="Z14" t="e">
        <v>#NAME?</v>
      </c>
      <c r="AO14" t="s">
        <v>309</v>
      </c>
    </row>
    <row r="15" spans="1:62" hidden="1">
      <c r="A15" t="s">
        <v>598</v>
      </c>
      <c r="B15" t="s">
        <v>599</v>
      </c>
      <c r="C15" t="s">
        <v>646</v>
      </c>
      <c r="D15" t="s">
        <v>110</v>
      </c>
      <c r="E15">
        <v>2022</v>
      </c>
      <c r="F15">
        <v>0</v>
      </c>
      <c r="G15">
        <v>2</v>
      </c>
      <c r="H15">
        <v>0</v>
      </c>
      <c r="I15">
        <v>1</v>
      </c>
      <c r="J15">
        <v>1</v>
      </c>
      <c r="K15" t="s">
        <v>656</v>
      </c>
      <c r="L15">
        <v>2030</v>
      </c>
      <c r="M15">
        <v>1</v>
      </c>
      <c r="O15" t="s">
        <v>648</v>
      </c>
      <c r="P15" t="s">
        <v>657</v>
      </c>
      <c r="Q15" t="s">
        <v>658</v>
      </c>
      <c r="R15" t="s">
        <v>659</v>
      </c>
      <c r="S15" t="s">
        <v>363</v>
      </c>
      <c r="T15">
        <v>3</v>
      </c>
      <c r="U15" t="s">
        <v>331</v>
      </c>
      <c r="W15" t="s">
        <v>623</v>
      </c>
      <c r="X15" t="s">
        <v>606</v>
      </c>
      <c r="Y15">
        <v>12.5</v>
      </c>
      <c r="Z15" t="e">
        <v>#NAME?</v>
      </c>
      <c r="AO15" t="s">
        <v>309</v>
      </c>
    </row>
    <row r="16" spans="1:62" hidden="1">
      <c r="A16" t="s">
        <v>598</v>
      </c>
      <c r="B16" t="s">
        <v>599</v>
      </c>
      <c r="C16" t="s">
        <v>646</v>
      </c>
      <c r="D16" t="s">
        <v>110</v>
      </c>
      <c r="E16">
        <v>2022</v>
      </c>
      <c r="F16">
        <v>0</v>
      </c>
      <c r="G16">
        <v>2</v>
      </c>
      <c r="H16">
        <v>0</v>
      </c>
      <c r="I16">
        <v>1</v>
      </c>
      <c r="J16">
        <v>1</v>
      </c>
      <c r="K16" t="s">
        <v>660</v>
      </c>
      <c r="L16">
        <v>2030</v>
      </c>
      <c r="M16">
        <v>1</v>
      </c>
      <c r="O16" t="s">
        <v>648</v>
      </c>
      <c r="P16" t="s">
        <v>661</v>
      </c>
      <c r="Q16" t="s">
        <v>662</v>
      </c>
      <c r="R16" t="s">
        <v>663</v>
      </c>
      <c r="S16" t="s">
        <v>363</v>
      </c>
      <c r="T16">
        <v>3</v>
      </c>
      <c r="U16" t="s">
        <v>331</v>
      </c>
      <c r="W16" t="s">
        <v>623</v>
      </c>
      <c r="X16" t="s">
        <v>606</v>
      </c>
      <c r="Y16">
        <v>12.5</v>
      </c>
      <c r="Z16" t="e">
        <v>#NAME?</v>
      </c>
      <c r="AO16" t="s">
        <v>309</v>
      </c>
    </row>
    <row r="17" spans="1:41" hidden="1">
      <c r="A17" t="s">
        <v>598</v>
      </c>
      <c r="B17" t="s">
        <v>599</v>
      </c>
      <c r="C17" t="s">
        <v>646</v>
      </c>
      <c r="D17" t="s">
        <v>110</v>
      </c>
      <c r="E17">
        <v>2022</v>
      </c>
      <c r="F17">
        <v>0</v>
      </c>
      <c r="G17">
        <v>2</v>
      </c>
      <c r="H17">
        <v>0</v>
      </c>
      <c r="I17">
        <v>1</v>
      </c>
      <c r="J17">
        <v>1</v>
      </c>
      <c r="K17" t="s">
        <v>664</v>
      </c>
      <c r="L17">
        <v>2030</v>
      </c>
      <c r="M17">
        <v>1</v>
      </c>
      <c r="O17" t="s">
        <v>648</v>
      </c>
      <c r="P17" t="s">
        <v>665</v>
      </c>
      <c r="Q17" t="s">
        <v>643</v>
      </c>
      <c r="R17" t="s">
        <v>666</v>
      </c>
      <c r="S17" t="s">
        <v>363</v>
      </c>
      <c r="T17">
        <v>3</v>
      </c>
      <c r="U17" t="s">
        <v>331</v>
      </c>
      <c r="W17" t="s">
        <v>623</v>
      </c>
      <c r="X17" t="s">
        <v>606</v>
      </c>
      <c r="Y17">
        <v>12.5</v>
      </c>
      <c r="Z17" t="e">
        <v>#NAME?</v>
      </c>
      <c r="AO17" t="s">
        <v>309</v>
      </c>
    </row>
    <row r="18" spans="1:41" hidden="1">
      <c r="A18" t="s">
        <v>598</v>
      </c>
      <c r="B18" t="s">
        <v>599</v>
      </c>
      <c r="C18" t="s">
        <v>646</v>
      </c>
      <c r="D18" t="s">
        <v>110</v>
      </c>
      <c r="E18">
        <v>2022</v>
      </c>
      <c r="F18">
        <v>0</v>
      </c>
      <c r="G18">
        <v>2</v>
      </c>
      <c r="H18">
        <v>0</v>
      </c>
      <c r="I18">
        <v>1</v>
      </c>
      <c r="J18">
        <v>1</v>
      </c>
      <c r="K18" t="s">
        <v>667</v>
      </c>
      <c r="L18">
        <v>2030</v>
      </c>
      <c r="M18">
        <v>1</v>
      </c>
      <c r="O18" t="s">
        <v>648</v>
      </c>
      <c r="P18" t="s">
        <v>668</v>
      </c>
      <c r="Q18" t="s">
        <v>669</v>
      </c>
      <c r="R18" t="s">
        <v>670</v>
      </c>
      <c r="S18" t="s">
        <v>519</v>
      </c>
      <c r="T18">
        <v>2</v>
      </c>
      <c r="U18" t="s">
        <v>331</v>
      </c>
      <c r="W18" t="s">
        <v>640</v>
      </c>
      <c r="X18" t="s">
        <v>623</v>
      </c>
      <c r="Y18">
        <v>12.5</v>
      </c>
      <c r="Z18" t="e">
        <v>#NAME?</v>
      </c>
      <c r="AO18" t="s">
        <v>309</v>
      </c>
    </row>
    <row r="19" spans="1:41" hidden="1">
      <c r="A19" t="s">
        <v>598</v>
      </c>
      <c r="B19" t="s">
        <v>599</v>
      </c>
      <c r="C19" t="s">
        <v>646</v>
      </c>
      <c r="D19" t="s">
        <v>110</v>
      </c>
      <c r="E19">
        <v>2022</v>
      </c>
      <c r="F19">
        <v>0</v>
      </c>
      <c r="G19">
        <v>2</v>
      </c>
      <c r="H19">
        <v>0</v>
      </c>
      <c r="I19">
        <v>1</v>
      </c>
      <c r="J19">
        <v>1</v>
      </c>
      <c r="K19" t="s">
        <v>671</v>
      </c>
      <c r="L19">
        <v>2030</v>
      </c>
      <c r="M19">
        <v>1</v>
      </c>
      <c r="O19" t="s">
        <v>648</v>
      </c>
      <c r="P19" t="s">
        <v>672</v>
      </c>
      <c r="Q19" t="s">
        <v>673</v>
      </c>
      <c r="R19" t="s">
        <v>674</v>
      </c>
      <c r="S19" t="s">
        <v>363</v>
      </c>
      <c r="T19">
        <v>2</v>
      </c>
      <c r="U19" t="s">
        <v>331</v>
      </c>
      <c r="W19" t="s">
        <v>606</v>
      </c>
      <c r="X19" t="s">
        <v>623</v>
      </c>
      <c r="Y19">
        <v>12.5</v>
      </c>
      <c r="Z19" t="e">
        <v>#NAME?</v>
      </c>
      <c r="AA19" t="s">
        <v>197</v>
      </c>
      <c r="AB19" t="s">
        <v>675</v>
      </c>
      <c r="AO19" t="s">
        <v>309</v>
      </c>
    </row>
    <row r="20" spans="1:41" hidden="1">
      <c r="A20" t="s">
        <v>598</v>
      </c>
      <c r="B20" t="s">
        <v>599</v>
      </c>
      <c r="C20" t="s">
        <v>646</v>
      </c>
      <c r="D20" t="s">
        <v>110</v>
      </c>
      <c r="E20">
        <v>2022</v>
      </c>
      <c r="F20">
        <v>0</v>
      </c>
      <c r="G20">
        <v>2</v>
      </c>
      <c r="H20">
        <v>0</v>
      </c>
      <c r="I20">
        <v>1</v>
      </c>
      <c r="J20">
        <v>1</v>
      </c>
      <c r="K20" t="s">
        <v>676</v>
      </c>
      <c r="L20">
        <v>2030</v>
      </c>
      <c r="M20">
        <v>1</v>
      </c>
      <c r="O20" t="s">
        <v>648</v>
      </c>
      <c r="P20" t="s">
        <v>677</v>
      </c>
      <c r="Q20" t="s">
        <v>678</v>
      </c>
      <c r="R20" t="s">
        <v>679</v>
      </c>
      <c r="S20" t="s">
        <v>356</v>
      </c>
      <c r="T20">
        <v>1</v>
      </c>
      <c r="U20" t="s">
        <v>331</v>
      </c>
      <c r="W20" t="s">
        <v>606</v>
      </c>
      <c r="X20" t="s">
        <v>623</v>
      </c>
      <c r="Y20">
        <v>12.5</v>
      </c>
      <c r="Z20" t="e">
        <v>#NAME?</v>
      </c>
      <c r="AO20" t="s">
        <v>309</v>
      </c>
    </row>
    <row r="21" spans="1:41" hidden="1">
      <c r="A21" t="s">
        <v>598</v>
      </c>
      <c r="B21" t="s">
        <v>599</v>
      </c>
      <c r="C21" t="s">
        <v>646</v>
      </c>
      <c r="D21" t="s">
        <v>110</v>
      </c>
      <c r="E21">
        <v>2022</v>
      </c>
      <c r="F21">
        <v>0</v>
      </c>
      <c r="G21">
        <v>2</v>
      </c>
      <c r="H21">
        <v>0</v>
      </c>
      <c r="I21">
        <v>1</v>
      </c>
      <c r="J21">
        <v>1</v>
      </c>
      <c r="K21" t="s">
        <v>680</v>
      </c>
      <c r="L21">
        <v>2025</v>
      </c>
      <c r="M21">
        <v>1</v>
      </c>
      <c r="O21" t="s">
        <v>636</v>
      </c>
      <c r="P21" t="s">
        <v>681</v>
      </c>
      <c r="Q21" t="s">
        <v>682</v>
      </c>
      <c r="R21" t="s">
        <v>683</v>
      </c>
      <c r="S21" t="s">
        <v>363</v>
      </c>
      <c r="T21">
        <v>2</v>
      </c>
      <c r="U21" t="s">
        <v>331</v>
      </c>
      <c r="W21" t="s">
        <v>640</v>
      </c>
      <c r="Y21">
        <v>12.5</v>
      </c>
      <c r="Z21" t="e">
        <v>#NAME?</v>
      </c>
      <c r="AA21" t="s">
        <v>197</v>
      </c>
      <c r="AB21" t="s">
        <v>684</v>
      </c>
      <c r="AO21" t="s">
        <v>309</v>
      </c>
    </row>
    <row r="22" spans="1:41" ht="409.6" hidden="1">
      <c r="A22" t="s">
        <v>598</v>
      </c>
      <c r="B22" t="s">
        <v>599</v>
      </c>
      <c r="C22" t="s">
        <v>646</v>
      </c>
      <c r="D22" t="s">
        <v>110</v>
      </c>
      <c r="E22">
        <v>2022</v>
      </c>
      <c r="F22">
        <v>0</v>
      </c>
      <c r="G22">
        <v>2</v>
      </c>
      <c r="H22">
        <v>0</v>
      </c>
      <c r="I22">
        <v>1</v>
      </c>
      <c r="J22">
        <v>1</v>
      </c>
      <c r="K22" s="234" t="s">
        <v>685</v>
      </c>
      <c r="L22">
        <v>2030</v>
      </c>
      <c r="M22">
        <v>1</v>
      </c>
      <c r="N22" t="s">
        <v>686</v>
      </c>
      <c r="O22" t="s">
        <v>636</v>
      </c>
      <c r="R22" t="s">
        <v>687</v>
      </c>
      <c r="S22" t="s">
        <v>303</v>
      </c>
      <c r="T22">
        <v>2</v>
      </c>
      <c r="U22" t="s">
        <v>331</v>
      </c>
      <c r="W22" t="s">
        <v>640</v>
      </c>
      <c r="X22" t="s">
        <v>623</v>
      </c>
      <c r="Y22">
        <v>12.5</v>
      </c>
      <c r="Z22" t="e">
        <v>#NAME?</v>
      </c>
      <c r="AO22" t="s">
        <v>309</v>
      </c>
    </row>
    <row r="23" spans="1:41" hidden="1">
      <c r="A23" t="s">
        <v>598</v>
      </c>
      <c r="B23" t="s">
        <v>599</v>
      </c>
      <c r="C23" t="s">
        <v>646</v>
      </c>
      <c r="D23" t="s">
        <v>110</v>
      </c>
      <c r="E23">
        <v>2022</v>
      </c>
      <c r="F23">
        <v>0</v>
      </c>
      <c r="G23">
        <v>2</v>
      </c>
      <c r="H23">
        <v>0</v>
      </c>
      <c r="I23">
        <v>1</v>
      </c>
      <c r="J23">
        <v>1</v>
      </c>
      <c r="K23" t="s">
        <v>688</v>
      </c>
      <c r="L23">
        <v>2030</v>
      </c>
      <c r="M23">
        <v>1</v>
      </c>
      <c r="N23" t="s">
        <v>689</v>
      </c>
      <c r="O23" t="s">
        <v>636</v>
      </c>
      <c r="P23" t="s">
        <v>690</v>
      </c>
      <c r="Q23" t="s">
        <v>691</v>
      </c>
      <c r="R23" t="s">
        <v>692</v>
      </c>
      <c r="T23">
        <v>0</v>
      </c>
      <c r="U23" t="s">
        <v>331</v>
      </c>
      <c r="W23" t="s">
        <v>623</v>
      </c>
      <c r="Y23">
        <v>12.5</v>
      </c>
      <c r="Z23" t="e">
        <v>#NAME?</v>
      </c>
      <c r="AA23" t="s">
        <v>197</v>
      </c>
      <c r="AB23" t="s">
        <v>675</v>
      </c>
      <c r="AO23" t="s">
        <v>309</v>
      </c>
    </row>
    <row r="24" spans="1:41">
      <c r="A24" t="s">
        <v>598</v>
      </c>
      <c r="B24" t="s">
        <v>599</v>
      </c>
      <c r="C24" t="s">
        <v>693</v>
      </c>
      <c r="D24" t="s">
        <v>110</v>
      </c>
      <c r="E24">
        <v>2023</v>
      </c>
      <c r="F24">
        <v>0</v>
      </c>
    </row>
    <row r="25" spans="1:41" ht="272" hidden="1">
      <c r="A25" t="s">
        <v>598</v>
      </c>
      <c r="B25" t="s">
        <v>599</v>
      </c>
      <c r="C25" t="s">
        <v>608</v>
      </c>
      <c r="D25" t="s">
        <v>101</v>
      </c>
      <c r="E25">
        <v>2023</v>
      </c>
      <c r="F25">
        <v>0</v>
      </c>
      <c r="G25">
        <v>2</v>
      </c>
      <c r="H25">
        <v>0</v>
      </c>
      <c r="I25">
        <v>1</v>
      </c>
      <c r="J25">
        <v>1</v>
      </c>
      <c r="K25" t="s">
        <v>694</v>
      </c>
      <c r="L25">
        <v>2030</v>
      </c>
      <c r="M25">
        <v>1</v>
      </c>
      <c r="N25" s="234" t="s">
        <v>695</v>
      </c>
      <c r="O25" t="s">
        <v>696</v>
      </c>
      <c r="P25" t="s">
        <v>697</v>
      </c>
      <c r="Q25" t="s">
        <v>698</v>
      </c>
      <c r="R25" t="s">
        <v>699</v>
      </c>
      <c r="S25" t="s">
        <v>519</v>
      </c>
      <c r="T25">
        <v>2</v>
      </c>
      <c r="U25" t="s">
        <v>700</v>
      </c>
      <c r="V25" t="s">
        <v>701</v>
      </c>
      <c r="W25" t="s">
        <v>606</v>
      </c>
      <c r="X25" t="s">
        <v>617</v>
      </c>
      <c r="Y25">
        <v>12.3</v>
      </c>
      <c r="Z25" t="e">
        <v>#NAME?</v>
      </c>
      <c r="AA25" t="s">
        <v>702</v>
      </c>
      <c r="AB25" t="s">
        <v>618</v>
      </c>
    </row>
    <row r="26" spans="1:41" ht="208" hidden="1">
      <c r="A26" t="s">
        <v>598</v>
      </c>
      <c r="B26" t="s">
        <v>599</v>
      </c>
      <c r="C26" t="s">
        <v>608</v>
      </c>
      <c r="D26" t="s">
        <v>101</v>
      </c>
      <c r="E26">
        <v>2023</v>
      </c>
      <c r="F26">
        <v>0</v>
      </c>
      <c r="G26">
        <v>2</v>
      </c>
      <c r="H26">
        <v>0</v>
      </c>
      <c r="I26">
        <v>1</v>
      </c>
      <c r="J26">
        <v>1</v>
      </c>
      <c r="K26" t="s">
        <v>703</v>
      </c>
      <c r="L26">
        <v>2030</v>
      </c>
      <c r="M26">
        <v>1</v>
      </c>
      <c r="N26" s="234" t="s">
        <v>704</v>
      </c>
      <c r="O26" t="s">
        <v>696</v>
      </c>
      <c r="P26" t="s">
        <v>697</v>
      </c>
      <c r="Q26" t="s">
        <v>705</v>
      </c>
      <c r="R26" t="s">
        <v>699</v>
      </c>
      <c r="S26" t="s">
        <v>519</v>
      </c>
      <c r="T26">
        <v>2</v>
      </c>
      <c r="U26" t="s">
        <v>700</v>
      </c>
      <c r="V26" t="s">
        <v>701</v>
      </c>
      <c r="W26" t="s">
        <v>606</v>
      </c>
      <c r="X26" t="s">
        <v>617</v>
      </c>
      <c r="Y26">
        <v>12.3</v>
      </c>
      <c r="Z26" t="e">
        <v>#NAME?</v>
      </c>
      <c r="AA26" t="s">
        <v>702</v>
      </c>
      <c r="AB26" t="s">
        <v>618</v>
      </c>
    </row>
    <row r="27" spans="1:41" ht="350" hidden="1">
      <c r="A27" t="s">
        <v>598</v>
      </c>
      <c r="B27" t="s">
        <v>706</v>
      </c>
      <c r="C27" t="s">
        <v>707</v>
      </c>
      <c r="D27" t="s">
        <v>298</v>
      </c>
      <c r="E27">
        <v>2023</v>
      </c>
      <c r="F27">
        <v>1</v>
      </c>
      <c r="G27">
        <v>3</v>
      </c>
      <c r="H27">
        <v>1</v>
      </c>
      <c r="J27">
        <v>1</v>
      </c>
      <c r="K27" s="234" t="s">
        <v>708</v>
      </c>
      <c r="L27">
        <v>2027</v>
      </c>
      <c r="M27">
        <v>1</v>
      </c>
      <c r="O27" t="s">
        <v>709</v>
      </c>
      <c r="R27" t="s">
        <v>710</v>
      </c>
      <c r="T27">
        <v>2</v>
      </c>
      <c r="U27" t="s">
        <v>331</v>
      </c>
      <c r="W27" t="s">
        <v>711</v>
      </c>
      <c r="X27" t="s">
        <v>623</v>
      </c>
      <c r="Y27">
        <v>12.5</v>
      </c>
      <c r="Z27" t="e">
        <v>#NAME?</v>
      </c>
    </row>
    <row r="28" spans="1:41" ht="409.6" hidden="1">
      <c r="A28" t="s">
        <v>598</v>
      </c>
      <c r="B28" t="s">
        <v>706</v>
      </c>
      <c r="C28" t="s">
        <v>707</v>
      </c>
      <c r="D28" t="s">
        <v>298</v>
      </c>
      <c r="E28">
        <v>2023</v>
      </c>
      <c r="F28">
        <v>1</v>
      </c>
      <c r="G28">
        <v>3</v>
      </c>
      <c r="H28">
        <v>1</v>
      </c>
      <c r="J28">
        <v>1</v>
      </c>
      <c r="K28" s="234" t="s">
        <v>712</v>
      </c>
      <c r="L28">
        <v>2027</v>
      </c>
      <c r="M28">
        <v>1</v>
      </c>
      <c r="N28" t="s">
        <v>713</v>
      </c>
      <c r="O28" t="s">
        <v>709</v>
      </c>
      <c r="R28" t="s">
        <v>714</v>
      </c>
      <c r="T28">
        <v>3</v>
      </c>
      <c r="U28" t="s">
        <v>331</v>
      </c>
      <c r="W28" t="s">
        <v>711</v>
      </c>
      <c r="X28" t="s">
        <v>623</v>
      </c>
      <c r="Y28">
        <v>12.5</v>
      </c>
      <c r="Z28" t="e">
        <v>#NAME?</v>
      </c>
    </row>
    <row r="29" spans="1:41" ht="409.6" hidden="1">
      <c r="A29" t="s">
        <v>598</v>
      </c>
      <c r="B29" t="s">
        <v>706</v>
      </c>
      <c r="C29" t="s">
        <v>707</v>
      </c>
      <c r="D29" t="s">
        <v>298</v>
      </c>
      <c r="E29">
        <v>2023</v>
      </c>
      <c r="F29">
        <v>1</v>
      </c>
      <c r="G29">
        <v>3</v>
      </c>
      <c r="H29">
        <v>1</v>
      </c>
      <c r="J29">
        <v>1</v>
      </c>
      <c r="K29" s="234" t="s">
        <v>715</v>
      </c>
      <c r="L29">
        <v>2030</v>
      </c>
      <c r="M29">
        <v>1</v>
      </c>
      <c r="O29" t="s">
        <v>709</v>
      </c>
      <c r="R29" t="s">
        <v>716</v>
      </c>
      <c r="T29">
        <v>2</v>
      </c>
      <c r="U29" t="s">
        <v>331</v>
      </c>
      <c r="W29" t="s">
        <v>711</v>
      </c>
      <c r="X29" t="s">
        <v>623</v>
      </c>
      <c r="Y29">
        <v>12.5</v>
      </c>
      <c r="Z29" t="e">
        <v>#NAME?</v>
      </c>
    </row>
    <row r="30" spans="1:41" ht="409.6" hidden="1">
      <c r="A30" t="s">
        <v>598</v>
      </c>
      <c r="B30" t="s">
        <v>706</v>
      </c>
      <c r="C30" t="s">
        <v>707</v>
      </c>
      <c r="D30" t="s">
        <v>298</v>
      </c>
      <c r="E30">
        <v>2023</v>
      </c>
      <c r="F30">
        <v>1</v>
      </c>
      <c r="G30">
        <v>3</v>
      </c>
      <c r="H30">
        <v>1</v>
      </c>
      <c r="J30">
        <v>1</v>
      </c>
      <c r="K30" s="234" t="s">
        <v>717</v>
      </c>
      <c r="L30">
        <v>2030</v>
      </c>
      <c r="M30">
        <v>1</v>
      </c>
      <c r="N30" t="s">
        <v>718</v>
      </c>
      <c r="O30" t="s">
        <v>709</v>
      </c>
      <c r="R30" s="234" t="s">
        <v>719</v>
      </c>
      <c r="T30">
        <v>3</v>
      </c>
      <c r="U30" t="s">
        <v>331</v>
      </c>
      <c r="W30" t="s">
        <v>711</v>
      </c>
      <c r="X30" t="s">
        <v>623</v>
      </c>
      <c r="Y30">
        <v>12.5</v>
      </c>
      <c r="Z30" t="e">
        <v>#NAME?</v>
      </c>
      <c r="AO30" t="s">
        <v>309</v>
      </c>
    </row>
    <row r="31" spans="1:41" ht="350" hidden="1">
      <c r="A31" t="s">
        <v>598</v>
      </c>
      <c r="B31" t="s">
        <v>706</v>
      </c>
      <c r="C31" t="s">
        <v>707</v>
      </c>
      <c r="D31" t="s">
        <v>298</v>
      </c>
      <c r="E31">
        <v>2023</v>
      </c>
      <c r="F31">
        <v>1</v>
      </c>
      <c r="G31">
        <v>3</v>
      </c>
      <c r="H31">
        <v>1</v>
      </c>
      <c r="J31">
        <v>1</v>
      </c>
      <c r="K31" s="234" t="s">
        <v>720</v>
      </c>
      <c r="L31">
        <v>2027</v>
      </c>
      <c r="M31">
        <v>1</v>
      </c>
      <c r="O31" t="s">
        <v>709</v>
      </c>
      <c r="P31" t="s">
        <v>721</v>
      </c>
      <c r="Q31" t="s">
        <v>722</v>
      </c>
      <c r="R31" t="s">
        <v>723</v>
      </c>
      <c r="T31">
        <v>1</v>
      </c>
      <c r="U31" t="s">
        <v>331</v>
      </c>
      <c r="W31" t="s">
        <v>711</v>
      </c>
      <c r="X31" t="s">
        <v>623</v>
      </c>
      <c r="Y31">
        <v>12.5</v>
      </c>
      <c r="Z31" t="e">
        <v>#NAME?</v>
      </c>
    </row>
    <row r="32" spans="1:41" ht="365" hidden="1">
      <c r="A32" t="s">
        <v>598</v>
      </c>
      <c r="B32" t="s">
        <v>706</v>
      </c>
      <c r="C32" t="s">
        <v>707</v>
      </c>
      <c r="D32" t="s">
        <v>298</v>
      </c>
      <c r="E32">
        <v>2023</v>
      </c>
      <c r="F32">
        <v>1</v>
      </c>
      <c r="G32">
        <v>3</v>
      </c>
      <c r="H32">
        <v>1</v>
      </c>
      <c r="J32">
        <v>1</v>
      </c>
      <c r="K32" s="234" t="s">
        <v>724</v>
      </c>
      <c r="L32">
        <v>2031</v>
      </c>
      <c r="M32">
        <v>1</v>
      </c>
      <c r="O32" t="s">
        <v>709</v>
      </c>
      <c r="P32" t="s">
        <v>725</v>
      </c>
      <c r="Q32" t="s">
        <v>726</v>
      </c>
      <c r="R32" t="s">
        <v>727</v>
      </c>
      <c r="T32">
        <v>0</v>
      </c>
      <c r="U32" t="s">
        <v>331</v>
      </c>
      <c r="W32" t="s">
        <v>711</v>
      </c>
      <c r="X32" t="s">
        <v>623</v>
      </c>
      <c r="Y32">
        <v>12.5</v>
      </c>
      <c r="Z32" t="e">
        <v>#NAME?</v>
      </c>
    </row>
    <row r="33" spans="1:41" hidden="1">
      <c r="A33" t="s">
        <v>598</v>
      </c>
      <c r="B33" t="s">
        <v>706</v>
      </c>
      <c r="C33" t="s">
        <v>707</v>
      </c>
      <c r="D33" t="s">
        <v>298</v>
      </c>
      <c r="E33">
        <v>2023</v>
      </c>
      <c r="F33">
        <v>1</v>
      </c>
      <c r="G33">
        <v>3</v>
      </c>
      <c r="H33">
        <v>1</v>
      </c>
      <c r="J33">
        <v>1</v>
      </c>
      <c r="K33" t="s">
        <v>728</v>
      </c>
      <c r="L33">
        <v>2028</v>
      </c>
      <c r="M33">
        <v>1</v>
      </c>
      <c r="O33" t="s">
        <v>709</v>
      </c>
      <c r="P33" t="s">
        <v>729</v>
      </c>
      <c r="Q33" t="s">
        <v>730</v>
      </c>
      <c r="R33" t="s">
        <v>731</v>
      </c>
      <c r="T33">
        <v>0</v>
      </c>
      <c r="U33" t="s">
        <v>331</v>
      </c>
      <c r="W33" t="s">
        <v>711</v>
      </c>
      <c r="X33" t="s">
        <v>623</v>
      </c>
      <c r="Y33">
        <v>12.5</v>
      </c>
      <c r="Z33" t="e">
        <v>#NAME?</v>
      </c>
    </row>
    <row r="34" spans="1:41" ht="409.6" hidden="1">
      <c r="A34" t="s">
        <v>598</v>
      </c>
      <c r="B34" t="s">
        <v>706</v>
      </c>
      <c r="C34" t="s">
        <v>707</v>
      </c>
      <c r="D34" t="s">
        <v>298</v>
      </c>
      <c r="E34">
        <v>2023</v>
      </c>
      <c r="F34">
        <v>1</v>
      </c>
      <c r="G34">
        <v>3</v>
      </c>
      <c r="H34">
        <v>1</v>
      </c>
      <c r="J34">
        <v>1</v>
      </c>
      <c r="K34" s="234" t="s">
        <v>732</v>
      </c>
      <c r="L34">
        <v>2023</v>
      </c>
      <c r="M34">
        <v>1</v>
      </c>
      <c r="N34" t="s">
        <v>733</v>
      </c>
      <c r="O34" t="s">
        <v>709</v>
      </c>
      <c r="P34" t="s">
        <v>734</v>
      </c>
      <c r="Q34" t="s">
        <v>735</v>
      </c>
      <c r="R34" s="234" t="s">
        <v>736</v>
      </c>
      <c r="T34">
        <v>0</v>
      </c>
      <c r="U34" t="s">
        <v>331</v>
      </c>
      <c r="W34" t="s">
        <v>711</v>
      </c>
      <c r="X34" t="s">
        <v>623</v>
      </c>
      <c r="Y34">
        <v>12.5</v>
      </c>
      <c r="Z34" t="e">
        <v>#NAME?</v>
      </c>
      <c r="AO34" t="s">
        <v>309</v>
      </c>
    </row>
    <row r="35" spans="1:41" hidden="1">
      <c r="A35" t="s">
        <v>598</v>
      </c>
      <c r="B35" t="s">
        <v>706</v>
      </c>
      <c r="C35" t="s">
        <v>707</v>
      </c>
      <c r="D35" t="s">
        <v>298</v>
      </c>
      <c r="E35">
        <v>2023</v>
      </c>
      <c r="F35">
        <v>1</v>
      </c>
      <c r="G35">
        <v>3</v>
      </c>
      <c r="H35">
        <v>1</v>
      </c>
      <c r="J35">
        <v>1</v>
      </c>
      <c r="K35" t="s">
        <v>737</v>
      </c>
      <c r="M35">
        <v>1</v>
      </c>
      <c r="O35" t="s">
        <v>709</v>
      </c>
      <c r="R35" t="s">
        <v>738</v>
      </c>
      <c r="T35">
        <v>1</v>
      </c>
      <c r="U35" t="s">
        <v>331</v>
      </c>
      <c r="W35" t="s">
        <v>711</v>
      </c>
      <c r="X35" t="s">
        <v>623</v>
      </c>
      <c r="Y35">
        <v>12.5</v>
      </c>
      <c r="Z35" t="e">
        <v>#NAME?</v>
      </c>
    </row>
    <row r="36" spans="1:41">
      <c r="A36" t="s">
        <v>598</v>
      </c>
      <c r="B36" t="s">
        <v>739</v>
      </c>
    </row>
    <row r="37" spans="1:41">
      <c r="A37" t="s">
        <v>598</v>
      </c>
      <c r="B37" t="s">
        <v>740</v>
      </c>
      <c r="C37" t="s">
        <v>741</v>
      </c>
      <c r="D37" t="s">
        <v>321</v>
      </c>
      <c r="E37">
        <v>2023</v>
      </c>
      <c r="F37">
        <v>0</v>
      </c>
    </row>
    <row r="38" spans="1:41" hidden="1">
      <c r="A38" t="s">
        <v>598</v>
      </c>
      <c r="B38" t="s">
        <v>740</v>
      </c>
      <c r="C38" t="s">
        <v>742</v>
      </c>
      <c r="D38" t="s">
        <v>110</v>
      </c>
      <c r="E38">
        <v>2023</v>
      </c>
      <c r="F38">
        <v>0</v>
      </c>
      <c r="G38">
        <v>2</v>
      </c>
      <c r="H38">
        <v>0</v>
      </c>
      <c r="I38">
        <v>1</v>
      </c>
      <c r="J38">
        <v>1</v>
      </c>
      <c r="K38" t="s">
        <v>743</v>
      </c>
      <c r="L38">
        <v>2040</v>
      </c>
      <c r="M38">
        <v>1</v>
      </c>
      <c r="O38" t="s">
        <v>744</v>
      </c>
      <c r="U38" t="s">
        <v>331</v>
      </c>
      <c r="W38" t="s">
        <v>401</v>
      </c>
      <c r="Y38">
        <v>12.2</v>
      </c>
      <c r="Z38" t="e">
        <v>#NAME?</v>
      </c>
    </row>
    <row r="39" spans="1:41" hidden="1">
      <c r="A39" t="s">
        <v>598</v>
      </c>
      <c r="B39" t="s">
        <v>740</v>
      </c>
      <c r="C39" t="s">
        <v>745</v>
      </c>
      <c r="D39" t="s">
        <v>110</v>
      </c>
      <c r="E39">
        <v>2023</v>
      </c>
      <c r="F39">
        <v>0</v>
      </c>
      <c r="G39">
        <v>2</v>
      </c>
      <c r="H39">
        <v>0</v>
      </c>
      <c r="I39">
        <v>1</v>
      </c>
      <c r="J39">
        <v>1</v>
      </c>
      <c r="K39" t="s">
        <v>746</v>
      </c>
      <c r="L39">
        <v>2030</v>
      </c>
      <c r="M39">
        <v>1</v>
      </c>
      <c r="O39" t="s">
        <v>744</v>
      </c>
      <c r="P39" t="s">
        <v>747</v>
      </c>
      <c r="Q39">
        <v>0.65</v>
      </c>
      <c r="R39" t="s">
        <v>748</v>
      </c>
      <c r="T39">
        <v>2</v>
      </c>
      <c r="U39" t="s">
        <v>331</v>
      </c>
      <c r="W39" t="s">
        <v>401</v>
      </c>
      <c r="Y39">
        <v>12.2</v>
      </c>
      <c r="Z39" t="e">
        <v>#NAME?</v>
      </c>
      <c r="AA39" t="s">
        <v>749</v>
      </c>
    </row>
    <row r="40" spans="1:41" ht="409.6" hidden="1">
      <c r="A40" t="s">
        <v>598</v>
      </c>
      <c r="B40" t="s">
        <v>740</v>
      </c>
      <c r="C40" t="s">
        <v>745</v>
      </c>
      <c r="D40" t="s">
        <v>110</v>
      </c>
      <c r="E40">
        <v>2023</v>
      </c>
      <c r="F40">
        <v>0</v>
      </c>
      <c r="G40">
        <v>2</v>
      </c>
      <c r="H40">
        <v>0</v>
      </c>
      <c r="I40">
        <v>1</v>
      </c>
      <c r="J40">
        <v>1</v>
      </c>
      <c r="K40" t="s">
        <v>750</v>
      </c>
      <c r="L40">
        <v>2030</v>
      </c>
      <c r="M40">
        <v>1</v>
      </c>
      <c r="N40" t="s">
        <v>751</v>
      </c>
      <c r="O40" t="s">
        <v>744</v>
      </c>
      <c r="P40" t="s">
        <v>752</v>
      </c>
      <c r="Q40">
        <v>0.15</v>
      </c>
      <c r="R40" s="234" t="s">
        <v>753</v>
      </c>
      <c r="T40">
        <v>2</v>
      </c>
      <c r="U40" t="s">
        <v>331</v>
      </c>
      <c r="W40" t="s">
        <v>401</v>
      </c>
      <c r="X40" t="s">
        <v>623</v>
      </c>
      <c r="Y40">
        <v>12.2</v>
      </c>
      <c r="Z40" t="e">
        <v>#NAME?</v>
      </c>
      <c r="AA40" t="s">
        <v>754</v>
      </c>
      <c r="AB40" t="s">
        <v>755</v>
      </c>
    </row>
    <row r="41" spans="1:41" ht="409.6" hidden="1">
      <c r="A41" t="s">
        <v>598</v>
      </c>
      <c r="B41" t="s">
        <v>740</v>
      </c>
      <c r="C41" t="s">
        <v>745</v>
      </c>
      <c r="D41" t="s">
        <v>110</v>
      </c>
      <c r="E41">
        <v>2023</v>
      </c>
      <c r="F41">
        <v>0</v>
      </c>
      <c r="G41">
        <v>2</v>
      </c>
      <c r="H41">
        <v>0</v>
      </c>
      <c r="I41">
        <v>1</v>
      </c>
      <c r="J41">
        <v>1</v>
      </c>
      <c r="K41" t="s">
        <v>756</v>
      </c>
      <c r="L41">
        <v>2030</v>
      </c>
      <c r="M41">
        <v>1</v>
      </c>
      <c r="N41" t="s">
        <v>757</v>
      </c>
      <c r="O41" t="s">
        <v>744</v>
      </c>
      <c r="P41" t="s">
        <v>758</v>
      </c>
      <c r="Q41">
        <v>0.4</v>
      </c>
      <c r="R41" s="234" t="s">
        <v>759</v>
      </c>
      <c r="T41">
        <v>2</v>
      </c>
      <c r="U41" t="s">
        <v>331</v>
      </c>
      <c r="W41" t="s">
        <v>401</v>
      </c>
      <c r="Y41">
        <v>12.2</v>
      </c>
      <c r="Z41" t="e">
        <v>#NAME?</v>
      </c>
      <c r="AA41" t="s">
        <v>754</v>
      </c>
      <c r="AB41" t="s">
        <v>760</v>
      </c>
      <c r="AC41" t="s">
        <v>761</v>
      </c>
    </row>
    <row r="42" spans="1:41" ht="409.6" hidden="1">
      <c r="A42" t="s">
        <v>598</v>
      </c>
      <c r="B42" t="s">
        <v>740</v>
      </c>
      <c r="C42" t="s">
        <v>745</v>
      </c>
      <c r="D42" t="s">
        <v>110</v>
      </c>
      <c r="E42">
        <v>2023</v>
      </c>
      <c r="F42">
        <v>0</v>
      </c>
      <c r="G42">
        <v>2</v>
      </c>
      <c r="H42">
        <v>0</v>
      </c>
      <c r="I42">
        <v>1</v>
      </c>
      <c r="J42">
        <v>1</v>
      </c>
      <c r="K42" t="s">
        <v>762</v>
      </c>
      <c r="L42">
        <v>2030</v>
      </c>
      <c r="M42">
        <v>1</v>
      </c>
      <c r="N42" t="s">
        <v>763</v>
      </c>
      <c r="O42" t="s">
        <v>744</v>
      </c>
      <c r="P42" t="s">
        <v>764</v>
      </c>
      <c r="Q42">
        <v>0.1</v>
      </c>
      <c r="R42" s="234" t="s">
        <v>765</v>
      </c>
      <c r="T42">
        <v>2</v>
      </c>
      <c r="U42" t="s">
        <v>498</v>
      </c>
      <c r="W42" t="s">
        <v>401</v>
      </c>
      <c r="Y42">
        <v>12.2</v>
      </c>
      <c r="Z42" t="e">
        <v>#NAME?</v>
      </c>
      <c r="AA42" t="s">
        <v>754</v>
      </c>
      <c r="AB42" t="s">
        <v>760</v>
      </c>
      <c r="AC42" t="s">
        <v>761</v>
      </c>
    </row>
    <row r="43" spans="1:41">
      <c r="A43" t="s">
        <v>598</v>
      </c>
      <c r="B43" t="s">
        <v>740</v>
      </c>
      <c r="C43" t="s">
        <v>766</v>
      </c>
      <c r="D43" t="s">
        <v>321</v>
      </c>
      <c r="E43">
        <v>2020</v>
      </c>
      <c r="F43">
        <v>0</v>
      </c>
    </row>
    <row r="44" spans="1:41">
      <c r="A44" t="s">
        <v>598</v>
      </c>
      <c r="B44" t="s">
        <v>740</v>
      </c>
      <c r="C44" t="s">
        <v>767</v>
      </c>
      <c r="D44" t="s">
        <v>321</v>
      </c>
      <c r="E44">
        <v>2021</v>
      </c>
      <c r="F44">
        <v>0</v>
      </c>
    </row>
    <row r="45" spans="1:41" hidden="1">
      <c r="A45" t="s">
        <v>598</v>
      </c>
      <c r="B45" t="s">
        <v>768</v>
      </c>
      <c r="C45" t="s">
        <v>769</v>
      </c>
      <c r="D45" t="s">
        <v>321</v>
      </c>
      <c r="E45">
        <v>2022</v>
      </c>
      <c r="F45">
        <v>0</v>
      </c>
      <c r="G45">
        <v>0</v>
      </c>
      <c r="H45">
        <v>0</v>
      </c>
      <c r="I45">
        <v>0</v>
      </c>
      <c r="J45">
        <v>1</v>
      </c>
      <c r="K45" t="s">
        <v>770</v>
      </c>
      <c r="L45">
        <v>2030</v>
      </c>
      <c r="M45">
        <v>0</v>
      </c>
      <c r="O45" t="s">
        <v>610</v>
      </c>
      <c r="R45" t="s">
        <v>771</v>
      </c>
      <c r="T45">
        <v>2</v>
      </c>
      <c r="Y45">
        <v>12.5</v>
      </c>
      <c r="Z45" t="e">
        <v>#NAME?</v>
      </c>
    </row>
    <row r="46" spans="1:41" hidden="1">
      <c r="A46" t="s">
        <v>598</v>
      </c>
      <c r="B46" t="s">
        <v>768</v>
      </c>
      <c r="C46" t="s">
        <v>769</v>
      </c>
      <c r="D46" t="s">
        <v>321</v>
      </c>
      <c r="E46">
        <v>2022</v>
      </c>
      <c r="F46">
        <v>0</v>
      </c>
      <c r="G46">
        <v>0</v>
      </c>
      <c r="H46">
        <v>0</v>
      </c>
      <c r="I46">
        <v>0</v>
      </c>
      <c r="J46">
        <v>1</v>
      </c>
      <c r="K46" t="s">
        <v>772</v>
      </c>
      <c r="L46">
        <v>2030</v>
      </c>
      <c r="M46">
        <v>0</v>
      </c>
      <c r="O46" t="s">
        <v>610</v>
      </c>
      <c r="R46" t="s">
        <v>773</v>
      </c>
      <c r="T46">
        <v>0</v>
      </c>
      <c r="Y46">
        <v>12.5</v>
      </c>
      <c r="Z46" t="e">
        <v>#NAME?</v>
      </c>
    </row>
    <row r="47" spans="1:41" hidden="1">
      <c r="A47" t="s">
        <v>598</v>
      </c>
      <c r="B47" t="s">
        <v>768</v>
      </c>
      <c r="C47" t="s">
        <v>774</v>
      </c>
      <c r="D47" t="s">
        <v>321</v>
      </c>
      <c r="E47">
        <v>2020</v>
      </c>
      <c r="F47">
        <v>0</v>
      </c>
      <c r="G47">
        <v>1</v>
      </c>
      <c r="H47">
        <v>0</v>
      </c>
      <c r="I47">
        <v>0</v>
      </c>
      <c r="J47">
        <v>1</v>
      </c>
      <c r="K47" t="s">
        <v>775</v>
      </c>
      <c r="L47">
        <v>2030</v>
      </c>
      <c r="M47">
        <v>1</v>
      </c>
      <c r="O47" t="s">
        <v>602</v>
      </c>
      <c r="P47" t="s">
        <v>776</v>
      </c>
      <c r="Q47">
        <v>0.23400000000000001</v>
      </c>
      <c r="R47" t="s">
        <v>777</v>
      </c>
      <c r="S47" t="s">
        <v>519</v>
      </c>
      <c r="T47">
        <v>1</v>
      </c>
      <c r="U47" t="s">
        <v>778</v>
      </c>
      <c r="V47" t="s">
        <v>779</v>
      </c>
      <c r="W47" t="s">
        <v>623</v>
      </c>
      <c r="Y47">
        <v>12.5</v>
      </c>
      <c r="Z47" t="e">
        <v>#NAME?</v>
      </c>
      <c r="AB47" t="s">
        <v>780</v>
      </c>
      <c r="AO47" t="s">
        <v>309</v>
      </c>
    </row>
    <row r="48" spans="1:41" hidden="1">
      <c r="A48" t="s">
        <v>598</v>
      </c>
      <c r="B48" t="s">
        <v>768</v>
      </c>
      <c r="C48" t="s">
        <v>774</v>
      </c>
      <c r="D48" t="s">
        <v>321</v>
      </c>
      <c r="E48">
        <v>2020</v>
      </c>
      <c r="F48">
        <v>0</v>
      </c>
      <c r="G48">
        <v>1</v>
      </c>
      <c r="H48">
        <v>0</v>
      </c>
      <c r="I48">
        <v>0</v>
      </c>
      <c r="J48">
        <v>1</v>
      </c>
      <c r="K48" t="s">
        <v>781</v>
      </c>
      <c r="L48">
        <v>2035</v>
      </c>
      <c r="M48">
        <v>1</v>
      </c>
      <c r="O48" t="s">
        <v>602</v>
      </c>
      <c r="P48" t="s">
        <v>782</v>
      </c>
      <c r="Q48">
        <v>0.1</v>
      </c>
      <c r="R48" t="s">
        <v>783</v>
      </c>
      <c r="T48">
        <v>2</v>
      </c>
      <c r="U48" t="s">
        <v>784</v>
      </c>
      <c r="V48" t="s">
        <v>785</v>
      </c>
      <c r="W48" t="s">
        <v>606</v>
      </c>
      <c r="Y48">
        <v>11.6</v>
      </c>
      <c r="Z48" t="e">
        <v>#NAME?</v>
      </c>
      <c r="AA48" t="s">
        <v>197</v>
      </c>
      <c r="AB48" t="s">
        <v>786</v>
      </c>
      <c r="AO48" t="s">
        <v>309</v>
      </c>
    </row>
    <row r="49" spans="1:41" ht="32" hidden="1">
      <c r="A49" t="s">
        <v>598</v>
      </c>
      <c r="B49" t="s">
        <v>768</v>
      </c>
      <c r="C49" t="s">
        <v>774</v>
      </c>
      <c r="D49" t="s">
        <v>321</v>
      </c>
      <c r="E49">
        <v>2020</v>
      </c>
      <c r="F49">
        <v>0</v>
      </c>
      <c r="G49">
        <v>1</v>
      </c>
      <c r="H49">
        <v>0</v>
      </c>
      <c r="I49">
        <v>0</v>
      </c>
      <c r="J49">
        <v>1</v>
      </c>
      <c r="K49" t="s">
        <v>787</v>
      </c>
      <c r="L49">
        <v>2030</v>
      </c>
      <c r="M49">
        <v>1</v>
      </c>
      <c r="O49" t="s">
        <v>602</v>
      </c>
      <c r="P49" t="s">
        <v>788</v>
      </c>
      <c r="Q49">
        <v>0.5</v>
      </c>
      <c r="R49" t="s">
        <v>789</v>
      </c>
      <c r="S49" t="s">
        <v>519</v>
      </c>
      <c r="T49">
        <v>2</v>
      </c>
      <c r="U49" t="s">
        <v>784</v>
      </c>
      <c r="V49" s="234" t="s">
        <v>790</v>
      </c>
      <c r="W49" t="s">
        <v>606</v>
      </c>
      <c r="Y49">
        <v>11.6</v>
      </c>
      <c r="Z49" t="e">
        <v>#NAME?</v>
      </c>
      <c r="AA49" t="s">
        <v>197</v>
      </c>
      <c r="AB49" t="s">
        <v>624</v>
      </c>
      <c r="AC49" t="s">
        <v>791</v>
      </c>
      <c r="AO49" t="s">
        <v>309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L332"/>
  <sheetViews>
    <sheetView zoomScale="125" zoomScaleNormal="90" workbookViewId="0">
      <pane ySplit="1" topLeftCell="A8" activePane="bottomLeft" state="frozen"/>
      <selection pane="bottomLeft" activeCell="C11" sqref="C11"/>
    </sheetView>
  </sheetViews>
  <sheetFormatPr baseColWidth="10" defaultColWidth="9.1640625" defaultRowHeight="147" customHeight="1"/>
  <cols>
    <col min="1" max="1" width="35.6640625" style="90" customWidth="1"/>
    <col min="2" max="2" width="49.33203125" style="20" customWidth="1"/>
    <col min="3" max="3" width="48.5" style="20" customWidth="1"/>
    <col min="4" max="4" width="29.6640625" style="174" hidden="1" customWidth="1"/>
    <col min="5" max="5" width="15.33203125" style="42" hidden="1" customWidth="1"/>
    <col min="6" max="6" width="10.6640625" style="42" hidden="1" customWidth="1"/>
    <col min="7" max="7" width="11.6640625" style="42" hidden="1" customWidth="1"/>
    <col min="8" max="8" width="10.6640625" style="42" hidden="1" customWidth="1"/>
    <col min="9" max="10" width="10.6640625" style="42" customWidth="1"/>
    <col min="11" max="11" width="6.1640625" style="275" customWidth="1"/>
    <col min="12" max="12" width="48.6640625" style="444" customWidth="1"/>
    <col min="13" max="13" width="45.83203125" style="285" customWidth="1"/>
    <col min="14" max="14" width="19.33203125" style="387" customWidth="1"/>
    <col min="15" max="27" width="9.1640625" style="10"/>
    <col min="28" max="16384" width="9.1640625" style="11"/>
  </cols>
  <sheetData>
    <row r="1" spans="1:28" s="45" customFormat="1" ht="59" customHeight="1">
      <c r="A1" s="88" t="s">
        <v>983</v>
      </c>
      <c r="B1" s="44" t="s">
        <v>984</v>
      </c>
      <c r="C1" s="520" t="s">
        <v>985</v>
      </c>
      <c r="D1" s="520"/>
      <c r="E1" s="520"/>
      <c r="F1" s="133"/>
      <c r="G1" s="222" t="s">
        <v>986</v>
      </c>
      <c r="H1" s="134"/>
      <c r="I1" s="134"/>
      <c r="J1" s="134"/>
      <c r="K1" s="521" t="s">
        <v>987</v>
      </c>
      <c r="L1" s="522"/>
      <c r="M1" s="336"/>
      <c r="N1" s="337"/>
      <c r="O1" s="18"/>
      <c r="P1" s="18"/>
      <c r="Q1" s="18"/>
      <c r="R1" s="18"/>
      <c r="S1" s="18"/>
      <c r="T1" s="18"/>
      <c r="U1" s="18"/>
      <c r="V1" s="18"/>
      <c r="W1" s="18"/>
      <c r="X1" s="18"/>
      <c r="Y1" s="18"/>
      <c r="Z1" s="18"/>
    </row>
    <row r="2" spans="1:28" s="18" customFormat="1" ht="147" customHeight="1" thickBot="1">
      <c r="A2" s="89" t="s">
        <v>234</v>
      </c>
      <c r="B2" s="53" t="s">
        <v>988</v>
      </c>
      <c r="C2" s="129" t="s">
        <v>236</v>
      </c>
      <c r="D2" s="173" t="s">
        <v>81</v>
      </c>
      <c r="E2" s="79" t="s">
        <v>237</v>
      </c>
      <c r="F2" s="218" t="s">
        <v>238</v>
      </c>
      <c r="G2" s="221" t="s">
        <v>239</v>
      </c>
      <c r="H2" s="217" t="s">
        <v>240</v>
      </c>
      <c r="I2" s="217" t="s">
        <v>241</v>
      </c>
      <c r="J2" s="217" t="s">
        <v>242</v>
      </c>
      <c r="K2" s="217" t="s">
        <v>989</v>
      </c>
      <c r="L2" s="403" t="s">
        <v>243</v>
      </c>
      <c r="M2" s="338" t="s">
        <v>2126</v>
      </c>
      <c r="N2" s="339" t="s">
        <v>252</v>
      </c>
    </row>
    <row r="3" spans="1:28" ht="147" customHeight="1" thickTop="1" thickBot="1">
      <c r="A3" s="90" t="s">
        <v>295</v>
      </c>
      <c r="B3" s="20" t="s">
        <v>296</v>
      </c>
      <c r="C3" s="68" t="s">
        <v>297</v>
      </c>
      <c r="D3" s="136" t="s">
        <v>298</v>
      </c>
      <c r="E3" s="70">
        <v>2021</v>
      </c>
      <c r="F3" s="70">
        <v>1</v>
      </c>
      <c r="G3" s="70" t="e">
        <f>IF(Table683[[#This Row],[n]],1)*#REF!+IF(Table683[[#This Row],[Targets from Proposal]],1)+IF(Table683[[#This Row],[Targets from legal acts]],2)</f>
        <v>#REF!</v>
      </c>
      <c r="H3" s="70">
        <v>1</v>
      </c>
      <c r="I3" s="70"/>
      <c r="J3" s="70">
        <v>1</v>
      </c>
      <c r="K3" s="70" t="s">
        <v>990</v>
      </c>
      <c r="L3" s="404" t="s">
        <v>991</v>
      </c>
      <c r="M3" s="59"/>
      <c r="N3" s="341"/>
      <c r="AB3" s="10"/>
    </row>
    <row r="4" spans="1:28" ht="147" customHeight="1" thickTop="1" thickBot="1">
      <c r="A4" s="90" t="s">
        <v>295</v>
      </c>
      <c r="B4" s="20" t="s">
        <v>296</v>
      </c>
      <c r="C4" s="68" t="s">
        <v>297</v>
      </c>
      <c r="D4" s="136" t="s">
        <v>298</v>
      </c>
      <c r="E4" s="70">
        <v>2021</v>
      </c>
      <c r="F4" s="70"/>
      <c r="G4" s="70"/>
      <c r="H4" s="70"/>
      <c r="I4" s="272"/>
      <c r="J4" s="272"/>
      <c r="K4" s="70" t="s">
        <v>992</v>
      </c>
      <c r="L4" s="389" t="s">
        <v>993</v>
      </c>
      <c r="M4" s="286"/>
      <c r="N4" s="342"/>
      <c r="AB4" s="10"/>
    </row>
    <row r="5" spans="1:28" ht="147" customHeight="1" thickTop="1" thickBot="1">
      <c r="A5" s="90" t="s">
        <v>295</v>
      </c>
      <c r="B5" s="33" t="s">
        <v>296</v>
      </c>
      <c r="C5" s="36" t="s">
        <v>297</v>
      </c>
      <c r="D5" s="137" t="s">
        <v>298</v>
      </c>
      <c r="E5" s="56">
        <v>2021</v>
      </c>
      <c r="F5" s="56">
        <v>1</v>
      </c>
      <c r="G5" s="56" t="e">
        <f>IF(Table683[[#This Row],[n]],1)*#REF!+IF(Table683[[#This Row],[Targets from Proposal]],1)+IF(Table683[[#This Row],[Targets from legal acts]],2)</f>
        <v>#REF!</v>
      </c>
      <c r="H5" s="56">
        <v>1</v>
      </c>
      <c r="I5" s="56"/>
      <c r="J5" s="56">
        <v>1</v>
      </c>
      <c r="K5" s="70" t="s">
        <v>994</v>
      </c>
      <c r="L5" s="405" t="s">
        <v>2142</v>
      </c>
      <c r="M5" s="171" t="s">
        <v>2128</v>
      </c>
      <c r="N5" s="340" t="s">
        <v>2127</v>
      </c>
      <c r="AB5" s="10"/>
    </row>
    <row r="6" spans="1:28" ht="147" customHeight="1" thickTop="1" thickBot="1">
      <c r="A6" s="90" t="s">
        <v>295</v>
      </c>
      <c r="B6" s="20" t="s">
        <v>364</v>
      </c>
      <c r="C6" s="67" t="s">
        <v>365</v>
      </c>
      <c r="D6" s="248" t="s">
        <v>321</v>
      </c>
      <c r="E6" s="71">
        <v>2021</v>
      </c>
      <c r="F6" s="71">
        <v>0</v>
      </c>
      <c r="G6" s="71" t="e">
        <f>IF(Table683[[#This Row],[n]],1)*#REF!+IF(Table683[[#This Row],[Targets from Proposal]],1)+IF(Table683[[#This Row],[Targets from legal acts]],2)</f>
        <v>#REF!</v>
      </c>
      <c r="H6" s="71">
        <v>0</v>
      </c>
      <c r="I6" s="71">
        <v>0</v>
      </c>
      <c r="J6" s="71">
        <v>1</v>
      </c>
      <c r="K6" s="70" t="s">
        <v>996</v>
      </c>
      <c r="L6" s="406" t="s">
        <v>366</v>
      </c>
      <c r="M6" s="210"/>
      <c r="N6" s="343"/>
      <c r="AB6" s="10"/>
    </row>
    <row r="7" spans="1:28" ht="147" customHeight="1" thickTop="1" thickBot="1">
      <c r="A7" s="90" t="s">
        <v>295</v>
      </c>
      <c r="B7" s="20" t="s">
        <v>371</v>
      </c>
      <c r="C7" s="39" t="s">
        <v>372</v>
      </c>
      <c r="D7" s="139" t="s">
        <v>298</v>
      </c>
      <c r="E7" s="37">
        <v>2023</v>
      </c>
      <c r="F7" s="37"/>
      <c r="G7" s="37"/>
      <c r="H7" s="37"/>
      <c r="I7" s="37"/>
      <c r="J7" s="37"/>
      <c r="K7" s="70" t="s">
        <v>997</v>
      </c>
      <c r="L7" s="407" t="s">
        <v>998</v>
      </c>
      <c r="M7" s="287"/>
      <c r="N7" s="344"/>
      <c r="AB7" s="10"/>
    </row>
    <row r="8" spans="1:28" ht="147" customHeight="1" thickTop="1" thickBot="1">
      <c r="A8" s="90" t="s">
        <v>295</v>
      </c>
      <c r="B8" s="20" t="s">
        <v>373</v>
      </c>
      <c r="C8" s="39" t="s">
        <v>374</v>
      </c>
      <c r="D8" s="139" t="s">
        <v>103</v>
      </c>
      <c r="E8" s="72">
        <v>2021</v>
      </c>
      <c r="F8" s="72"/>
      <c r="G8" s="72"/>
      <c r="H8" s="72"/>
      <c r="I8" s="38"/>
      <c r="J8" s="72"/>
      <c r="K8" s="70" t="s">
        <v>999</v>
      </c>
      <c r="L8" s="391" t="s">
        <v>1000</v>
      </c>
      <c r="M8" s="288"/>
      <c r="N8" s="345"/>
      <c r="AB8" s="10"/>
    </row>
    <row r="9" spans="1:28" ht="147" customHeight="1" thickTop="1" thickBot="1">
      <c r="A9" s="90" t="s">
        <v>295</v>
      </c>
      <c r="B9" s="20" t="s">
        <v>334</v>
      </c>
      <c r="C9" s="19" t="s">
        <v>320</v>
      </c>
      <c r="D9" s="174" t="s">
        <v>321</v>
      </c>
      <c r="E9" s="42">
        <v>2020</v>
      </c>
      <c r="F9" s="42">
        <v>0</v>
      </c>
      <c r="G9" s="42" t="e">
        <f>IF(Table683[[#This Row],[n]],1)*#REF!+IF(Table683[[#This Row],[Targets from Proposal]],1)+IF(Table683[[#This Row],[Targets from legal acts]],2)</f>
        <v>#REF!</v>
      </c>
      <c r="H9" s="42">
        <v>0</v>
      </c>
      <c r="I9" s="37">
        <v>0</v>
      </c>
      <c r="J9" s="42">
        <v>1</v>
      </c>
      <c r="K9" s="70" t="s">
        <v>1001</v>
      </c>
      <c r="L9" s="398" t="s">
        <v>2143</v>
      </c>
      <c r="M9" s="388" t="s">
        <v>2144</v>
      </c>
      <c r="N9" s="342" t="s">
        <v>2127</v>
      </c>
      <c r="AB9" s="10"/>
    </row>
    <row r="10" spans="1:28" ht="147" customHeight="1" thickTop="1" thickBot="1">
      <c r="A10" s="90" t="s">
        <v>295</v>
      </c>
      <c r="B10" s="20" t="s">
        <v>334</v>
      </c>
      <c r="C10" s="19" t="s">
        <v>376</v>
      </c>
      <c r="D10" s="147" t="s">
        <v>102</v>
      </c>
      <c r="E10" s="42">
        <v>2023</v>
      </c>
      <c r="F10" s="278">
        <v>1</v>
      </c>
      <c r="G10" s="42" t="e">
        <f>IF(Table683[[#This Row],[n]],1)*#REF!+IF(Table683[[#This Row],[Targets from Proposal]],1)+IF(Table683[[#This Row],[Targets from legal acts]],2)</f>
        <v>#REF!</v>
      </c>
      <c r="H10" s="42">
        <v>1</v>
      </c>
      <c r="J10" s="42">
        <v>1</v>
      </c>
      <c r="K10" s="70" t="s">
        <v>1005</v>
      </c>
      <c r="L10" s="398" t="s">
        <v>2141</v>
      </c>
      <c r="M10" s="59" t="s">
        <v>2129</v>
      </c>
      <c r="N10" s="396" t="s">
        <v>2130</v>
      </c>
      <c r="AB10" s="10"/>
    </row>
    <row r="11" spans="1:28" ht="147" customHeight="1" thickTop="1" thickBot="1">
      <c r="A11" s="90" t="s">
        <v>295</v>
      </c>
      <c r="B11" s="20" t="s">
        <v>334</v>
      </c>
      <c r="C11" s="19" t="s">
        <v>376</v>
      </c>
      <c r="D11" s="488" t="s">
        <v>102</v>
      </c>
      <c r="E11" s="493">
        <v>2023</v>
      </c>
      <c r="F11" s="498">
        <v>1</v>
      </c>
      <c r="G11" s="493">
        <v>3</v>
      </c>
      <c r="H11" s="493">
        <v>1</v>
      </c>
      <c r="I11" s="493"/>
      <c r="J11" s="493">
        <v>1</v>
      </c>
      <c r="K11" s="70" t="s">
        <v>1006</v>
      </c>
      <c r="L11" s="398" t="s">
        <v>2140</v>
      </c>
      <c r="M11" s="59" t="s">
        <v>2131</v>
      </c>
      <c r="N11" s="346" t="s">
        <v>2132</v>
      </c>
      <c r="AB11" s="10"/>
    </row>
    <row r="12" spans="1:28" ht="147" customHeight="1" thickTop="1" thickBot="1">
      <c r="A12" s="90" t="s">
        <v>295</v>
      </c>
      <c r="B12" s="54" t="s">
        <v>334</v>
      </c>
      <c r="C12" s="22" t="s">
        <v>358</v>
      </c>
      <c r="D12" s="141" t="s">
        <v>298</v>
      </c>
      <c r="E12" s="73">
        <v>2023</v>
      </c>
      <c r="F12" s="279">
        <v>1</v>
      </c>
      <c r="G12" s="73" t="e">
        <f>IF(Table683[[#This Row],[n]],1)*#REF!+IF(Table683[[#This Row],[Targets from Proposal]],1)+IF(Table683[[#This Row],[Targets from legal acts]],2)</f>
        <v>#REF!</v>
      </c>
      <c r="H12" s="73">
        <v>1</v>
      </c>
      <c r="I12" s="73"/>
      <c r="J12" s="73">
        <v>1</v>
      </c>
      <c r="K12" s="70" t="s">
        <v>1007</v>
      </c>
      <c r="L12" s="408" t="s">
        <v>2139</v>
      </c>
      <c r="M12" s="49" t="s">
        <v>2133</v>
      </c>
      <c r="N12" s="347" t="s">
        <v>2127</v>
      </c>
      <c r="AB12" s="10"/>
    </row>
    <row r="13" spans="1:28" ht="147" customHeight="1" thickTop="1" thickBot="1">
      <c r="A13" s="90" t="s">
        <v>295</v>
      </c>
      <c r="B13" s="54" t="s">
        <v>334</v>
      </c>
      <c r="C13" s="39" t="s">
        <v>335</v>
      </c>
      <c r="D13" s="140" t="s">
        <v>298</v>
      </c>
      <c r="E13" s="72">
        <v>2023</v>
      </c>
      <c r="F13" s="280">
        <v>1</v>
      </c>
      <c r="G13" s="72" t="e">
        <f>IF(Table683[[#This Row],[n]],1)*#REF!+IF(Table683[[#This Row],[Targets from Proposal]],1)+IF(Table683[[#This Row],[Targets from legal acts]],2)</f>
        <v>#REF!</v>
      </c>
      <c r="H13" s="72">
        <v>1</v>
      </c>
      <c r="I13" s="72"/>
      <c r="J13" s="72">
        <v>1</v>
      </c>
      <c r="K13" s="70" t="s">
        <v>1008</v>
      </c>
      <c r="L13" s="400" t="s">
        <v>2138</v>
      </c>
      <c r="M13" s="289" t="s">
        <v>2134</v>
      </c>
      <c r="N13" s="345" t="s">
        <v>2135</v>
      </c>
      <c r="AB13" s="10"/>
    </row>
    <row r="14" spans="1:28" ht="147" customHeight="1" thickTop="1" thickBot="1">
      <c r="A14" s="90" t="s">
        <v>295</v>
      </c>
      <c r="B14" s="54" t="s">
        <v>334</v>
      </c>
      <c r="C14" s="27" t="s">
        <v>335</v>
      </c>
      <c r="D14" s="140" t="s">
        <v>298</v>
      </c>
      <c r="E14" s="58">
        <v>2023</v>
      </c>
      <c r="F14" s="58">
        <v>1</v>
      </c>
      <c r="G14" s="58" t="e">
        <f>IF(Table683[[#This Row],[n]],1)*#REF!+IF(Table683[[#This Row],[Targets from Proposal]],1)+IF(Table683[[#This Row],[Targets from legal acts]],2)</f>
        <v>#REF!</v>
      </c>
      <c r="H14" s="58">
        <v>1</v>
      </c>
      <c r="I14" s="37"/>
      <c r="J14" s="58">
        <v>1</v>
      </c>
      <c r="K14" s="70" t="s">
        <v>1009</v>
      </c>
      <c r="L14" s="409" t="s">
        <v>2137</v>
      </c>
      <c r="M14" s="206" t="s">
        <v>2136</v>
      </c>
      <c r="N14" s="348" t="s">
        <v>2127</v>
      </c>
      <c r="AB14" s="10"/>
    </row>
    <row r="15" spans="1:28" ht="147" customHeight="1" thickTop="1" thickBot="1">
      <c r="A15" s="90" t="s">
        <v>295</v>
      </c>
      <c r="B15" s="54" t="s">
        <v>334</v>
      </c>
      <c r="C15" s="27" t="s">
        <v>335</v>
      </c>
      <c r="D15" s="140" t="s">
        <v>298</v>
      </c>
      <c r="E15" s="58">
        <v>2023</v>
      </c>
      <c r="F15" s="58">
        <v>1</v>
      </c>
      <c r="G15" s="58" t="e">
        <f>IF(Table683[[#This Row],[n]],1)*#REF!+IF(Table683[[#This Row],[Targets from Proposal]],1)+IF(Table683[[#This Row],[Targets from legal acts]],2)</f>
        <v>#REF!</v>
      </c>
      <c r="H15" s="58">
        <v>1</v>
      </c>
      <c r="I15" s="58"/>
      <c r="J15" s="58">
        <v>1</v>
      </c>
      <c r="K15" s="70" t="s">
        <v>1010</v>
      </c>
      <c r="L15" s="430" t="s">
        <v>336</v>
      </c>
      <c r="M15" s="206"/>
      <c r="N15" s="348"/>
      <c r="AB15" s="10"/>
    </row>
    <row r="16" spans="1:28" ht="147" customHeight="1" thickTop="1" thickBot="1">
      <c r="A16" s="92" t="s">
        <v>295</v>
      </c>
      <c r="B16" s="93"/>
      <c r="C16" s="96" t="s">
        <v>324</v>
      </c>
      <c r="D16" s="176" t="s">
        <v>321</v>
      </c>
      <c r="E16" s="97">
        <v>2020</v>
      </c>
      <c r="F16" s="97">
        <v>0</v>
      </c>
      <c r="G16" s="97" t="e">
        <f>IF(Table683[[#This Row],[n]],1)*#REF!+IF(Table683[[#This Row],[Targets from Proposal]],1)+IF(Table683[[#This Row],[Targets from legal acts]],2)</f>
        <v>#REF!</v>
      </c>
      <c r="H16" s="97">
        <v>0</v>
      </c>
      <c r="I16" s="97">
        <v>0</v>
      </c>
      <c r="J16" s="97">
        <v>1</v>
      </c>
      <c r="K16" s="70" t="s">
        <v>1011</v>
      </c>
      <c r="L16" s="399" t="s">
        <v>2202</v>
      </c>
      <c r="M16" s="165" t="s">
        <v>2203</v>
      </c>
      <c r="N16" s="356" t="s">
        <v>2127</v>
      </c>
      <c r="AB16" s="10"/>
    </row>
    <row r="17" spans="1:28" ht="147" customHeight="1" thickTop="1" thickBot="1">
      <c r="A17" s="90" t="s">
        <v>295</v>
      </c>
      <c r="B17" s="54"/>
      <c r="C17" s="224" t="s">
        <v>316</v>
      </c>
      <c r="D17" s="177" t="s">
        <v>110</v>
      </c>
      <c r="E17" s="493">
        <v>2022</v>
      </c>
      <c r="F17" s="493">
        <v>0</v>
      </c>
      <c r="G17" s="493" t="e">
        <f>IF(Table683[[#This Row],[n]],1)*#REF!+IF(Table683[[#This Row],[Targets from Proposal]],1)+IF(Table683[[#This Row],[Targets from legal acts]],2)</f>
        <v>#REF!</v>
      </c>
      <c r="H17" s="493">
        <v>0</v>
      </c>
      <c r="I17" s="493">
        <v>1</v>
      </c>
      <c r="J17" s="493">
        <v>1</v>
      </c>
      <c r="K17" s="70" t="s">
        <v>1013</v>
      </c>
      <c r="L17" s="419" t="s">
        <v>317</v>
      </c>
      <c r="M17" s="49"/>
      <c r="N17" s="347"/>
      <c r="AB17" s="10"/>
    </row>
    <row r="18" spans="1:28" ht="147" customHeight="1" thickTop="1">
      <c r="A18" s="92" t="s">
        <v>403</v>
      </c>
      <c r="B18" s="54"/>
      <c r="C18" s="232" t="s">
        <v>389</v>
      </c>
      <c r="D18" s="142" t="s">
        <v>101</v>
      </c>
      <c r="E18" s="55">
        <v>2022</v>
      </c>
      <c r="F18" s="499">
        <v>0</v>
      </c>
      <c r="G18" s="55" t="e">
        <f>IF(Table683[[#This Row],[n]],1)*#REF!+IF(Table683[[#This Row],[Targets from Proposal]],1)+IF(Table683[[#This Row],[Targets from legal acts]],2)</f>
        <v>#REF!</v>
      </c>
      <c r="H18" s="55">
        <v>0</v>
      </c>
      <c r="I18" s="26">
        <v>1</v>
      </c>
      <c r="J18" s="55">
        <v>1</v>
      </c>
      <c r="K18" s="70" t="s">
        <v>1003</v>
      </c>
      <c r="L18" s="399" t="s">
        <v>2190</v>
      </c>
      <c r="M18" s="165" t="s">
        <v>2191</v>
      </c>
      <c r="N18" s="348" t="s">
        <v>2130</v>
      </c>
      <c r="AB18" s="10"/>
    </row>
    <row r="19" spans="1:28" ht="147" customHeight="1" thickBot="1">
      <c r="A19" s="92" t="s">
        <v>403</v>
      </c>
      <c r="B19" s="240"/>
      <c r="C19" s="239" t="s">
        <v>405</v>
      </c>
      <c r="D19" s="253" t="s">
        <v>321</v>
      </c>
      <c r="E19" s="266">
        <v>2022</v>
      </c>
      <c r="F19" s="42">
        <v>0</v>
      </c>
      <c r="G19" s="266" t="e">
        <f>IF(Table683[[#This Row],[n]],1)*#REF!+IF(Table683[[#This Row],[Targets from Proposal]],1)+IF(Table683[[#This Row],[Targets from legal acts]],2)</f>
        <v>#REF!</v>
      </c>
      <c r="H19" s="266">
        <v>0</v>
      </c>
      <c r="I19" s="266">
        <v>0</v>
      </c>
      <c r="J19" s="266">
        <v>1</v>
      </c>
      <c r="K19" s="266" t="s">
        <v>1014</v>
      </c>
      <c r="L19" s="410" t="s">
        <v>2217</v>
      </c>
      <c r="M19" s="290" t="s">
        <v>2218</v>
      </c>
      <c r="N19" s="350" t="s">
        <v>2127</v>
      </c>
      <c r="AB19" s="10"/>
    </row>
    <row r="20" spans="1:28" ht="147" customHeight="1" thickBot="1">
      <c r="A20" s="92" t="s">
        <v>403</v>
      </c>
      <c r="B20" s="159" t="s">
        <v>334</v>
      </c>
      <c r="C20" s="65" t="s">
        <v>150</v>
      </c>
      <c r="D20" s="183" t="s">
        <v>321</v>
      </c>
      <c r="E20" s="74">
        <v>2022</v>
      </c>
      <c r="F20" s="42">
        <v>0</v>
      </c>
      <c r="G20" s="74" t="e">
        <f>IF(Table683[[#This Row],[n]],1)*#REF!+IF(Table683[[#This Row],[Targets from Proposal]],1)+IF(Table683[[#This Row],[Targets from legal acts]],2)</f>
        <v>#REF!</v>
      </c>
      <c r="H20" s="74">
        <v>0</v>
      </c>
      <c r="I20" s="74">
        <v>0</v>
      </c>
      <c r="J20" s="74">
        <v>1</v>
      </c>
      <c r="K20" s="266" t="s">
        <v>1015</v>
      </c>
      <c r="L20" s="411" t="s">
        <v>2204</v>
      </c>
      <c r="M20" s="291" t="s">
        <v>2205</v>
      </c>
      <c r="N20" s="351" t="s">
        <v>2127</v>
      </c>
      <c r="AB20" s="10"/>
    </row>
    <row r="21" spans="1:28" ht="147" customHeight="1" thickBot="1">
      <c r="A21" s="92" t="s">
        <v>403</v>
      </c>
      <c r="B21" s="64"/>
      <c r="C21" s="65" t="s">
        <v>396</v>
      </c>
      <c r="D21" s="143" t="s">
        <v>102</v>
      </c>
      <c r="E21" s="66">
        <v>2023</v>
      </c>
      <c r="F21" s="35">
        <v>1</v>
      </c>
      <c r="G21" s="66" t="e">
        <f>IF(Table683[[#This Row],[n]],1)*#REF!+IF(Table683[[#This Row],[Targets from Proposal]],1)+IF(Table683[[#This Row],[Targets from legal acts]],2)</f>
        <v>#REF!</v>
      </c>
      <c r="H21" s="66">
        <v>1</v>
      </c>
      <c r="I21" s="32"/>
      <c r="J21" s="66">
        <v>1</v>
      </c>
      <c r="K21" s="266" t="s">
        <v>1016</v>
      </c>
      <c r="L21" s="411" t="s">
        <v>2188</v>
      </c>
      <c r="M21" s="395" t="s">
        <v>2189</v>
      </c>
      <c r="N21" s="394" t="s">
        <v>2135</v>
      </c>
      <c r="AB21" s="10"/>
    </row>
    <row r="22" spans="1:28" ht="147" customHeight="1" thickBot="1">
      <c r="A22" s="92" t="s">
        <v>403</v>
      </c>
      <c r="B22" s="93" t="s">
        <v>462</v>
      </c>
      <c r="C22" s="30" t="s">
        <v>405</v>
      </c>
      <c r="D22" s="252" t="s">
        <v>321</v>
      </c>
      <c r="E22" s="75">
        <v>2022</v>
      </c>
      <c r="F22" s="42">
        <v>0</v>
      </c>
      <c r="G22" s="75" t="e">
        <f>IF(Table683[[#This Row],[n]],1)*#REF!+IF(Table683[[#This Row],[Targets from Proposal]],1)+IF(Table683[[#This Row],[Targets from legal acts]],2)</f>
        <v>#REF!</v>
      </c>
      <c r="H22" s="75">
        <v>0</v>
      </c>
      <c r="I22" s="75">
        <v>0</v>
      </c>
      <c r="J22" s="75">
        <v>1</v>
      </c>
      <c r="K22" s="266" t="s">
        <v>1017</v>
      </c>
      <c r="L22" s="412" t="s">
        <v>2198</v>
      </c>
      <c r="M22" s="292" t="s">
        <v>2199</v>
      </c>
      <c r="N22" s="352" t="s">
        <v>2130</v>
      </c>
      <c r="AB22" s="10"/>
    </row>
    <row r="23" spans="1:28" ht="147" customHeight="1" thickBot="1">
      <c r="A23" s="90" t="s">
        <v>403</v>
      </c>
      <c r="B23" s="54"/>
      <c r="C23" s="25" t="s">
        <v>150</v>
      </c>
      <c r="D23" s="172" t="s">
        <v>321</v>
      </c>
      <c r="E23" s="55">
        <v>2022</v>
      </c>
      <c r="F23" s="55">
        <v>0</v>
      </c>
      <c r="G23" s="55" t="e">
        <f>IF(Table683[[#This Row],[n]],1)*#REF!+IF(Table683[[#This Row],[Targets from Proposal]],1)+IF(Table683[[#This Row],[Targets from legal acts]],2)</f>
        <v>#REF!</v>
      </c>
      <c r="H23" s="55">
        <v>0</v>
      </c>
      <c r="I23" s="55">
        <v>0</v>
      </c>
      <c r="J23" s="55">
        <v>1</v>
      </c>
      <c r="K23" s="266" t="s">
        <v>1018</v>
      </c>
      <c r="L23" s="399" t="s">
        <v>2206</v>
      </c>
      <c r="M23" s="292" t="s">
        <v>2207</v>
      </c>
      <c r="N23" s="393" t="s">
        <v>2130</v>
      </c>
      <c r="AB23" s="10"/>
    </row>
    <row r="24" spans="1:28" ht="147" customHeight="1" thickBot="1">
      <c r="A24" s="90" t="s">
        <v>403</v>
      </c>
      <c r="B24" s="54"/>
      <c r="C24" s="25" t="s">
        <v>150</v>
      </c>
      <c r="D24" s="172" t="s">
        <v>321</v>
      </c>
      <c r="E24" s="55">
        <v>2022</v>
      </c>
      <c r="F24" s="55">
        <v>0</v>
      </c>
      <c r="G24" s="55" t="e">
        <f>IF(Table683[[#This Row],[n]],1)*#REF!+IF(Table683[[#This Row],[Targets from Proposal]],1)+IF(Table683[[#This Row],[Targets from legal acts]],2)</f>
        <v>#REF!</v>
      </c>
      <c r="H24" s="55">
        <v>0</v>
      </c>
      <c r="I24" s="55">
        <v>0</v>
      </c>
      <c r="J24" s="55">
        <v>1</v>
      </c>
      <c r="K24" s="266" t="s">
        <v>1019</v>
      </c>
      <c r="L24" s="399" t="s">
        <v>2208</v>
      </c>
      <c r="M24" s="292" t="s">
        <v>2209</v>
      </c>
      <c r="N24" s="393" t="s">
        <v>2127</v>
      </c>
      <c r="AB24" s="10"/>
    </row>
    <row r="25" spans="1:28" ht="147" customHeight="1" thickBot="1">
      <c r="A25" s="90" t="s">
        <v>403</v>
      </c>
      <c r="B25" s="54"/>
      <c r="C25" s="19" t="s">
        <v>150</v>
      </c>
      <c r="D25" s="177" t="s">
        <v>321</v>
      </c>
      <c r="E25" s="42">
        <v>2022</v>
      </c>
      <c r="F25" s="42">
        <v>0</v>
      </c>
      <c r="G25" s="42" t="e">
        <f>IF(Table683[[#This Row],[n]],1)*#REF!+IF(Table683[[#This Row],[Targets from Proposal]],1)+IF(Table683[[#This Row],[Targets from legal acts]],2)</f>
        <v>#REF!</v>
      </c>
      <c r="H25" s="42">
        <v>0</v>
      </c>
      <c r="I25" s="42">
        <v>0</v>
      </c>
      <c r="J25" s="42">
        <v>1</v>
      </c>
      <c r="K25" s="266" t="s">
        <v>1020</v>
      </c>
      <c r="L25" s="413" t="s">
        <v>2210</v>
      </c>
      <c r="M25" s="292" t="s">
        <v>2211</v>
      </c>
      <c r="N25" s="353" t="s">
        <v>2130</v>
      </c>
      <c r="AB25" s="10"/>
    </row>
    <row r="26" spans="1:28" ht="147" customHeight="1" thickBot="1">
      <c r="A26" s="90" t="s">
        <v>403</v>
      </c>
      <c r="B26" s="54"/>
      <c r="C26" s="19" t="s">
        <v>150</v>
      </c>
      <c r="D26" s="177" t="s">
        <v>321</v>
      </c>
      <c r="E26" s="42">
        <v>2022</v>
      </c>
      <c r="F26" s="42">
        <v>0</v>
      </c>
      <c r="G26" s="42" t="e">
        <f>IF(Table683[[#This Row],[n]],1)*#REF!+IF(Table683[[#This Row],[Targets from Proposal]],1)+IF(Table683[[#This Row],[Targets from legal acts]],2)</f>
        <v>#REF!</v>
      </c>
      <c r="H26" s="42">
        <v>0</v>
      </c>
      <c r="I26" s="42">
        <v>0</v>
      </c>
      <c r="J26" s="42">
        <v>1</v>
      </c>
      <c r="K26" s="266" t="s">
        <v>1021</v>
      </c>
      <c r="L26" s="414" t="s">
        <v>545</v>
      </c>
      <c r="M26" s="292"/>
      <c r="N26" s="353"/>
      <c r="AB26" s="10"/>
    </row>
    <row r="27" spans="1:28" ht="147" customHeight="1" thickBot="1">
      <c r="A27" s="90" t="s">
        <v>403</v>
      </c>
      <c r="B27" s="54"/>
      <c r="C27" s="19" t="s">
        <v>396</v>
      </c>
      <c r="D27" s="51" t="s">
        <v>102</v>
      </c>
      <c r="E27" s="55">
        <v>2023</v>
      </c>
      <c r="F27" s="55">
        <v>1</v>
      </c>
      <c r="G27" s="55" t="e">
        <f>IF(Table683[[#This Row],[n]],1)*#REF!+IF(Table683[[#This Row],[Targets from Proposal]],1)+IF(Table683[[#This Row],[Targets from legal acts]],2)</f>
        <v>#REF!</v>
      </c>
      <c r="H27" s="55">
        <v>1</v>
      </c>
      <c r="I27" s="55"/>
      <c r="J27" s="55">
        <v>1</v>
      </c>
      <c r="K27" s="266" t="s">
        <v>1022</v>
      </c>
      <c r="L27" s="399" t="s">
        <v>2145</v>
      </c>
      <c r="M27" s="292" t="s">
        <v>2146</v>
      </c>
      <c r="N27" s="354" t="s">
        <v>2127</v>
      </c>
      <c r="AB27" s="10"/>
    </row>
    <row r="28" spans="1:28" ht="147" customHeight="1">
      <c r="A28" s="90" t="s">
        <v>403</v>
      </c>
      <c r="B28" s="54"/>
      <c r="C28" s="19" t="s">
        <v>396</v>
      </c>
      <c r="D28" s="142" t="s">
        <v>102</v>
      </c>
      <c r="E28" s="73">
        <v>2023</v>
      </c>
      <c r="F28" s="55">
        <v>1</v>
      </c>
      <c r="G28" s="55" t="e">
        <f>IF(Table683[[#This Row],[n]],1)*#REF!+IF(Table683[[#This Row],[Targets from Proposal]],1)+IF(Table683[[#This Row],[Targets from legal acts]],2)</f>
        <v>#REF!</v>
      </c>
      <c r="H28" s="55">
        <v>1</v>
      </c>
      <c r="I28" s="55"/>
      <c r="J28" s="55">
        <v>1</v>
      </c>
      <c r="K28" s="55" t="s">
        <v>1026</v>
      </c>
      <c r="L28" s="399" t="s">
        <v>2153</v>
      </c>
      <c r="M28" s="292" t="s">
        <v>2154</v>
      </c>
      <c r="N28" s="354" t="s">
        <v>2130</v>
      </c>
      <c r="AB28" s="10"/>
    </row>
    <row r="29" spans="1:28" ht="147" customHeight="1">
      <c r="A29" s="90" t="s">
        <v>403</v>
      </c>
      <c r="B29" s="54"/>
      <c r="C29" s="19" t="s">
        <v>396</v>
      </c>
      <c r="D29" s="142" t="s">
        <v>102</v>
      </c>
      <c r="E29" s="26">
        <v>2023</v>
      </c>
      <c r="F29" s="26">
        <v>1</v>
      </c>
      <c r="G29" s="26" t="e">
        <f>IF(Table683[[#This Row],[n]],1)*#REF!+IF(Table683[[#This Row],[Targets from Proposal]],1)+IF(Table683[[#This Row],[Targets from legal acts]],2)</f>
        <v>#REF!</v>
      </c>
      <c r="H29" s="26">
        <v>1</v>
      </c>
      <c r="I29" s="26"/>
      <c r="J29" s="26">
        <v>1</v>
      </c>
      <c r="K29" s="26" t="s">
        <v>1027</v>
      </c>
      <c r="L29" s="399" t="s">
        <v>2184</v>
      </c>
      <c r="M29" s="292" t="s">
        <v>2185</v>
      </c>
      <c r="N29" s="348" t="s">
        <v>2127</v>
      </c>
      <c r="AB29" s="10"/>
    </row>
    <row r="30" spans="1:28" ht="147" customHeight="1">
      <c r="A30" s="90" t="s">
        <v>403</v>
      </c>
      <c r="B30" s="54"/>
      <c r="C30" s="19" t="s">
        <v>396</v>
      </c>
      <c r="D30" s="146" t="s">
        <v>102</v>
      </c>
      <c r="E30" s="24">
        <v>2023</v>
      </c>
      <c r="F30" s="35">
        <v>1</v>
      </c>
      <c r="G30" s="35" t="e">
        <f>IF(Table683[[#This Row],[n]],1)*#REF!+IF(Table683[[#This Row],[Targets from Proposal]],1)+IF(Table683[[#This Row],[Targets from legal acts]],2)</f>
        <v>#REF!</v>
      </c>
      <c r="H30" s="35">
        <v>1</v>
      </c>
      <c r="I30" s="35"/>
      <c r="J30" s="35">
        <v>1</v>
      </c>
      <c r="K30" s="35" t="s">
        <v>1028</v>
      </c>
      <c r="L30" s="389" t="s">
        <v>555</v>
      </c>
      <c r="M30" s="292"/>
      <c r="N30" s="354"/>
      <c r="AB30" s="10"/>
    </row>
    <row r="31" spans="1:28" ht="147" customHeight="1">
      <c r="A31" s="90" t="s">
        <v>403</v>
      </c>
      <c r="B31" s="54"/>
      <c r="C31" s="27" t="s">
        <v>396</v>
      </c>
      <c r="D31" s="142" t="s">
        <v>102</v>
      </c>
      <c r="E31" s="26">
        <v>2023</v>
      </c>
      <c r="F31" s="26">
        <v>1</v>
      </c>
      <c r="G31" s="26" t="e">
        <f>IF(Table683[[#This Row],[n]],1)*#REF!+IF(Table683[[#This Row],[Targets from Proposal]],1)+IF(Table683[[#This Row],[Targets from legal acts]],2)</f>
        <v>#REF!</v>
      </c>
      <c r="H31" s="26">
        <v>1</v>
      </c>
      <c r="I31" s="26"/>
      <c r="J31" s="26">
        <v>1</v>
      </c>
      <c r="K31" s="26" t="s">
        <v>1029</v>
      </c>
      <c r="L31" s="399" t="s">
        <v>2147</v>
      </c>
      <c r="M31" s="292" t="s">
        <v>2148</v>
      </c>
      <c r="N31" s="348" t="s">
        <v>2127</v>
      </c>
      <c r="AB31" s="10"/>
    </row>
    <row r="32" spans="1:28" ht="147" customHeight="1">
      <c r="A32" s="90" t="s">
        <v>403</v>
      </c>
      <c r="B32" s="54"/>
      <c r="C32" s="27" t="s">
        <v>396</v>
      </c>
      <c r="D32" s="142" t="s">
        <v>102</v>
      </c>
      <c r="E32" s="26">
        <v>2023</v>
      </c>
      <c r="F32" s="26">
        <v>1</v>
      </c>
      <c r="G32" s="26" t="e">
        <f>IF(Table683[[#This Row],[n]],1)*#REF!+IF(Table683[[#This Row],[Targets from Proposal]],1)+IF(Table683[[#This Row],[Targets from legal acts]],2)</f>
        <v>#REF!</v>
      </c>
      <c r="H32" s="26">
        <v>1</v>
      </c>
      <c r="I32" s="26"/>
      <c r="J32" s="26">
        <v>1</v>
      </c>
      <c r="K32" s="26" t="s">
        <v>1030</v>
      </c>
      <c r="L32" s="399" t="s">
        <v>2155</v>
      </c>
      <c r="M32" s="292" t="s">
        <v>2156</v>
      </c>
      <c r="N32" s="348" t="s">
        <v>2127</v>
      </c>
      <c r="AB32" s="10"/>
    </row>
    <row r="33" spans="1:28" ht="147" customHeight="1">
      <c r="A33" s="90" t="s">
        <v>403</v>
      </c>
      <c r="B33" s="54"/>
      <c r="C33" s="27" t="s">
        <v>396</v>
      </c>
      <c r="D33" s="142" t="s">
        <v>102</v>
      </c>
      <c r="E33" s="55">
        <v>2023</v>
      </c>
      <c r="F33" s="55">
        <v>1</v>
      </c>
      <c r="G33" s="55" t="e">
        <f>IF(Table683[[#This Row],[n]],1)*#REF!+IF(Table683[[#This Row],[Targets from Proposal]],1)+IF(Table683[[#This Row],[Targets from legal acts]],2)</f>
        <v>#REF!</v>
      </c>
      <c r="H33" s="55">
        <v>1</v>
      </c>
      <c r="I33" s="55"/>
      <c r="J33" s="55">
        <v>1</v>
      </c>
      <c r="K33" s="55" t="s">
        <v>1031</v>
      </c>
      <c r="L33" s="399" t="s">
        <v>2149</v>
      </c>
      <c r="M33" s="292" t="s">
        <v>2150</v>
      </c>
      <c r="N33" s="348" t="s">
        <v>2130</v>
      </c>
      <c r="AB33" s="10"/>
    </row>
    <row r="34" spans="1:28" ht="147" customHeight="1">
      <c r="A34" s="90" t="s">
        <v>403</v>
      </c>
      <c r="B34" s="54"/>
      <c r="C34" s="27" t="s">
        <v>396</v>
      </c>
      <c r="D34" s="142" t="s">
        <v>102</v>
      </c>
      <c r="E34" s="26">
        <v>2023</v>
      </c>
      <c r="F34" s="26">
        <v>1</v>
      </c>
      <c r="G34" s="26" t="e">
        <f>IF(Table683[[#This Row],[n]],1)*#REF!+IF(Table683[[#This Row],[Targets from Proposal]],1)+IF(Table683[[#This Row],[Targets from legal acts]],2)</f>
        <v>#REF!</v>
      </c>
      <c r="H34" s="26">
        <v>1</v>
      </c>
      <c r="I34" s="26"/>
      <c r="J34" s="26">
        <v>1</v>
      </c>
      <c r="K34" s="26" t="s">
        <v>1033</v>
      </c>
      <c r="L34" s="399" t="s">
        <v>2151</v>
      </c>
      <c r="M34" s="292" t="s">
        <v>2152</v>
      </c>
      <c r="N34" s="348" t="s">
        <v>2127</v>
      </c>
      <c r="AB34" s="10"/>
    </row>
    <row r="35" spans="1:28" ht="147" customHeight="1">
      <c r="A35" s="92" t="s">
        <v>403</v>
      </c>
      <c r="B35" s="54" t="s">
        <v>426</v>
      </c>
      <c r="C35" s="27" t="s">
        <v>396</v>
      </c>
      <c r="D35" s="142" t="s">
        <v>102</v>
      </c>
      <c r="E35" s="26">
        <v>2023</v>
      </c>
      <c r="F35" s="26">
        <v>1</v>
      </c>
      <c r="G35" s="26" t="e">
        <f>IF(Table683[[#This Row],[n]],1)*#REF!+IF(Table683[[#This Row],[Targets from Proposal]],1)+IF(Table683[[#This Row],[Targets from legal acts]],2)</f>
        <v>#REF!</v>
      </c>
      <c r="H35" s="26">
        <v>1</v>
      </c>
      <c r="I35" s="26"/>
      <c r="J35" s="26">
        <v>1</v>
      </c>
      <c r="K35" s="26" t="s">
        <v>1034</v>
      </c>
      <c r="L35" s="399" t="s">
        <v>2186</v>
      </c>
      <c r="M35" s="292" t="s">
        <v>2187</v>
      </c>
      <c r="N35" s="348" t="s">
        <v>2127</v>
      </c>
      <c r="AB35" s="10"/>
    </row>
    <row r="36" spans="1:28" ht="147" customHeight="1">
      <c r="A36" s="90" t="s">
        <v>403</v>
      </c>
      <c r="B36" s="54"/>
      <c r="C36" s="27" t="s">
        <v>396</v>
      </c>
      <c r="D36" s="142" t="s">
        <v>102</v>
      </c>
      <c r="E36" s="26">
        <v>2023</v>
      </c>
      <c r="F36" s="26">
        <v>1</v>
      </c>
      <c r="G36" s="26" t="e">
        <f>IF(Table683[[#This Row],[n]],1)*#REF!+IF(Table683[[#This Row],[Targets from Proposal]],1)+IF(Table683[[#This Row],[Targets from legal acts]],2)</f>
        <v>#REF!</v>
      </c>
      <c r="H36" s="26">
        <v>1</v>
      </c>
      <c r="I36" s="26"/>
      <c r="J36" s="26">
        <v>1</v>
      </c>
      <c r="K36" s="26" t="s">
        <v>1035</v>
      </c>
      <c r="L36" s="399" t="s">
        <v>2182</v>
      </c>
      <c r="M36" s="292" t="s">
        <v>2183</v>
      </c>
      <c r="N36" s="348"/>
      <c r="AB36" s="10"/>
    </row>
    <row r="37" spans="1:28" ht="147" customHeight="1">
      <c r="A37" s="90" t="s">
        <v>403</v>
      </c>
      <c r="B37" s="93" t="s">
        <v>435</v>
      </c>
      <c r="C37" s="118" t="s">
        <v>436</v>
      </c>
      <c r="D37" s="142" t="s">
        <v>298</v>
      </c>
      <c r="E37" s="55">
        <v>2022</v>
      </c>
      <c r="F37" s="26"/>
      <c r="G37" s="26"/>
      <c r="H37" s="26"/>
      <c r="I37" s="26"/>
      <c r="J37" s="26"/>
      <c r="K37" s="26"/>
      <c r="L37" s="390"/>
      <c r="M37" s="292"/>
      <c r="N37" s="348"/>
      <c r="AB37" s="10"/>
    </row>
    <row r="38" spans="1:28" ht="147" customHeight="1">
      <c r="A38" s="90" t="s">
        <v>403</v>
      </c>
      <c r="B38" s="54" t="s">
        <v>426</v>
      </c>
      <c r="C38" s="27" t="s">
        <v>586</v>
      </c>
      <c r="D38" s="51" t="s">
        <v>110</v>
      </c>
      <c r="E38" s="26">
        <v>2023</v>
      </c>
      <c r="F38" s="26"/>
      <c r="G38" s="26"/>
      <c r="H38" s="26"/>
      <c r="I38" s="26"/>
      <c r="J38" s="26"/>
      <c r="K38" s="26"/>
      <c r="L38" s="390"/>
      <c r="M38" s="292"/>
      <c r="N38" s="348"/>
      <c r="AB38" s="10"/>
    </row>
    <row r="39" spans="1:28" ht="147" customHeight="1">
      <c r="A39" s="92" t="s">
        <v>403</v>
      </c>
      <c r="B39" s="54"/>
      <c r="C39" s="27" t="s">
        <v>591</v>
      </c>
      <c r="D39" s="172" t="s">
        <v>321</v>
      </c>
      <c r="E39" s="493">
        <v>2023</v>
      </c>
      <c r="F39" s="493">
        <v>0</v>
      </c>
      <c r="G39" s="493" t="e">
        <f>IF(Table683[[#This Row],[n]],1)*#REF!+IF(Table683[[#This Row],[Targets from Proposal]],1)+IF(Table683[[#This Row],[Targets from legal acts]],2)</f>
        <v>#REF!</v>
      </c>
      <c r="H39" s="493">
        <v>0</v>
      </c>
      <c r="I39" s="493">
        <v>0</v>
      </c>
      <c r="J39" s="493">
        <v>1</v>
      </c>
      <c r="K39" s="493" t="s">
        <v>1036</v>
      </c>
      <c r="L39" s="389" t="s">
        <v>592</v>
      </c>
      <c r="M39" s="292"/>
      <c r="N39" s="346"/>
      <c r="AB39" s="10"/>
    </row>
    <row r="40" spans="1:28" ht="147" customHeight="1">
      <c r="A40" s="92" t="s">
        <v>403</v>
      </c>
      <c r="B40" s="93" t="s">
        <v>462</v>
      </c>
      <c r="C40" s="27" t="s">
        <v>511</v>
      </c>
      <c r="D40" s="146" t="s">
        <v>102</v>
      </c>
      <c r="E40" s="55">
        <v>2023</v>
      </c>
      <c r="F40" s="55">
        <v>1</v>
      </c>
      <c r="G40" s="55" t="e">
        <f>IF(Table683[[#This Row],[n]],1)*#REF!+IF(Table683[[#This Row],[Targets from Proposal]],1)+IF(Table683[[#This Row],[Targets from legal acts]],2)</f>
        <v>#REF!</v>
      </c>
      <c r="H40" s="55">
        <v>1</v>
      </c>
      <c r="I40" s="55"/>
      <c r="J40" s="55">
        <v>1</v>
      </c>
      <c r="K40" s="55" t="s">
        <v>1037</v>
      </c>
      <c r="L40" s="390" t="s">
        <v>595</v>
      </c>
      <c r="M40" s="292"/>
      <c r="N40" s="348"/>
      <c r="AB40" s="10"/>
    </row>
    <row r="41" spans="1:28" ht="147" customHeight="1">
      <c r="A41" s="92" t="s">
        <v>403</v>
      </c>
      <c r="B41" s="93" t="s">
        <v>462</v>
      </c>
      <c r="C41" s="27" t="s">
        <v>511</v>
      </c>
      <c r="D41" s="142" t="s">
        <v>102</v>
      </c>
      <c r="E41" s="55">
        <v>2023</v>
      </c>
      <c r="F41" s="55">
        <v>1</v>
      </c>
      <c r="G41" s="55" t="e">
        <f>IF(Table683[[#This Row],[n]],1)*#REF!+IF(Table683[[#This Row],[Targets from Proposal]],1)+IF(Table683[[#This Row],[Targets from legal acts]],2)</f>
        <v>#REF!</v>
      </c>
      <c r="H41" s="55">
        <v>1</v>
      </c>
      <c r="I41" s="55"/>
      <c r="J41" s="55">
        <v>1</v>
      </c>
      <c r="K41" s="55" t="s">
        <v>1038</v>
      </c>
      <c r="L41" s="399" t="s">
        <v>2157</v>
      </c>
      <c r="M41" s="292" t="s">
        <v>2158</v>
      </c>
      <c r="N41" s="348" t="s">
        <v>2132</v>
      </c>
      <c r="AB41" s="10"/>
    </row>
    <row r="42" spans="1:28" ht="147" customHeight="1">
      <c r="A42" s="92" t="s">
        <v>403</v>
      </c>
      <c r="B42" s="93" t="s">
        <v>462</v>
      </c>
      <c r="C42" s="27" t="s">
        <v>511</v>
      </c>
      <c r="D42" s="142" t="s">
        <v>102</v>
      </c>
      <c r="E42" s="55">
        <v>2023</v>
      </c>
      <c r="F42" s="55">
        <v>1</v>
      </c>
      <c r="G42" s="55" t="e">
        <f>IF(Table683[[#This Row],[n]],1)*#REF!+IF(Table683[[#This Row],[Targets from Proposal]],1)+IF(Table683[[#This Row],[Targets from legal acts]],2)</f>
        <v>#REF!</v>
      </c>
      <c r="H42" s="55">
        <v>1</v>
      </c>
      <c r="I42" s="55"/>
      <c r="J42" s="55">
        <v>1</v>
      </c>
      <c r="K42" s="55" t="s">
        <v>1039</v>
      </c>
      <c r="L42" s="399" t="s">
        <v>2159</v>
      </c>
      <c r="M42" s="292" t="s">
        <v>2160</v>
      </c>
      <c r="N42" s="348" t="s">
        <v>2127</v>
      </c>
      <c r="AB42" s="10"/>
    </row>
    <row r="43" spans="1:28" ht="147" customHeight="1">
      <c r="A43" s="92" t="s">
        <v>403</v>
      </c>
      <c r="B43" s="54"/>
      <c r="C43" s="27" t="s">
        <v>511</v>
      </c>
      <c r="D43" s="142" t="s">
        <v>102</v>
      </c>
      <c r="E43" s="55">
        <v>2023</v>
      </c>
      <c r="F43" s="55">
        <v>1</v>
      </c>
      <c r="G43" s="55" t="e">
        <f>IF(Table683[[#This Row],[n]],1)*#REF!+IF(Table683[[#This Row],[Targets from Proposal]],1)+IF(Table683[[#This Row],[Targets from legal acts]],2)</f>
        <v>#REF!</v>
      </c>
      <c r="H43" s="55">
        <v>1</v>
      </c>
      <c r="I43" s="55"/>
      <c r="J43" s="55">
        <v>1</v>
      </c>
      <c r="K43" s="55" t="s">
        <v>1040</v>
      </c>
      <c r="L43" s="399" t="s">
        <v>2161</v>
      </c>
      <c r="M43" s="292" t="s">
        <v>2162</v>
      </c>
      <c r="N43" s="348" t="s">
        <v>2127</v>
      </c>
      <c r="AB43" s="10"/>
    </row>
    <row r="44" spans="1:28" ht="147" customHeight="1">
      <c r="A44" s="92" t="s">
        <v>403</v>
      </c>
      <c r="B44" s="93" t="s">
        <v>462</v>
      </c>
      <c r="C44" s="27" t="s">
        <v>511</v>
      </c>
      <c r="D44" s="145" t="s">
        <v>102</v>
      </c>
      <c r="E44" s="76">
        <v>2023</v>
      </c>
      <c r="F44" s="76">
        <v>1</v>
      </c>
      <c r="G44" s="76" t="e">
        <f>IF(Table683[[#This Row],[n]],1)*#REF!+IF(Table683[[#This Row],[Targets from Proposal]],1)+IF(Table683[[#This Row],[Targets from legal acts]],2)</f>
        <v>#REF!</v>
      </c>
      <c r="H44" s="76">
        <v>1</v>
      </c>
      <c r="I44" s="76"/>
      <c r="J44" s="76">
        <v>1</v>
      </c>
      <c r="K44" s="76" t="s">
        <v>1041</v>
      </c>
      <c r="L44" s="415" t="s">
        <v>2166</v>
      </c>
      <c r="M44" s="292" t="s">
        <v>2167</v>
      </c>
      <c r="N44" s="348" t="s">
        <v>2127</v>
      </c>
      <c r="AB44" s="10"/>
    </row>
    <row r="45" spans="1:28" ht="147" customHeight="1">
      <c r="A45" s="92" t="s">
        <v>403</v>
      </c>
      <c r="B45" s="93" t="s">
        <v>462</v>
      </c>
      <c r="C45" s="118" t="s">
        <v>324</v>
      </c>
      <c r="D45" s="176" t="s">
        <v>321</v>
      </c>
      <c r="E45" s="97">
        <v>2020</v>
      </c>
      <c r="F45" s="99">
        <v>0</v>
      </c>
      <c r="G45" s="99" t="e">
        <f>IF(Table683[[#This Row],[n]],1)*#REF!+IF(Table683[[#This Row],[Targets from Proposal]],1)+IF(Table683[[#This Row],[Targets from legal acts]],2)</f>
        <v>#REF!</v>
      </c>
      <c r="H45" s="99">
        <v>0</v>
      </c>
      <c r="I45" s="99">
        <v>0</v>
      </c>
      <c r="J45" s="99">
        <v>1</v>
      </c>
      <c r="K45" s="99" t="s">
        <v>1042</v>
      </c>
      <c r="L45" s="408" t="s">
        <v>2194</v>
      </c>
      <c r="M45" s="292" t="s">
        <v>2195</v>
      </c>
      <c r="N45" s="397" t="s">
        <v>2127</v>
      </c>
      <c r="AB45" s="10"/>
    </row>
    <row r="46" spans="1:28" ht="147" customHeight="1">
      <c r="A46" s="92" t="s">
        <v>403</v>
      </c>
      <c r="B46" s="93" t="s">
        <v>462</v>
      </c>
      <c r="C46" s="98" t="s">
        <v>324</v>
      </c>
      <c r="D46" s="184" t="s">
        <v>321</v>
      </c>
      <c r="E46" s="99">
        <v>2020</v>
      </c>
      <c r="F46" s="99">
        <v>0</v>
      </c>
      <c r="G46" s="99" t="e">
        <f>IF(Table683[[#This Row],[n]],1)*#REF!+IF(Table683[[#This Row],[Targets from Proposal]],1)+IF(Table683[[#This Row],[Targets from legal acts]],2)</f>
        <v>#REF!</v>
      </c>
      <c r="H46" s="99">
        <v>0</v>
      </c>
      <c r="I46" s="99">
        <v>0</v>
      </c>
      <c r="J46" s="99">
        <v>1</v>
      </c>
      <c r="K46" s="99" t="s">
        <v>1043</v>
      </c>
      <c r="L46" s="408" t="s">
        <v>2196</v>
      </c>
      <c r="M46" s="292" t="s">
        <v>2197</v>
      </c>
      <c r="N46" s="356" t="s">
        <v>2127</v>
      </c>
      <c r="AB46" s="10"/>
    </row>
    <row r="47" spans="1:28" ht="147" customHeight="1">
      <c r="A47" s="92" t="s">
        <v>403</v>
      </c>
      <c r="B47" s="100" t="s">
        <v>462</v>
      </c>
      <c r="C47" s="117" t="s">
        <v>463</v>
      </c>
      <c r="D47" s="150" t="s">
        <v>101</v>
      </c>
      <c r="E47" s="99">
        <v>2021</v>
      </c>
      <c r="F47" s="99">
        <v>0</v>
      </c>
      <c r="G47" s="99" t="e">
        <f>IF(Table683[[#This Row],[n]],1)*#REF!+IF(Table683[[#This Row],[Targets from Proposal]],1)+IF(Table683[[#This Row],[Targets from legal acts]],2)</f>
        <v>#REF!</v>
      </c>
      <c r="H47" s="99">
        <v>0</v>
      </c>
      <c r="I47" s="32">
        <v>1</v>
      </c>
      <c r="J47" s="99">
        <v>1</v>
      </c>
      <c r="K47" s="99" t="s">
        <v>1044</v>
      </c>
      <c r="L47" s="419" t="s">
        <v>2168</v>
      </c>
      <c r="M47" s="292"/>
      <c r="N47" s="349"/>
      <c r="AB47" s="10"/>
    </row>
    <row r="48" spans="1:28" ht="147" customHeight="1">
      <c r="A48" s="92" t="s">
        <v>403</v>
      </c>
      <c r="B48" s="100" t="s">
        <v>462</v>
      </c>
      <c r="C48" s="105" t="s">
        <v>463</v>
      </c>
      <c r="D48" s="152" t="s">
        <v>101</v>
      </c>
      <c r="E48" s="106">
        <v>2021</v>
      </c>
      <c r="F48" s="106">
        <v>0</v>
      </c>
      <c r="G48" s="106" t="e">
        <f>IF(Table683[[#This Row],[n]],1)*#REF!+IF(Table683[[#This Row],[Targets from Proposal]],1)+IF(Table683[[#This Row],[Targets from legal acts]],2)</f>
        <v>#REF!</v>
      </c>
      <c r="H48" s="106">
        <v>0</v>
      </c>
      <c r="I48" s="32">
        <v>1</v>
      </c>
      <c r="J48" s="106">
        <v>1</v>
      </c>
      <c r="K48" s="106" t="s">
        <v>1045</v>
      </c>
      <c r="L48" s="461" t="s">
        <v>2200</v>
      </c>
      <c r="M48" s="292" t="s">
        <v>2201</v>
      </c>
      <c r="N48" s="357" t="s">
        <v>2127</v>
      </c>
      <c r="AB48" s="10"/>
    </row>
    <row r="49" spans="1:28" ht="147" customHeight="1">
      <c r="A49" s="92" t="s">
        <v>403</v>
      </c>
      <c r="B49" s="100" t="s">
        <v>462</v>
      </c>
      <c r="C49" s="98" t="s">
        <v>463</v>
      </c>
      <c r="D49" s="150" t="s">
        <v>101</v>
      </c>
      <c r="E49" s="99">
        <v>2021</v>
      </c>
      <c r="F49" s="99">
        <v>0</v>
      </c>
      <c r="G49" s="99" t="e">
        <f>IF(Table683[[#This Row],[n]],1)*#REF!+IF(Table683[[#This Row],[Targets from Proposal]],1)+IF(Table683[[#This Row],[Targets from legal acts]],2)</f>
        <v>#REF!</v>
      </c>
      <c r="H49" s="99">
        <v>0</v>
      </c>
      <c r="I49" s="23">
        <v>1</v>
      </c>
      <c r="J49" s="99">
        <v>1</v>
      </c>
      <c r="K49" s="99" t="s">
        <v>1046</v>
      </c>
      <c r="L49" s="408" t="s">
        <v>2178</v>
      </c>
      <c r="M49" s="292" t="s">
        <v>2179</v>
      </c>
      <c r="N49" s="349" t="s">
        <v>2132</v>
      </c>
      <c r="AB49" s="10"/>
    </row>
    <row r="50" spans="1:28" ht="147" customHeight="1">
      <c r="A50" s="92" t="s">
        <v>403</v>
      </c>
      <c r="B50" s="100" t="s">
        <v>462</v>
      </c>
      <c r="C50" s="101" t="s">
        <v>463</v>
      </c>
      <c r="D50" s="151" t="s">
        <v>101</v>
      </c>
      <c r="E50" s="102">
        <v>2021</v>
      </c>
      <c r="F50" s="102">
        <v>0</v>
      </c>
      <c r="G50" s="102" t="e">
        <f>IF(Table683[[#This Row],[n]],1)*#REF!+IF(Table683[[#This Row],[Targets from Proposal]],1)+IF(Table683[[#This Row],[Targets from legal acts]],2)</f>
        <v>#REF!</v>
      </c>
      <c r="H50" s="102">
        <v>0</v>
      </c>
      <c r="I50" s="38">
        <v>1</v>
      </c>
      <c r="J50" s="102">
        <v>1</v>
      </c>
      <c r="K50" s="102" t="s">
        <v>1047</v>
      </c>
      <c r="L50" s="391" t="s">
        <v>1048</v>
      </c>
      <c r="M50" s="292"/>
      <c r="N50" s="358"/>
      <c r="AB50" s="10"/>
    </row>
    <row r="51" spans="1:28" ht="147" customHeight="1">
      <c r="A51" s="92" t="s">
        <v>403</v>
      </c>
      <c r="B51" s="100" t="s">
        <v>462</v>
      </c>
      <c r="C51" s="101" t="s">
        <v>463</v>
      </c>
      <c r="D51" s="151" t="s">
        <v>101</v>
      </c>
      <c r="E51" s="102">
        <v>2021</v>
      </c>
      <c r="F51" s="102">
        <v>0</v>
      </c>
      <c r="G51" s="102" t="e">
        <f>IF(Table683[[#This Row],[n]],1)*#REF!+IF(Table683[[#This Row],[Targets from Proposal]],1)+IF(Table683[[#This Row],[Targets from legal acts]],2)</f>
        <v>#REF!</v>
      </c>
      <c r="H51" s="102">
        <v>0</v>
      </c>
      <c r="I51" s="38">
        <v>1</v>
      </c>
      <c r="J51" s="102">
        <v>1</v>
      </c>
      <c r="K51" s="102" t="s">
        <v>1049</v>
      </c>
      <c r="L51" s="391" t="s">
        <v>477</v>
      </c>
      <c r="M51" s="292"/>
      <c r="N51" s="358"/>
      <c r="AB51" s="10"/>
    </row>
    <row r="52" spans="1:28" ht="147" customHeight="1">
      <c r="A52" s="92" t="s">
        <v>403</v>
      </c>
      <c r="B52" s="100" t="s">
        <v>462</v>
      </c>
      <c r="C52" s="101" t="s">
        <v>463</v>
      </c>
      <c r="D52" s="149" t="s">
        <v>101</v>
      </c>
      <c r="E52" s="97">
        <v>2021</v>
      </c>
      <c r="F52" s="97">
        <v>0</v>
      </c>
      <c r="G52" s="97" t="e">
        <f>IF(Table683[[#This Row],[n]],1)*#REF!+IF(Table683[[#This Row],[Targets from Proposal]],1)+IF(Table683[[#This Row],[Targets from legal acts]],2)</f>
        <v>#REF!</v>
      </c>
      <c r="H52" s="97">
        <v>0</v>
      </c>
      <c r="I52" s="26">
        <v>1</v>
      </c>
      <c r="J52" s="97">
        <v>1</v>
      </c>
      <c r="K52" s="97" t="s">
        <v>1050</v>
      </c>
      <c r="L52" s="390" t="s">
        <v>475</v>
      </c>
      <c r="M52" s="292"/>
      <c r="N52" s="356"/>
      <c r="AB52" s="10"/>
    </row>
    <row r="53" spans="1:28" ht="147" customHeight="1">
      <c r="A53" s="92" t="s">
        <v>403</v>
      </c>
      <c r="B53" s="100" t="s">
        <v>462</v>
      </c>
      <c r="C53" s="96" t="s">
        <v>463</v>
      </c>
      <c r="D53" s="149" t="s">
        <v>101</v>
      </c>
      <c r="E53" s="97">
        <v>2021</v>
      </c>
      <c r="F53" s="97">
        <v>0</v>
      </c>
      <c r="G53" s="97" t="e">
        <f>IF(Table683[[#This Row],[n]],1)*#REF!+IF(Table683[[#This Row],[Targets from Proposal]],1)+IF(Table683[[#This Row],[Targets from legal acts]],2)</f>
        <v>#REF!</v>
      </c>
      <c r="H53" s="97">
        <v>0</v>
      </c>
      <c r="I53" s="26">
        <v>1</v>
      </c>
      <c r="J53" s="97">
        <v>1</v>
      </c>
      <c r="K53" s="97" t="s">
        <v>1051</v>
      </c>
      <c r="L53" s="399" t="s">
        <v>2180</v>
      </c>
      <c r="M53" s="512" t="s">
        <v>2181</v>
      </c>
      <c r="N53" s="342"/>
      <c r="AB53" s="10"/>
    </row>
    <row r="54" spans="1:28" ht="147" customHeight="1">
      <c r="A54" s="92" t="s">
        <v>403</v>
      </c>
      <c r="B54" s="100" t="s">
        <v>462</v>
      </c>
      <c r="C54" s="96" t="s">
        <v>463</v>
      </c>
      <c r="D54" s="149" t="s">
        <v>101</v>
      </c>
      <c r="E54" s="97">
        <v>2021</v>
      </c>
      <c r="F54" s="97">
        <v>0</v>
      </c>
      <c r="G54" s="97" t="e">
        <f>IF(Table683[[#This Row],[n]],1)*#REF!+IF(Table683[[#This Row],[Targets from Proposal]],1)+IF(Table683[[#This Row],[Targets from legal acts]],2)</f>
        <v>#REF!</v>
      </c>
      <c r="H54" s="97">
        <v>0</v>
      </c>
      <c r="I54" s="26">
        <v>1</v>
      </c>
      <c r="J54" s="97">
        <v>1</v>
      </c>
      <c r="K54" s="277" t="s">
        <v>1052</v>
      </c>
      <c r="L54" s="416" t="s">
        <v>2176</v>
      </c>
      <c r="M54" s="286" t="s">
        <v>2177</v>
      </c>
      <c r="N54" s="393" t="s">
        <v>2127</v>
      </c>
      <c r="AB54" s="10"/>
    </row>
    <row r="55" spans="1:28" ht="147" customHeight="1">
      <c r="A55" s="92" t="s">
        <v>403</v>
      </c>
      <c r="B55" s="100" t="s">
        <v>462</v>
      </c>
      <c r="C55" s="96" t="s">
        <v>463</v>
      </c>
      <c r="D55" s="149" t="s">
        <v>101</v>
      </c>
      <c r="E55" s="97">
        <v>2021</v>
      </c>
      <c r="F55" s="97">
        <v>0</v>
      </c>
      <c r="G55" s="97">
        <v>2</v>
      </c>
      <c r="H55" s="97">
        <v>0</v>
      </c>
      <c r="I55" s="26">
        <v>1</v>
      </c>
      <c r="J55" s="97">
        <v>1</v>
      </c>
      <c r="K55" s="277" t="s">
        <v>1053</v>
      </c>
      <c r="L55" s="506" t="s">
        <v>2169</v>
      </c>
      <c r="M55" s="286"/>
      <c r="N55" s="356"/>
      <c r="AB55" s="10"/>
    </row>
    <row r="56" spans="1:28" ht="147" customHeight="1">
      <c r="A56" s="92" t="s">
        <v>403</v>
      </c>
      <c r="B56" s="93" t="s">
        <v>446</v>
      </c>
      <c r="C56" s="105" t="s">
        <v>454</v>
      </c>
      <c r="D56" s="194" t="s">
        <v>321</v>
      </c>
      <c r="E56" s="106">
        <v>2020</v>
      </c>
      <c r="F56" s="106"/>
      <c r="G56" s="106"/>
      <c r="H56" s="106"/>
      <c r="I56" s="106"/>
      <c r="J56" s="106"/>
      <c r="K56" s="43" t="s">
        <v>1054</v>
      </c>
      <c r="L56" s="507" t="s">
        <v>2170</v>
      </c>
      <c r="M56" s="297"/>
      <c r="N56" s="357"/>
      <c r="AB56" s="10"/>
    </row>
    <row r="57" spans="1:28" ht="147" customHeight="1">
      <c r="A57" s="92" t="s">
        <v>403</v>
      </c>
      <c r="B57" s="93" t="s">
        <v>446</v>
      </c>
      <c r="C57" s="101" t="s">
        <v>452</v>
      </c>
      <c r="D57" s="151" t="s">
        <v>453</v>
      </c>
      <c r="E57" s="102">
        <v>2022</v>
      </c>
      <c r="F57" s="102"/>
      <c r="G57" s="102"/>
      <c r="H57" s="102"/>
      <c r="I57" s="106"/>
      <c r="J57" s="102"/>
      <c r="K57" s="494" t="s">
        <v>2165</v>
      </c>
      <c r="L57" s="398" t="s">
        <v>2163</v>
      </c>
      <c r="M57" s="59" t="s">
        <v>2164</v>
      </c>
      <c r="N57" s="358" t="s">
        <v>2127</v>
      </c>
      <c r="AB57" s="10"/>
    </row>
    <row r="58" spans="1:28" ht="147" customHeight="1">
      <c r="A58" s="92" t="s">
        <v>403</v>
      </c>
      <c r="B58" s="93" t="s">
        <v>435</v>
      </c>
      <c r="C58" s="96" t="s">
        <v>436</v>
      </c>
      <c r="D58" s="149" t="s">
        <v>298</v>
      </c>
      <c r="E58" s="97">
        <v>2022</v>
      </c>
      <c r="F58" s="97"/>
      <c r="G58" s="97"/>
      <c r="H58" s="97"/>
      <c r="I58" s="106"/>
      <c r="J58" s="97"/>
      <c r="K58" s="97"/>
      <c r="L58" s="390"/>
      <c r="M58" s="165"/>
      <c r="N58" s="356"/>
      <c r="AB58" s="10"/>
    </row>
    <row r="59" spans="1:28" ht="147" customHeight="1">
      <c r="A59" s="92" t="s">
        <v>403</v>
      </c>
      <c r="B59" s="93" t="s">
        <v>426</v>
      </c>
      <c r="C59" s="117" t="s">
        <v>427</v>
      </c>
      <c r="D59" s="489" t="s">
        <v>321</v>
      </c>
      <c r="E59" s="494">
        <v>2020</v>
      </c>
      <c r="F59" s="494">
        <v>0</v>
      </c>
      <c r="G59" s="494" t="e">
        <f>IF(Table683[[#This Row],[n]],1)*#REF!+IF(Table683[[#This Row],[Targets from Proposal]],1)+IF(Table683[[#This Row],[Targets from legal acts]],2)</f>
        <v>#REF!</v>
      </c>
      <c r="H59" s="494">
        <v>0</v>
      </c>
      <c r="I59" s="106">
        <v>0</v>
      </c>
      <c r="J59" s="494">
        <v>1</v>
      </c>
      <c r="K59" s="494" t="s">
        <v>1055</v>
      </c>
      <c r="L59" s="423" t="s">
        <v>2192</v>
      </c>
      <c r="M59" s="293" t="s">
        <v>2193</v>
      </c>
      <c r="N59" s="359" t="s">
        <v>2130</v>
      </c>
      <c r="AB59" s="10"/>
    </row>
    <row r="60" spans="1:28" ht="147" customHeight="1">
      <c r="A60" s="92" t="s">
        <v>403</v>
      </c>
      <c r="B60" s="93" t="s">
        <v>409</v>
      </c>
      <c r="C60" s="161" t="s">
        <v>425</v>
      </c>
      <c r="D60" s="257" t="s">
        <v>321</v>
      </c>
      <c r="E60" s="31">
        <v>2023</v>
      </c>
      <c r="F60" s="31"/>
      <c r="G60" s="31"/>
      <c r="H60" s="31"/>
      <c r="I60" s="32"/>
      <c r="J60" s="31"/>
      <c r="K60" s="31"/>
      <c r="L60" s="429"/>
      <c r="M60" s="513"/>
      <c r="N60" s="366"/>
      <c r="AB60" s="10"/>
    </row>
    <row r="61" spans="1:28" ht="147" customHeight="1">
      <c r="A61" s="92" t="s">
        <v>403</v>
      </c>
      <c r="B61" s="93" t="s">
        <v>409</v>
      </c>
      <c r="C61" s="101" t="s">
        <v>423</v>
      </c>
      <c r="D61" s="203" t="s">
        <v>321</v>
      </c>
      <c r="E61" s="38">
        <v>2023</v>
      </c>
      <c r="F61" s="38"/>
      <c r="G61" s="38"/>
      <c r="H61" s="38"/>
      <c r="I61" s="32"/>
      <c r="J61" s="38"/>
      <c r="K61" s="38"/>
      <c r="L61" s="391"/>
      <c r="M61" s="298"/>
      <c r="N61" s="345"/>
      <c r="AB61" s="10"/>
    </row>
    <row r="62" spans="1:28" ht="147" customHeight="1">
      <c r="A62" s="92" t="s">
        <v>403</v>
      </c>
      <c r="B62" s="93" t="s">
        <v>409</v>
      </c>
      <c r="C62" s="96" t="s">
        <v>410</v>
      </c>
      <c r="D62" s="176" t="s">
        <v>321</v>
      </c>
      <c r="E62" s="97">
        <v>2020</v>
      </c>
      <c r="F62" s="97">
        <v>0</v>
      </c>
      <c r="G62" s="97" t="e">
        <f>IF(Table683[[#This Row],[n]],1)*#REF!+IF(Table683[[#This Row],[Targets from Proposal]],1)+IF(Table683[[#This Row],[Targets from legal acts]],2)</f>
        <v>#REF!</v>
      </c>
      <c r="H62" s="97">
        <v>0</v>
      </c>
      <c r="I62" s="106">
        <v>0</v>
      </c>
      <c r="J62" s="97">
        <v>1</v>
      </c>
      <c r="K62" s="97" t="s">
        <v>1056</v>
      </c>
      <c r="L62" s="399" t="s">
        <v>2212</v>
      </c>
      <c r="M62" s="165" t="s">
        <v>2213</v>
      </c>
      <c r="N62" s="356" t="s">
        <v>2127</v>
      </c>
      <c r="AB62" s="10"/>
    </row>
    <row r="63" spans="1:28" ht="147" customHeight="1">
      <c r="A63" s="92" t="s">
        <v>403</v>
      </c>
      <c r="B63" s="93" t="s">
        <v>409</v>
      </c>
      <c r="C63" s="96" t="s">
        <v>410</v>
      </c>
      <c r="D63" s="176" t="s">
        <v>321</v>
      </c>
      <c r="E63" s="97">
        <v>2020</v>
      </c>
      <c r="F63" s="97">
        <v>0</v>
      </c>
      <c r="G63" s="97" t="e">
        <f>IF(Table683[[#This Row],[n]],1)*#REF!+IF(Table683[[#This Row],[Targets from Proposal]],1)+IF(Table683[[#This Row],[Targets from legal acts]],2)</f>
        <v>#REF!</v>
      </c>
      <c r="H63" s="97">
        <v>0</v>
      </c>
      <c r="I63" s="106">
        <v>0</v>
      </c>
      <c r="J63" s="97">
        <v>1</v>
      </c>
      <c r="K63" s="97" t="s">
        <v>1057</v>
      </c>
      <c r="L63" s="399" t="s">
        <v>2214</v>
      </c>
      <c r="M63" s="165" t="s">
        <v>2215</v>
      </c>
      <c r="N63" s="356" t="s">
        <v>2127</v>
      </c>
      <c r="AB63" s="10"/>
    </row>
    <row r="64" spans="1:28" ht="147" customHeight="1">
      <c r="A64" s="483" t="s">
        <v>403</v>
      </c>
      <c r="B64" s="485" t="s">
        <v>404</v>
      </c>
      <c r="C64" s="25" t="s">
        <v>405</v>
      </c>
      <c r="D64" s="172" t="s">
        <v>321</v>
      </c>
      <c r="E64" s="55">
        <v>2022</v>
      </c>
      <c r="F64" s="55">
        <v>0</v>
      </c>
      <c r="G64" s="55" t="e">
        <f>IF(Table683[[#This Row],[n]],1)*#REF!+IF(Table683[[#This Row],[Targets from Proposal]],1)+IF(Table683[[#This Row],[Targets from legal acts]],2)</f>
        <v>#REF!</v>
      </c>
      <c r="H64" s="55">
        <v>0</v>
      </c>
      <c r="I64" s="37">
        <v>0</v>
      </c>
      <c r="J64" s="55">
        <v>1</v>
      </c>
      <c r="K64" s="55" t="s">
        <v>1058</v>
      </c>
      <c r="L64" s="399" t="s">
        <v>2219</v>
      </c>
      <c r="M64" s="165" t="s">
        <v>2220</v>
      </c>
      <c r="N64" s="348" t="s">
        <v>2127</v>
      </c>
      <c r="AB64" s="10"/>
    </row>
    <row r="65" spans="1:28" ht="147" customHeight="1" thickBot="1">
      <c r="A65" s="91" t="s">
        <v>598</v>
      </c>
      <c r="B65" s="60" t="s">
        <v>768</v>
      </c>
      <c r="C65" s="63" t="s">
        <v>774</v>
      </c>
      <c r="D65" s="191" t="s">
        <v>321</v>
      </c>
      <c r="E65" s="77">
        <v>2020</v>
      </c>
      <c r="F65" s="77">
        <v>0</v>
      </c>
      <c r="G65" s="77" t="e">
        <f>IF(Table683[[#This Row],[n]],1)*#REF!+IF(Table683[[#This Row],[Targets from Proposal]],1)+IF(Table683[[#This Row],[Targets from legal acts]],2)</f>
        <v>#REF!</v>
      </c>
      <c r="H65" s="77">
        <v>0</v>
      </c>
      <c r="I65" s="77">
        <v>0</v>
      </c>
      <c r="J65" s="77">
        <v>1</v>
      </c>
      <c r="K65" s="77" t="s">
        <v>1059</v>
      </c>
      <c r="L65" s="417" t="s">
        <v>2290</v>
      </c>
      <c r="M65" s="207" t="s">
        <v>2289</v>
      </c>
      <c r="N65" s="360" t="s">
        <v>2135</v>
      </c>
      <c r="AB65" s="10"/>
    </row>
    <row r="66" spans="1:28" ht="147" customHeight="1" thickTop="1">
      <c r="A66" s="90" t="s">
        <v>598</v>
      </c>
      <c r="B66" s="20" t="s">
        <v>768</v>
      </c>
      <c r="C66" s="80" t="s">
        <v>774</v>
      </c>
      <c r="D66" s="192" t="s">
        <v>321</v>
      </c>
      <c r="E66" s="81">
        <v>2020</v>
      </c>
      <c r="F66" s="81">
        <v>0</v>
      </c>
      <c r="G66" s="81" t="e">
        <f>IF(Table683[[#This Row],[n]],1)*#REF!+IF(Table683[[#This Row],[Targets from Proposal]],1)+IF(Table683[[#This Row],[Targets from legal acts]],2)</f>
        <v>#REF!</v>
      </c>
      <c r="H66" s="81">
        <v>0</v>
      </c>
      <c r="I66" s="81">
        <v>0</v>
      </c>
      <c r="J66" s="81">
        <v>1</v>
      </c>
      <c r="K66" s="81" t="s">
        <v>1060</v>
      </c>
      <c r="L66" s="418" t="s">
        <v>781</v>
      </c>
      <c r="M66" s="299"/>
      <c r="N66" s="361"/>
      <c r="AB66" s="10"/>
    </row>
    <row r="67" spans="1:28" ht="147" customHeight="1">
      <c r="A67" s="90" t="s">
        <v>598</v>
      </c>
      <c r="B67" s="20" t="s">
        <v>768</v>
      </c>
      <c r="C67" s="25" t="s">
        <v>774</v>
      </c>
      <c r="D67" s="182" t="s">
        <v>321</v>
      </c>
      <c r="E67" s="26">
        <v>2020</v>
      </c>
      <c r="F67" s="26">
        <v>0</v>
      </c>
      <c r="G67" s="26" t="e">
        <f>IF(Table683[[#This Row],[n]],1)*#REF!+IF(Table683[[#This Row],[Targets from Proposal]],1)+IF(Table683[[#This Row],[Targets from legal acts]],2)</f>
        <v>#REF!</v>
      </c>
      <c r="H67" s="26">
        <v>0</v>
      </c>
      <c r="I67" s="26">
        <v>0</v>
      </c>
      <c r="J67" s="26">
        <v>1</v>
      </c>
      <c r="K67" s="26" t="s">
        <v>1061</v>
      </c>
      <c r="L67" s="399" t="s">
        <v>2291</v>
      </c>
      <c r="M67" s="165" t="s">
        <v>2292</v>
      </c>
      <c r="N67" s="348" t="s">
        <v>2135</v>
      </c>
      <c r="AB67" s="10"/>
    </row>
    <row r="68" spans="1:28" ht="147" customHeight="1">
      <c r="A68" s="90" t="s">
        <v>598</v>
      </c>
      <c r="B68" s="20" t="s">
        <v>768</v>
      </c>
      <c r="C68" s="22" t="s">
        <v>769</v>
      </c>
      <c r="D68" s="250" t="s">
        <v>321</v>
      </c>
      <c r="E68" s="23">
        <v>2022</v>
      </c>
      <c r="F68" s="23">
        <v>0</v>
      </c>
      <c r="G68" s="23" t="e">
        <f>IF(Table683[[#This Row],[n]],1)*#REF!+IF(Table683[[#This Row],[Targets from Proposal]],1)+IF(Table683[[#This Row],[Targets from legal acts]],2)</f>
        <v>#REF!</v>
      </c>
      <c r="H68" s="23">
        <v>0</v>
      </c>
      <c r="I68" s="23">
        <v>0</v>
      </c>
      <c r="J68" s="23">
        <v>1</v>
      </c>
      <c r="K68" s="23" t="s">
        <v>1062</v>
      </c>
      <c r="L68" s="419" t="s">
        <v>772</v>
      </c>
      <c r="M68" s="49"/>
      <c r="N68" s="347"/>
      <c r="AB68" s="10"/>
    </row>
    <row r="69" spans="1:28" ht="147" customHeight="1">
      <c r="A69" s="90" t="s">
        <v>598</v>
      </c>
      <c r="B69" s="20" t="s">
        <v>768</v>
      </c>
      <c r="C69" s="25" t="s">
        <v>769</v>
      </c>
      <c r="D69" s="203" t="s">
        <v>321</v>
      </c>
      <c r="E69" s="38">
        <v>2022</v>
      </c>
      <c r="F69" s="38">
        <v>0</v>
      </c>
      <c r="G69" s="38" t="e">
        <f>IF(Table683[[#This Row],[n]],1)*#REF!+IF(Table683[[#This Row],[Targets from Proposal]],1)+IF(Table683[[#This Row],[Targets from legal acts]],2)</f>
        <v>#REF!</v>
      </c>
      <c r="H69" s="38">
        <v>0</v>
      </c>
      <c r="I69" s="38">
        <v>0</v>
      </c>
      <c r="J69" s="38">
        <v>1</v>
      </c>
      <c r="K69" s="38" t="s">
        <v>1063</v>
      </c>
      <c r="L69" s="391" t="s">
        <v>770</v>
      </c>
      <c r="M69" s="289"/>
      <c r="N69" s="345"/>
      <c r="AB69" s="10"/>
    </row>
    <row r="70" spans="1:28" ht="147" customHeight="1">
      <c r="A70" s="90" t="s">
        <v>598</v>
      </c>
      <c r="B70" s="20" t="s">
        <v>740</v>
      </c>
      <c r="C70" s="25" t="s">
        <v>767</v>
      </c>
      <c r="D70" s="172" t="s">
        <v>321</v>
      </c>
      <c r="E70" s="55">
        <v>2021</v>
      </c>
      <c r="F70" s="55"/>
      <c r="G70" s="55"/>
      <c r="H70" s="55"/>
      <c r="I70" s="55"/>
      <c r="J70" s="55"/>
      <c r="K70" s="55" t="s">
        <v>1064</v>
      </c>
      <c r="L70" s="390"/>
      <c r="M70" s="165"/>
      <c r="N70" s="348"/>
      <c r="AB70" s="10"/>
    </row>
    <row r="71" spans="1:28" s="62" customFormat="1" ht="147" customHeight="1" thickBot="1">
      <c r="A71" s="90" t="s">
        <v>598</v>
      </c>
      <c r="B71" s="20" t="s">
        <v>740</v>
      </c>
      <c r="C71" s="25" t="s">
        <v>766</v>
      </c>
      <c r="D71" s="172" t="s">
        <v>321</v>
      </c>
      <c r="E71" s="55">
        <v>2020</v>
      </c>
      <c r="F71" s="55"/>
      <c r="G71" s="55"/>
      <c r="H71" s="55"/>
      <c r="I71" s="55"/>
      <c r="J71" s="55"/>
      <c r="K71" s="55" t="s">
        <v>1065</v>
      </c>
      <c r="L71" s="390"/>
      <c r="M71" s="165"/>
      <c r="N71" s="348"/>
      <c r="O71" s="61"/>
      <c r="P71" s="61"/>
      <c r="Q71" s="61"/>
      <c r="R71" s="61"/>
      <c r="S71" s="61"/>
      <c r="T71" s="61"/>
      <c r="U71" s="61"/>
      <c r="V71" s="61"/>
      <c r="W71" s="61"/>
      <c r="X71" s="61"/>
      <c r="Y71" s="61"/>
      <c r="Z71" s="61"/>
      <c r="AA71" s="61"/>
      <c r="AB71" s="61"/>
    </row>
    <row r="72" spans="1:28" ht="147" customHeight="1" thickTop="1">
      <c r="A72" s="90" t="s">
        <v>598</v>
      </c>
      <c r="B72" s="20" t="s">
        <v>740</v>
      </c>
      <c r="C72" s="25" t="s">
        <v>745</v>
      </c>
      <c r="D72" s="142" t="s">
        <v>110</v>
      </c>
      <c r="E72" s="55">
        <v>2023</v>
      </c>
      <c r="F72" s="55">
        <v>0</v>
      </c>
      <c r="G72" s="55" t="e">
        <f>IF(Table683[[#This Row],[n]],1)*#REF!+IF(Table683[[#This Row],[Targets from Proposal]],1)+IF(Table683[[#This Row],[Targets from legal acts]],2)</f>
        <v>#REF!</v>
      </c>
      <c r="H72" s="55">
        <v>0</v>
      </c>
      <c r="I72" s="55">
        <v>1</v>
      </c>
      <c r="J72" s="55">
        <v>1</v>
      </c>
      <c r="K72" s="55" t="s">
        <v>1066</v>
      </c>
      <c r="L72" s="399" t="s">
        <v>2240</v>
      </c>
      <c r="M72" s="165" t="s">
        <v>2241</v>
      </c>
      <c r="N72" s="348" t="s">
        <v>2127</v>
      </c>
      <c r="AB72" s="10"/>
    </row>
    <row r="73" spans="1:28" ht="147" customHeight="1">
      <c r="A73" s="90" t="s">
        <v>598</v>
      </c>
      <c r="B73" s="20" t="s">
        <v>740</v>
      </c>
      <c r="C73" s="25" t="s">
        <v>745</v>
      </c>
      <c r="D73" s="51" t="s">
        <v>110</v>
      </c>
      <c r="E73" s="26">
        <v>2023</v>
      </c>
      <c r="F73" s="26">
        <v>0</v>
      </c>
      <c r="G73" s="26" t="e">
        <f>IF(Table683[[#This Row],[n]],1)*#REF!+IF(Table683[[#This Row],[Targets from Proposal]],1)+IF(Table683[[#This Row],[Targets from legal acts]],2)</f>
        <v>#REF!</v>
      </c>
      <c r="H73" s="26">
        <v>0</v>
      </c>
      <c r="I73" s="26">
        <v>1</v>
      </c>
      <c r="J73" s="26">
        <v>1</v>
      </c>
      <c r="K73" s="26" t="s">
        <v>1067</v>
      </c>
      <c r="L73" s="399" t="s">
        <v>2242</v>
      </c>
      <c r="M73" s="165" t="s">
        <v>2243</v>
      </c>
      <c r="N73" s="348" t="s">
        <v>2127</v>
      </c>
      <c r="AB73" s="10"/>
    </row>
    <row r="74" spans="1:28" ht="147" customHeight="1">
      <c r="A74" s="90" t="s">
        <v>598</v>
      </c>
      <c r="B74" s="20" t="s">
        <v>740</v>
      </c>
      <c r="C74" s="25" t="s">
        <v>745</v>
      </c>
      <c r="D74" s="51" t="s">
        <v>110</v>
      </c>
      <c r="E74" s="26">
        <v>2023</v>
      </c>
      <c r="F74" s="26">
        <v>0</v>
      </c>
      <c r="G74" s="26" t="e">
        <f>IF(Table683[[#This Row],[n]],1)*#REF!+IF(Table683[[#This Row],[Targets from Proposal]],1)+IF(Table683[[#This Row],[Targets from legal acts]],2)</f>
        <v>#REF!</v>
      </c>
      <c r="H74" s="26">
        <v>0</v>
      </c>
      <c r="I74" s="26">
        <v>1</v>
      </c>
      <c r="J74" s="26">
        <v>1</v>
      </c>
      <c r="K74" s="282" t="s">
        <v>1068</v>
      </c>
      <c r="L74" s="390" t="s">
        <v>750</v>
      </c>
      <c r="M74" s="165"/>
      <c r="N74" s="348"/>
      <c r="AB74" s="10"/>
    </row>
    <row r="75" spans="1:28" ht="147" customHeight="1">
      <c r="A75" s="90" t="s">
        <v>598</v>
      </c>
      <c r="B75" s="20" t="s">
        <v>740</v>
      </c>
      <c r="C75" s="25" t="s">
        <v>745</v>
      </c>
      <c r="D75" s="51" t="s">
        <v>110</v>
      </c>
      <c r="E75" s="26">
        <v>2023</v>
      </c>
      <c r="F75" s="26">
        <v>0</v>
      </c>
      <c r="G75" s="26" t="e">
        <f>IF(Table683[[#This Row],[n]],1)*#REF!+IF(Table683[[#This Row],[Targets from Proposal]],1)+IF(Table683[[#This Row],[Targets from legal acts]],2)</f>
        <v>#REF!</v>
      </c>
      <c r="H75" s="26">
        <v>0</v>
      </c>
      <c r="I75" s="26">
        <v>1</v>
      </c>
      <c r="J75" s="26">
        <v>1</v>
      </c>
      <c r="K75" s="26" t="s">
        <v>1069</v>
      </c>
      <c r="L75" s="399" t="s">
        <v>2246</v>
      </c>
      <c r="M75" s="165" t="s">
        <v>2247</v>
      </c>
      <c r="N75" s="348" t="s">
        <v>2127</v>
      </c>
      <c r="AB75" s="10"/>
    </row>
    <row r="76" spans="1:28" ht="147" customHeight="1">
      <c r="A76" s="90" t="s">
        <v>598</v>
      </c>
      <c r="B76" s="20" t="s">
        <v>740</v>
      </c>
      <c r="C76" s="25" t="s">
        <v>742</v>
      </c>
      <c r="D76" s="142" t="s">
        <v>110</v>
      </c>
      <c r="E76" s="55">
        <v>2023</v>
      </c>
      <c r="F76" s="55">
        <v>0</v>
      </c>
      <c r="G76" s="55" t="e">
        <f>IF(Table683[[#This Row],[n]],1)*#REF!+IF(Table683[[#This Row],[Targets from Proposal]],1)+IF(Table683[[#This Row],[Targets from legal acts]],2)</f>
        <v>#REF!</v>
      </c>
      <c r="H76" s="55">
        <v>0</v>
      </c>
      <c r="I76" s="55">
        <v>1</v>
      </c>
      <c r="J76" s="55">
        <v>1</v>
      </c>
      <c r="K76" s="55" t="s">
        <v>1070</v>
      </c>
      <c r="L76" s="420" t="s">
        <v>2248</v>
      </c>
      <c r="M76" s="300" t="s">
        <v>2249</v>
      </c>
      <c r="N76" s="348" t="s">
        <v>2132</v>
      </c>
      <c r="AB76" s="10"/>
    </row>
    <row r="77" spans="1:28" ht="147" customHeight="1">
      <c r="A77" s="90" t="s">
        <v>598</v>
      </c>
      <c r="B77" s="485" t="s">
        <v>740</v>
      </c>
      <c r="C77" s="25" t="s">
        <v>741</v>
      </c>
      <c r="D77" s="172" t="s">
        <v>321</v>
      </c>
      <c r="E77" s="55">
        <v>2023</v>
      </c>
      <c r="F77" s="55"/>
      <c r="G77" s="55"/>
      <c r="H77" s="55"/>
      <c r="I77" s="55"/>
      <c r="J77" s="55"/>
      <c r="K77" s="55" t="s">
        <v>1071</v>
      </c>
      <c r="L77" s="399" t="s">
        <v>2244</v>
      </c>
      <c r="M77" s="165" t="s">
        <v>2245</v>
      </c>
      <c r="N77" s="348" t="s">
        <v>2127</v>
      </c>
      <c r="AB77" s="10"/>
    </row>
    <row r="78" spans="1:28" ht="147" customHeight="1" thickBot="1">
      <c r="A78" s="90" t="s">
        <v>598</v>
      </c>
      <c r="B78" s="33" t="s">
        <v>739</v>
      </c>
      <c r="C78" s="486"/>
      <c r="D78" s="137"/>
      <c r="E78" s="56"/>
      <c r="F78" s="56"/>
      <c r="G78" s="56"/>
      <c r="H78" s="56"/>
      <c r="I78" s="56"/>
      <c r="J78" s="56"/>
      <c r="K78" s="56" t="s">
        <v>1072</v>
      </c>
      <c r="L78" s="508"/>
      <c r="M78" s="514"/>
      <c r="N78" s="518"/>
      <c r="AB78" s="10"/>
    </row>
    <row r="79" spans="1:28" ht="147" customHeight="1">
      <c r="A79" s="90" t="s">
        <v>598</v>
      </c>
      <c r="B79" s="20" t="s">
        <v>706</v>
      </c>
      <c r="C79" s="22" t="s">
        <v>707</v>
      </c>
      <c r="D79" s="141" t="s">
        <v>298</v>
      </c>
      <c r="E79" s="23">
        <v>2023</v>
      </c>
      <c r="F79" s="73">
        <v>1</v>
      </c>
      <c r="G79" s="73">
        <v>3</v>
      </c>
      <c r="H79" s="73">
        <v>1</v>
      </c>
      <c r="I79" s="73"/>
      <c r="J79" s="73">
        <v>1</v>
      </c>
      <c r="K79" s="502" t="s">
        <v>1073</v>
      </c>
      <c r="L79" s="509" t="s">
        <v>2275</v>
      </c>
      <c r="M79" s="301" t="s">
        <v>2223</v>
      </c>
      <c r="N79" s="349" t="s">
        <v>2132</v>
      </c>
      <c r="AB79" s="10"/>
    </row>
    <row r="80" spans="1:28" ht="147" customHeight="1">
      <c r="A80" s="90" t="s">
        <v>598</v>
      </c>
      <c r="B80" s="485" t="s">
        <v>706</v>
      </c>
      <c r="C80" s="34" t="s">
        <v>707</v>
      </c>
      <c r="D80" s="139" t="s">
        <v>298</v>
      </c>
      <c r="E80" s="37">
        <v>2023</v>
      </c>
      <c r="F80" s="37">
        <v>1</v>
      </c>
      <c r="G80" s="37" t="e">
        <f>IF(Table683[[#This Row],[n]],1)*#REF!+IF(Table683[[#This Row],[Targets from Proposal]],1)+IF(Table683[[#This Row],[Targets from legal acts]],2)</f>
        <v>#REF!</v>
      </c>
      <c r="H80" s="37">
        <v>1</v>
      </c>
      <c r="I80" s="37"/>
      <c r="J80" s="37">
        <v>1</v>
      </c>
      <c r="K80" s="37" t="s">
        <v>1074</v>
      </c>
      <c r="L80" s="461" t="s">
        <v>2224</v>
      </c>
      <c r="M80" s="324" t="s">
        <v>2225</v>
      </c>
      <c r="N80" s="344" t="s">
        <v>2132</v>
      </c>
      <c r="AB80" s="10"/>
    </row>
    <row r="81" spans="1:64" ht="147" customHeight="1" thickBot="1">
      <c r="A81" s="90" t="s">
        <v>598</v>
      </c>
      <c r="B81" s="33" t="s">
        <v>706</v>
      </c>
      <c r="C81" s="36" t="s">
        <v>707</v>
      </c>
      <c r="D81" s="490" t="s">
        <v>298</v>
      </c>
      <c r="E81" s="495">
        <v>2023</v>
      </c>
      <c r="F81" s="495">
        <v>1</v>
      </c>
      <c r="G81" s="495" t="e">
        <f>IF(Table683[[#This Row],[n]],1)*#REF!+IF(Table683[[#This Row],[Targets from Proposal]],1)+IF(Table683[[#This Row],[Targets from legal acts]],2)</f>
        <v>#REF!</v>
      </c>
      <c r="H81" s="495">
        <v>1</v>
      </c>
      <c r="I81" s="495"/>
      <c r="J81" s="495">
        <v>1</v>
      </c>
      <c r="K81" s="495" t="s">
        <v>1075</v>
      </c>
      <c r="L81" s="405" t="s">
        <v>2226</v>
      </c>
      <c r="M81" s="302" t="s">
        <v>2227</v>
      </c>
      <c r="N81" s="362" t="s">
        <v>2132</v>
      </c>
      <c r="AB81" s="10"/>
    </row>
    <row r="82" spans="1:64" ht="147" customHeight="1" thickBot="1">
      <c r="A82" s="90" t="s">
        <v>598</v>
      </c>
      <c r="B82" s="64" t="s">
        <v>706</v>
      </c>
      <c r="C82" s="65" t="s">
        <v>707</v>
      </c>
      <c r="D82" s="163" t="s">
        <v>298</v>
      </c>
      <c r="E82" s="66">
        <v>2023</v>
      </c>
      <c r="F82" s="66">
        <v>1</v>
      </c>
      <c r="G82" s="66" t="e">
        <f>IF(Table683[[#This Row],[n]],1)*#REF!+IF(Table683[[#This Row],[Targets from Proposal]],1)+IF(Table683[[#This Row],[Targets from legal acts]],2)</f>
        <v>#REF!</v>
      </c>
      <c r="H82" s="66">
        <v>1</v>
      </c>
      <c r="I82" s="66"/>
      <c r="J82" s="66">
        <v>1</v>
      </c>
      <c r="K82" s="66" t="s">
        <v>1076</v>
      </c>
      <c r="L82" s="411" t="s">
        <v>2228</v>
      </c>
      <c r="M82" s="303" t="s">
        <v>2229</v>
      </c>
      <c r="N82" s="401" t="s">
        <v>2132</v>
      </c>
      <c r="AB82" s="10"/>
    </row>
    <row r="83" spans="1:64" ht="147" customHeight="1" thickBot="1">
      <c r="A83" s="90" t="s">
        <v>598</v>
      </c>
      <c r="B83" s="64" t="s">
        <v>706</v>
      </c>
      <c r="C83" s="65" t="s">
        <v>707</v>
      </c>
      <c r="D83" s="163" t="s">
        <v>298</v>
      </c>
      <c r="E83" s="66">
        <v>2023</v>
      </c>
      <c r="F83" s="66">
        <v>1</v>
      </c>
      <c r="G83" s="66" t="e">
        <f>IF(Table683[[#This Row],[n]],1)*#REF!+IF(Table683[[#This Row],[Targets from Proposal]],1)+IF(Table683[[#This Row],[Targets from legal acts]],2)</f>
        <v>#REF!</v>
      </c>
      <c r="H83" s="66">
        <v>1</v>
      </c>
      <c r="I83" s="66"/>
      <c r="J83" s="66">
        <v>1</v>
      </c>
      <c r="K83" s="66" t="s">
        <v>1077</v>
      </c>
      <c r="L83" s="411" t="s">
        <v>2230</v>
      </c>
      <c r="M83" s="303" t="s">
        <v>2231</v>
      </c>
      <c r="N83" s="363" t="s">
        <v>2132</v>
      </c>
      <c r="AB83" s="10"/>
    </row>
    <row r="84" spans="1:64" ht="147" customHeight="1" thickBot="1">
      <c r="A84" s="90" t="s">
        <v>598</v>
      </c>
      <c r="B84" s="20" t="s">
        <v>706</v>
      </c>
      <c r="C84" s="19" t="s">
        <v>707</v>
      </c>
      <c r="D84" s="170" t="s">
        <v>298</v>
      </c>
      <c r="E84" s="23">
        <v>2023</v>
      </c>
      <c r="F84" s="35">
        <v>1</v>
      </c>
      <c r="G84" s="35" t="e">
        <f>IF(Table683[[#This Row],[n]],1)*#REF!+IF(Table683[[#This Row],[Targets from Proposal]],1)+IF(Table683[[#This Row],[Targets from legal acts]],2)</f>
        <v>#REF!</v>
      </c>
      <c r="H84" s="35">
        <v>1</v>
      </c>
      <c r="I84" s="35"/>
      <c r="J84" s="35">
        <v>1</v>
      </c>
      <c r="K84" s="35" t="s">
        <v>1078</v>
      </c>
      <c r="L84" s="398" t="s">
        <v>2232</v>
      </c>
      <c r="M84" s="305" t="s">
        <v>2233</v>
      </c>
      <c r="N84" s="362" t="s">
        <v>2132</v>
      </c>
      <c r="AB84" s="10"/>
    </row>
    <row r="85" spans="1:64" ht="147" customHeight="1">
      <c r="A85" s="90" t="s">
        <v>598</v>
      </c>
      <c r="B85" s="20" t="s">
        <v>706</v>
      </c>
      <c r="C85" s="19" t="s">
        <v>707</v>
      </c>
      <c r="D85" s="170" t="s">
        <v>298</v>
      </c>
      <c r="E85" s="23">
        <v>2023</v>
      </c>
      <c r="F85" s="35">
        <v>1</v>
      </c>
      <c r="G85" s="35">
        <v>3</v>
      </c>
      <c r="H85" s="35">
        <v>1</v>
      </c>
      <c r="I85" s="35"/>
      <c r="J85" s="35">
        <v>1</v>
      </c>
      <c r="K85" s="35" t="s">
        <v>1079</v>
      </c>
      <c r="L85" s="398" t="s">
        <v>2234</v>
      </c>
      <c r="M85" s="305" t="s">
        <v>2235</v>
      </c>
      <c r="N85" s="348" t="s">
        <v>2127</v>
      </c>
      <c r="AB85" s="10"/>
    </row>
    <row r="86" spans="1:64" ht="147" customHeight="1">
      <c r="A86" s="484" t="s">
        <v>598</v>
      </c>
      <c r="B86" s="485" t="s">
        <v>706</v>
      </c>
      <c r="C86" s="25" t="s">
        <v>707</v>
      </c>
      <c r="D86" s="142" t="s">
        <v>298</v>
      </c>
      <c r="E86" s="55">
        <v>2023</v>
      </c>
      <c r="F86" s="55">
        <v>1</v>
      </c>
      <c r="G86" s="55" t="e">
        <f>IF(Table683[[#This Row],[n]],1)*#REF!+IF(Table683[[#This Row],[Targets from Proposal]],1)+IF(Table683[[#This Row],[Targets from legal acts]],2)</f>
        <v>#REF!</v>
      </c>
      <c r="H86" s="55">
        <v>1</v>
      </c>
      <c r="I86" s="55"/>
      <c r="J86" s="55">
        <v>1</v>
      </c>
      <c r="K86" s="55" t="s">
        <v>1080</v>
      </c>
      <c r="L86" s="399" t="s">
        <v>2236</v>
      </c>
      <c r="M86" s="319" t="s">
        <v>2237</v>
      </c>
      <c r="N86" s="348" t="s">
        <v>2130</v>
      </c>
      <c r="AB86" s="10"/>
    </row>
    <row r="87" spans="1:64" ht="147" customHeight="1" thickBot="1">
      <c r="A87" s="91" t="s">
        <v>598</v>
      </c>
      <c r="B87" s="60" t="s">
        <v>706</v>
      </c>
      <c r="C87" s="63" t="s">
        <v>707</v>
      </c>
      <c r="D87" s="148" t="s">
        <v>298</v>
      </c>
      <c r="E87" s="77">
        <v>2023</v>
      </c>
      <c r="F87" s="77">
        <v>1</v>
      </c>
      <c r="G87" s="77" t="e">
        <f>IF(Table683[[#This Row],[n]],1)*#REF!+IF(Table683[[#This Row],[Targets from Proposal]],1)+IF(Table683[[#This Row],[Targets from legal acts]],2)</f>
        <v>#REF!</v>
      </c>
      <c r="H87" s="77">
        <v>1</v>
      </c>
      <c r="I87" s="77"/>
      <c r="J87" s="77">
        <v>1</v>
      </c>
      <c r="K87" s="77" t="s">
        <v>1081</v>
      </c>
      <c r="L87" s="417" t="s">
        <v>2238</v>
      </c>
      <c r="M87" s="307" t="s">
        <v>2239</v>
      </c>
      <c r="N87" s="360" t="s">
        <v>2127</v>
      </c>
      <c r="AB87" s="10"/>
    </row>
    <row r="88" spans="1:64" ht="147" customHeight="1" thickTop="1">
      <c r="A88" s="90" t="s">
        <v>598</v>
      </c>
      <c r="B88" s="20" t="s">
        <v>599</v>
      </c>
      <c r="C88" s="19" t="s">
        <v>608</v>
      </c>
      <c r="D88" s="147" t="s">
        <v>101</v>
      </c>
      <c r="E88" s="73">
        <v>2023</v>
      </c>
      <c r="F88" s="42">
        <v>0</v>
      </c>
      <c r="G88" s="42" t="e">
        <f>IF(Table683[[#This Row],[n]],1)*#REF!+IF(Table683[[#This Row],[Targets from Proposal]],1)+IF(Table683[[#This Row],[Targets from legal acts]],2)</f>
        <v>#REF!</v>
      </c>
      <c r="H88" s="42">
        <v>0</v>
      </c>
      <c r="I88" s="42">
        <v>1</v>
      </c>
      <c r="J88" s="42">
        <v>1</v>
      </c>
      <c r="K88" s="42" t="s">
        <v>1082</v>
      </c>
      <c r="L88" s="398" t="s">
        <v>2272</v>
      </c>
      <c r="M88" s="59" t="s">
        <v>2274</v>
      </c>
      <c r="N88" s="345" t="s">
        <v>2127</v>
      </c>
      <c r="AB88" s="10"/>
    </row>
    <row r="89" spans="1:64" ht="147" customHeight="1">
      <c r="A89" s="90" t="s">
        <v>598</v>
      </c>
      <c r="B89" s="20" t="s">
        <v>599</v>
      </c>
      <c r="C89" s="19" t="s">
        <v>608</v>
      </c>
      <c r="D89" s="164" t="s">
        <v>101</v>
      </c>
      <c r="E89" s="35">
        <v>2023</v>
      </c>
      <c r="F89" s="35">
        <v>0</v>
      </c>
      <c r="G89" s="35" t="e">
        <f>IF(Table683[[#This Row],[n]],1)*#REF!+IF(Table683[[#This Row],[Targets from Proposal]],1)+IF(Table683[[#This Row],[Targets from legal acts]],2)</f>
        <v>#REF!</v>
      </c>
      <c r="H89" s="35">
        <v>0</v>
      </c>
      <c r="I89" s="35">
        <v>1</v>
      </c>
      <c r="J89" s="35">
        <v>1</v>
      </c>
      <c r="K89" s="281" t="s">
        <v>1083</v>
      </c>
      <c r="L89" s="398" t="s">
        <v>2273</v>
      </c>
      <c r="M89" s="59" t="s">
        <v>2274</v>
      </c>
      <c r="N89" s="346" t="s">
        <v>2127</v>
      </c>
      <c r="AB89" s="10"/>
    </row>
    <row r="90" spans="1:64" ht="147" customHeight="1">
      <c r="A90" s="90" t="s">
        <v>598</v>
      </c>
      <c r="B90" s="20" t="s">
        <v>599</v>
      </c>
      <c r="C90" s="29" t="s">
        <v>693</v>
      </c>
      <c r="D90" s="153" t="s">
        <v>110</v>
      </c>
      <c r="E90" s="21">
        <v>2023</v>
      </c>
      <c r="F90" s="21"/>
      <c r="G90" s="21"/>
      <c r="H90" s="21"/>
      <c r="I90" s="21"/>
      <c r="J90" s="21"/>
      <c r="K90" s="35" t="s">
        <v>1084</v>
      </c>
      <c r="L90" s="414"/>
      <c r="M90" s="293"/>
      <c r="N90" s="346"/>
      <c r="AB90" s="10"/>
    </row>
    <row r="91" spans="1:64" ht="147" customHeight="1">
      <c r="A91" s="90" t="s">
        <v>598</v>
      </c>
      <c r="B91" s="20" t="s">
        <v>599</v>
      </c>
      <c r="C91" s="130" t="s">
        <v>646</v>
      </c>
      <c r="D91" s="491" t="s">
        <v>110</v>
      </c>
      <c r="E91" s="496">
        <v>2022</v>
      </c>
      <c r="F91" s="496">
        <v>0</v>
      </c>
      <c r="G91" s="496" t="e">
        <f>IF(Table683[[#This Row],[n]],1)*#REF!+IF(Table683[[#This Row],[Targets from Proposal]],1)+IF(Table683[[#This Row],[Targets from legal acts]],2)</f>
        <v>#REF!</v>
      </c>
      <c r="H91" s="496">
        <v>0</v>
      </c>
      <c r="I91" s="496">
        <v>1</v>
      </c>
      <c r="J91" s="496">
        <v>1</v>
      </c>
      <c r="K91" s="496" t="s">
        <v>1085</v>
      </c>
      <c r="L91" s="510" t="s">
        <v>2250</v>
      </c>
      <c r="M91" s="515" t="s">
        <v>2251</v>
      </c>
      <c r="N91" s="396" t="s">
        <v>2132</v>
      </c>
      <c r="AB91" s="10"/>
    </row>
    <row r="92" spans="1:64" s="12" customFormat="1" ht="147" customHeight="1" thickBot="1">
      <c r="A92" s="90" t="s">
        <v>598</v>
      </c>
      <c r="B92" s="485" t="s">
        <v>599</v>
      </c>
      <c r="C92" s="162" t="s">
        <v>646</v>
      </c>
      <c r="D92" s="251" t="s">
        <v>110</v>
      </c>
      <c r="E92" s="265">
        <v>2022</v>
      </c>
      <c r="F92" s="265">
        <v>0</v>
      </c>
      <c r="G92" s="265" t="e">
        <f>IF(Table683[[#This Row],[n]],1)*#REF!+IF(Table683[[#This Row],[Targets from Proposal]],1)+IF(Table683[[#This Row],[Targets from legal acts]],2)</f>
        <v>#REF!</v>
      </c>
      <c r="H92" s="265">
        <v>0</v>
      </c>
      <c r="I92" s="265">
        <v>1</v>
      </c>
      <c r="J92" s="265">
        <v>1</v>
      </c>
      <c r="K92" s="265" t="s">
        <v>1086</v>
      </c>
      <c r="L92" s="421" t="s">
        <v>2270</v>
      </c>
      <c r="M92" s="516" t="s">
        <v>2271</v>
      </c>
      <c r="N92" s="345" t="s">
        <v>2127</v>
      </c>
      <c r="O92" s="10"/>
      <c r="P92" s="10"/>
      <c r="Q92" s="10"/>
      <c r="R92" s="10"/>
      <c r="S92" s="10"/>
      <c r="T92" s="10"/>
      <c r="U92" s="10"/>
      <c r="V92" s="10"/>
      <c r="W92" s="10"/>
      <c r="X92" s="10"/>
      <c r="Y92" s="10"/>
      <c r="Z92" s="10"/>
      <c r="AA92" s="10"/>
      <c r="AB92" s="10"/>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row>
    <row r="93" spans="1:64" ht="147" customHeight="1" thickBot="1">
      <c r="A93" s="90" t="s">
        <v>598</v>
      </c>
      <c r="B93" s="131" t="s">
        <v>599</v>
      </c>
      <c r="C93" s="160" t="s">
        <v>646</v>
      </c>
      <c r="D93" s="249" t="s">
        <v>110</v>
      </c>
      <c r="E93" s="264">
        <v>2022</v>
      </c>
      <c r="F93" s="264">
        <v>0</v>
      </c>
      <c r="G93" s="264" t="e">
        <f>IF(Table683[[#This Row],[n]],1)*#REF!+IF(Table683[[#This Row],[Targets from Proposal]],1)+IF(Table683[[#This Row],[Targets from legal acts]],2)</f>
        <v>#REF!</v>
      </c>
      <c r="H93" s="264">
        <v>0</v>
      </c>
      <c r="I93" s="264">
        <v>1</v>
      </c>
      <c r="J93" s="264">
        <v>1</v>
      </c>
      <c r="K93" s="264" t="s">
        <v>1087</v>
      </c>
      <c r="L93" s="422" t="s">
        <v>2252</v>
      </c>
      <c r="M93" s="308" t="s">
        <v>2253</v>
      </c>
      <c r="N93" s="364" t="s">
        <v>2130</v>
      </c>
      <c r="AB93" s="10"/>
    </row>
    <row r="94" spans="1:64" ht="147" customHeight="1" thickBot="1">
      <c r="A94" s="90" t="s">
        <v>598</v>
      </c>
      <c r="B94" s="131" t="s">
        <v>599</v>
      </c>
      <c r="C94" s="160" t="s">
        <v>646</v>
      </c>
      <c r="D94" s="249" t="s">
        <v>110</v>
      </c>
      <c r="E94" s="264">
        <v>2022</v>
      </c>
      <c r="F94" s="264">
        <v>0</v>
      </c>
      <c r="G94" s="264" t="e">
        <f>IF(Table683[[#This Row],[n]],1)*#REF!+IF(Table683[[#This Row],[Targets from Proposal]],1)+IF(Table683[[#This Row],[Targets from legal acts]],2)</f>
        <v>#REF!</v>
      </c>
      <c r="H94" s="264">
        <v>0</v>
      </c>
      <c r="I94" s="264">
        <v>1</v>
      </c>
      <c r="J94" s="493">
        <v>1</v>
      </c>
      <c r="K94" s="493" t="s">
        <v>1088</v>
      </c>
      <c r="L94" s="422" t="s">
        <v>2254</v>
      </c>
      <c r="M94" s="308" t="s">
        <v>2255</v>
      </c>
      <c r="N94" s="362" t="s">
        <v>2127</v>
      </c>
      <c r="AB94" s="10"/>
    </row>
    <row r="95" spans="1:64" ht="147" customHeight="1">
      <c r="A95" s="90" t="s">
        <v>598</v>
      </c>
      <c r="B95" s="20" t="s">
        <v>599</v>
      </c>
      <c r="C95" s="29" t="s">
        <v>646</v>
      </c>
      <c r="D95" s="144" t="s">
        <v>110</v>
      </c>
      <c r="E95" s="57">
        <v>2022</v>
      </c>
      <c r="F95" s="57">
        <v>0</v>
      </c>
      <c r="G95" s="57" t="e">
        <f>IF(Table683[[#This Row],[n]],1)*#REF!+IF(Table683[[#This Row],[Targets from Proposal]],1)+IF(Table683[[#This Row],[Targets from legal acts]],2)</f>
        <v>#REF!</v>
      </c>
      <c r="H95" s="57">
        <v>0</v>
      </c>
      <c r="I95" s="57">
        <v>1</v>
      </c>
      <c r="J95" s="57">
        <v>1</v>
      </c>
      <c r="K95" s="503" t="s">
        <v>1089</v>
      </c>
      <c r="L95" s="423" t="s">
        <v>2256</v>
      </c>
      <c r="M95" s="293" t="s">
        <v>2257</v>
      </c>
      <c r="N95" s="341" t="s">
        <v>2127</v>
      </c>
      <c r="AB95" s="10"/>
    </row>
    <row r="96" spans="1:64" ht="147" customHeight="1" thickBot="1">
      <c r="A96" s="90" t="s">
        <v>598</v>
      </c>
      <c r="B96" s="485" t="s">
        <v>599</v>
      </c>
      <c r="C96" s="29" t="s">
        <v>646</v>
      </c>
      <c r="D96" s="144" t="s">
        <v>110</v>
      </c>
      <c r="E96" s="57">
        <v>2022</v>
      </c>
      <c r="F96" s="57">
        <v>0</v>
      </c>
      <c r="G96" s="57" t="e">
        <f>IF(Table683[[#This Row],[n]],1)*#REF!+IF(Table683[[#This Row],[Targets from Proposal]],1)+IF(Table683[[#This Row],[Targets from legal acts]],2)</f>
        <v>#REF!</v>
      </c>
      <c r="H96" s="57">
        <v>0</v>
      </c>
      <c r="I96" s="57">
        <v>1</v>
      </c>
      <c r="J96" s="57">
        <v>1</v>
      </c>
      <c r="K96" s="493" t="s">
        <v>1090</v>
      </c>
      <c r="L96" s="423" t="s">
        <v>2258</v>
      </c>
      <c r="M96" s="293" t="s">
        <v>2259</v>
      </c>
      <c r="N96" s="362" t="s">
        <v>2127</v>
      </c>
      <c r="AB96" s="10"/>
    </row>
    <row r="97" spans="1:28" ht="147" customHeight="1" thickBot="1">
      <c r="A97" s="90" t="s">
        <v>598</v>
      </c>
      <c r="B97" s="64" t="s">
        <v>599</v>
      </c>
      <c r="C97" s="19" t="s">
        <v>646</v>
      </c>
      <c r="D97" s="143" t="s">
        <v>110</v>
      </c>
      <c r="E97" s="74">
        <v>2022</v>
      </c>
      <c r="F97" s="74">
        <v>0</v>
      </c>
      <c r="G97" s="74" t="e">
        <f>IF(Table683[[#This Row],[n]],1)*#REF!+IF(Table683[[#This Row],[Targets from Proposal]],1)+IF(Table683[[#This Row],[Targets from legal acts]],2)</f>
        <v>#REF!</v>
      </c>
      <c r="H97" s="74">
        <v>0</v>
      </c>
      <c r="I97" s="74">
        <v>1</v>
      </c>
      <c r="J97" s="74">
        <v>1</v>
      </c>
      <c r="K97" s="74" t="s">
        <v>1091</v>
      </c>
      <c r="L97" s="411" t="s">
        <v>2260</v>
      </c>
      <c r="M97" s="291" t="s">
        <v>2261</v>
      </c>
      <c r="N97" s="351" t="s">
        <v>2130</v>
      </c>
      <c r="AB97" s="10"/>
    </row>
    <row r="98" spans="1:28" ht="147" customHeight="1">
      <c r="A98" s="90" t="s">
        <v>598</v>
      </c>
      <c r="B98" s="20" t="s">
        <v>599</v>
      </c>
      <c r="C98" s="19" t="s">
        <v>646</v>
      </c>
      <c r="D98" s="488" t="s">
        <v>110</v>
      </c>
      <c r="E98" s="493">
        <v>2022</v>
      </c>
      <c r="F98" s="493">
        <v>0</v>
      </c>
      <c r="G98" s="493" t="e">
        <f>IF(Table683[[#This Row],[n]],1)*#REF!+IF(Table683[[#This Row],[Targets from Proposal]],1)+IF(Table683[[#This Row],[Targets from legal acts]],2)</f>
        <v>#REF!</v>
      </c>
      <c r="H98" s="493">
        <v>0</v>
      </c>
      <c r="I98" s="493">
        <v>1</v>
      </c>
      <c r="J98" s="493">
        <v>1</v>
      </c>
      <c r="K98" s="493" t="s">
        <v>1092</v>
      </c>
      <c r="L98" s="398" t="s">
        <v>2262</v>
      </c>
      <c r="M98" s="59" t="s">
        <v>2263</v>
      </c>
      <c r="N98" s="346" t="s">
        <v>2130</v>
      </c>
      <c r="AB98" s="10"/>
    </row>
    <row r="99" spans="1:28" ht="147" customHeight="1">
      <c r="A99" s="90" t="s">
        <v>598</v>
      </c>
      <c r="B99" s="20" t="s">
        <v>599</v>
      </c>
      <c r="C99" s="25" t="s">
        <v>646</v>
      </c>
      <c r="D99" s="142" t="s">
        <v>110</v>
      </c>
      <c r="E99" s="55">
        <v>2022</v>
      </c>
      <c r="F99" s="55">
        <v>0</v>
      </c>
      <c r="G99" s="55" t="e">
        <f>IF(Table683[[#This Row],[n]],1)*#REF!+IF(Table683[[#This Row],[Targets from Proposal]],1)+IF(Table683[[#This Row],[Targets from legal acts]],2)</f>
        <v>#REF!</v>
      </c>
      <c r="H99" s="55">
        <v>0</v>
      </c>
      <c r="I99" s="55">
        <v>1</v>
      </c>
      <c r="J99" s="55">
        <v>1</v>
      </c>
      <c r="K99" s="504" t="s">
        <v>1093</v>
      </c>
      <c r="L99" s="399" t="s">
        <v>2264</v>
      </c>
      <c r="M99" s="165" t="s">
        <v>2265</v>
      </c>
      <c r="N99" s="346" t="s">
        <v>2130</v>
      </c>
      <c r="AB99" s="10"/>
    </row>
    <row r="100" spans="1:28" ht="147" customHeight="1">
      <c r="A100" s="90" t="s">
        <v>598</v>
      </c>
      <c r="B100" s="20" t="s">
        <v>599</v>
      </c>
      <c r="C100" s="25" t="s">
        <v>646</v>
      </c>
      <c r="D100" s="142" t="s">
        <v>110</v>
      </c>
      <c r="E100" s="55">
        <v>2022</v>
      </c>
      <c r="F100" s="55">
        <v>0</v>
      </c>
      <c r="G100" s="55" t="e">
        <f>IF(Table683[[#This Row],[n]],1)*#REF!+IF(Table683[[#This Row],[Targets from Proposal]],1)+IF(Table683[[#This Row],[Targets from legal acts]],2)</f>
        <v>#REF!</v>
      </c>
      <c r="H100" s="55">
        <v>0</v>
      </c>
      <c r="I100" s="55">
        <v>1</v>
      </c>
      <c r="J100" s="55">
        <v>1</v>
      </c>
      <c r="K100" s="493" t="s">
        <v>1094</v>
      </c>
      <c r="L100" s="399" t="s">
        <v>2266</v>
      </c>
      <c r="M100" s="165" t="s">
        <v>2267</v>
      </c>
      <c r="N100" s="346" t="s">
        <v>2130</v>
      </c>
      <c r="AB100" s="10"/>
    </row>
    <row r="101" spans="1:28" ht="147" customHeight="1">
      <c r="A101" s="90" t="s">
        <v>598</v>
      </c>
      <c r="B101" s="20" t="s">
        <v>599</v>
      </c>
      <c r="C101" s="25" t="s">
        <v>646</v>
      </c>
      <c r="D101" s="142" t="s">
        <v>110</v>
      </c>
      <c r="E101" s="55">
        <v>2022</v>
      </c>
      <c r="F101" s="55">
        <v>0</v>
      </c>
      <c r="G101" s="55" t="e">
        <f>IF(Table683[[#This Row],[n]],1)*#REF!+IF(Table683[[#This Row],[Targets from Proposal]],1)+IF(Table683[[#This Row],[Targets from legal acts]],2)</f>
        <v>#REF!</v>
      </c>
      <c r="H101" s="55">
        <v>0</v>
      </c>
      <c r="I101" s="55">
        <v>1</v>
      </c>
      <c r="J101" s="55">
        <v>1</v>
      </c>
      <c r="K101" s="55" t="s">
        <v>1095</v>
      </c>
      <c r="L101" s="399" t="s">
        <v>2268</v>
      </c>
      <c r="M101" s="165" t="s">
        <v>2269</v>
      </c>
      <c r="N101" s="346" t="s">
        <v>2130</v>
      </c>
      <c r="AB101" s="10"/>
    </row>
    <row r="102" spans="1:28" ht="147" customHeight="1">
      <c r="A102" s="90" t="s">
        <v>598</v>
      </c>
      <c r="C102" s="25"/>
      <c r="D102" s="172" t="s">
        <v>321</v>
      </c>
      <c r="E102" s="55">
        <v>2022</v>
      </c>
      <c r="F102" s="55"/>
      <c r="G102" s="55"/>
      <c r="H102" s="55"/>
      <c r="I102" s="55"/>
      <c r="J102" s="55"/>
      <c r="K102" s="55" t="s">
        <v>1096</v>
      </c>
      <c r="L102" s="399" t="s">
        <v>2276</v>
      </c>
      <c r="M102" s="165" t="s">
        <v>2277</v>
      </c>
      <c r="N102" s="346" t="s">
        <v>2132</v>
      </c>
      <c r="AB102" s="10"/>
    </row>
    <row r="103" spans="1:28" ht="147" customHeight="1">
      <c r="A103" s="90" t="s">
        <v>598</v>
      </c>
      <c r="B103" s="20" t="s">
        <v>599</v>
      </c>
      <c r="C103" s="25" t="s">
        <v>634</v>
      </c>
      <c r="D103" s="142" t="s">
        <v>102</v>
      </c>
      <c r="E103" s="55">
        <v>2019</v>
      </c>
      <c r="F103" s="55">
        <v>1</v>
      </c>
      <c r="G103" s="55" t="e">
        <f>IF(Table683[[#This Row],[n]],1)*#REF!+IF(Table683[[#This Row],[Targets from Proposal]],1)+IF(Table683[[#This Row],[Targets from legal acts]],2)</f>
        <v>#REF!</v>
      </c>
      <c r="H103" s="55">
        <v>1</v>
      </c>
      <c r="I103" s="55"/>
      <c r="J103" s="55">
        <v>1</v>
      </c>
      <c r="K103" s="55" t="s">
        <v>1097</v>
      </c>
      <c r="L103" s="390" t="s">
        <v>641</v>
      </c>
      <c r="M103" s="165"/>
      <c r="N103" s="348"/>
      <c r="AB103" s="10"/>
    </row>
    <row r="104" spans="1:28" ht="147" customHeight="1">
      <c r="A104" s="90" t="s">
        <v>598</v>
      </c>
      <c r="B104" s="20" t="s">
        <v>599</v>
      </c>
      <c r="C104" s="25" t="s">
        <v>634</v>
      </c>
      <c r="D104" s="142" t="s">
        <v>102</v>
      </c>
      <c r="E104" s="55">
        <v>2019</v>
      </c>
      <c r="F104" s="55">
        <v>1</v>
      </c>
      <c r="G104" s="55" t="e">
        <f>IF(Table683[[#This Row],[n]],1)*#REF!+IF(Table683[[#This Row],[Targets from Proposal]],1)+IF(Table683[[#This Row],[Targets from legal acts]],2)</f>
        <v>#REF!</v>
      </c>
      <c r="H104" s="55">
        <v>1</v>
      </c>
      <c r="I104" s="55"/>
      <c r="J104" s="55">
        <v>1</v>
      </c>
      <c r="K104" s="55" t="s">
        <v>1098</v>
      </c>
      <c r="L104" s="390" t="s">
        <v>635</v>
      </c>
      <c r="M104" s="165"/>
      <c r="N104" s="348"/>
      <c r="AB104" s="10"/>
    </row>
    <row r="105" spans="1:28" ht="147" customHeight="1">
      <c r="A105" s="90" t="s">
        <v>598</v>
      </c>
      <c r="B105" s="20" t="s">
        <v>599</v>
      </c>
      <c r="C105" s="25" t="s">
        <v>625</v>
      </c>
      <c r="D105" s="142" t="s">
        <v>102</v>
      </c>
      <c r="E105" s="55">
        <v>2012</v>
      </c>
      <c r="F105" s="55"/>
      <c r="G105" s="55"/>
      <c r="H105" s="55"/>
      <c r="I105" s="55"/>
      <c r="J105" s="55"/>
      <c r="K105" s="55" t="s">
        <v>1099</v>
      </c>
      <c r="L105" s="424" t="s">
        <v>632</v>
      </c>
      <c r="M105" s="309"/>
      <c r="N105" s="348"/>
      <c r="AB105" s="10"/>
    </row>
    <row r="106" spans="1:28" ht="147" customHeight="1">
      <c r="A106" s="90" t="s">
        <v>598</v>
      </c>
      <c r="B106" s="20" t="s">
        <v>599</v>
      </c>
      <c r="C106" s="25" t="s">
        <v>625</v>
      </c>
      <c r="D106" s="142" t="s">
        <v>102</v>
      </c>
      <c r="E106" s="55">
        <v>2012</v>
      </c>
      <c r="F106" s="55"/>
      <c r="G106" s="55"/>
      <c r="H106" s="55"/>
      <c r="I106" s="55"/>
      <c r="J106" s="55"/>
      <c r="K106" s="55" t="s">
        <v>1100</v>
      </c>
      <c r="L106" s="424" t="s">
        <v>631</v>
      </c>
      <c r="M106" s="309"/>
      <c r="N106" s="348"/>
      <c r="AB106" s="10"/>
    </row>
    <row r="107" spans="1:28" ht="147" customHeight="1">
      <c r="A107" s="90" t="s">
        <v>598</v>
      </c>
      <c r="B107" s="485" t="s">
        <v>599</v>
      </c>
      <c r="C107" s="25" t="s">
        <v>625</v>
      </c>
      <c r="D107" s="142" t="s">
        <v>102</v>
      </c>
      <c r="E107" s="55">
        <v>2012</v>
      </c>
      <c r="F107" s="55"/>
      <c r="G107" s="55"/>
      <c r="H107" s="55"/>
      <c r="I107" s="55"/>
      <c r="J107" s="55"/>
      <c r="K107" s="55" t="s">
        <v>1101</v>
      </c>
      <c r="L107" s="424" t="s">
        <v>630</v>
      </c>
      <c r="M107" s="309"/>
      <c r="N107" s="348"/>
      <c r="AB107" s="10"/>
    </row>
    <row r="108" spans="1:28" ht="147" customHeight="1" thickBot="1">
      <c r="A108" s="90" t="s">
        <v>598</v>
      </c>
      <c r="B108" s="33" t="s">
        <v>599</v>
      </c>
      <c r="C108" s="36" t="s">
        <v>625</v>
      </c>
      <c r="D108" s="137" t="s">
        <v>102</v>
      </c>
      <c r="E108" s="56">
        <v>2012</v>
      </c>
      <c r="F108" s="56"/>
      <c r="G108" s="56"/>
      <c r="H108" s="56"/>
      <c r="I108" s="56"/>
      <c r="J108" s="56"/>
      <c r="K108" s="56" t="s">
        <v>1102</v>
      </c>
      <c r="L108" s="425" t="s">
        <v>626</v>
      </c>
      <c r="M108" s="310"/>
      <c r="N108" s="362"/>
      <c r="AB108" s="10"/>
    </row>
    <row r="109" spans="1:28" ht="147" customHeight="1" thickBot="1">
      <c r="A109" s="90" t="s">
        <v>598</v>
      </c>
      <c r="B109" s="64" t="s">
        <v>599</v>
      </c>
      <c r="C109" s="65" t="s">
        <v>608</v>
      </c>
      <c r="D109" s="143" t="s">
        <v>102</v>
      </c>
      <c r="E109" s="74">
        <v>2018</v>
      </c>
      <c r="F109" s="74">
        <v>1</v>
      </c>
      <c r="G109" s="74" t="e">
        <f>IF(Table683[[#This Row],[n]],1)*#REF!+IF(Table683[[#This Row],[Targets from Proposal]],1)+IF(Table683[[#This Row],[Targets from legal acts]],2)</f>
        <v>#REF!</v>
      </c>
      <c r="H109" s="74">
        <v>1</v>
      </c>
      <c r="I109" s="74"/>
      <c r="J109" s="74">
        <v>1</v>
      </c>
      <c r="K109" s="74" t="s">
        <v>1103</v>
      </c>
      <c r="L109" s="433" t="s">
        <v>619</v>
      </c>
      <c r="M109" s="291"/>
      <c r="N109" s="351"/>
      <c r="AB109" s="10"/>
    </row>
    <row r="110" spans="1:28" ht="147" customHeight="1">
      <c r="A110" s="90" t="s">
        <v>598</v>
      </c>
      <c r="B110" s="20" t="s">
        <v>599</v>
      </c>
      <c r="C110" s="19" t="s">
        <v>608</v>
      </c>
      <c r="D110" s="154" t="s">
        <v>102</v>
      </c>
      <c r="E110" s="83">
        <v>2018</v>
      </c>
      <c r="F110" s="83"/>
      <c r="G110" s="83"/>
      <c r="H110" s="83"/>
      <c r="I110" s="83"/>
      <c r="J110" s="83"/>
      <c r="K110" s="83" t="s">
        <v>1104</v>
      </c>
      <c r="L110" s="511" t="s">
        <v>615</v>
      </c>
      <c r="M110" s="517"/>
      <c r="N110" s="365"/>
      <c r="AB110" s="10"/>
    </row>
    <row r="111" spans="1:28" ht="147" customHeight="1">
      <c r="A111" s="90" t="s">
        <v>598</v>
      </c>
      <c r="B111" s="20" t="s">
        <v>599</v>
      </c>
      <c r="C111" s="19" t="s">
        <v>608</v>
      </c>
      <c r="D111" s="142" t="s">
        <v>102</v>
      </c>
      <c r="E111" s="55">
        <v>2018</v>
      </c>
      <c r="F111" s="55">
        <v>1</v>
      </c>
      <c r="G111" s="55" t="e">
        <f>IF(Table683[[#This Row],[n]],1)*#REF!+IF(Table683[[#This Row],[Targets from Proposal]],1)+IF(Table683[[#This Row],[Targets from legal acts]],2)</f>
        <v>#REF!</v>
      </c>
      <c r="H111" s="55">
        <v>1</v>
      </c>
      <c r="I111" s="55"/>
      <c r="J111" s="55">
        <v>1</v>
      </c>
      <c r="K111" s="504" t="s">
        <v>1105</v>
      </c>
      <c r="L111" s="390" t="s">
        <v>609</v>
      </c>
      <c r="M111" s="165"/>
      <c r="N111" s="348"/>
      <c r="AB111" s="10"/>
    </row>
    <row r="112" spans="1:28" ht="147" customHeight="1">
      <c r="A112" s="90" t="s">
        <v>598</v>
      </c>
      <c r="C112" s="19"/>
      <c r="D112" s="145" t="s">
        <v>102</v>
      </c>
      <c r="E112" s="76">
        <v>2018</v>
      </c>
      <c r="F112" s="76"/>
      <c r="G112" s="76"/>
      <c r="H112" s="76"/>
      <c r="I112" s="76"/>
      <c r="J112" s="76"/>
      <c r="K112" s="493" t="s">
        <v>1106</v>
      </c>
      <c r="L112" s="415" t="s">
        <v>2278</v>
      </c>
      <c r="M112" s="311" t="s">
        <v>2281</v>
      </c>
      <c r="N112" s="355" t="s">
        <v>2130</v>
      </c>
      <c r="AB112" s="10"/>
    </row>
    <row r="113" spans="1:28" ht="147" customHeight="1">
      <c r="A113" s="90" t="s">
        <v>598</v>
      </c>
      <c r="C113" s="487"/>
      <c r="D113" s="492"/>
      <c r="E113" s="497"/>
      <c r="F113" s="500"/>
      <c r="G113" s="501" t="e">
        <f>IF(Table683[[#This Row],[n]],1)*#REF!+IF(Table683[[#This Row],[Targets from Proposal]],1)+IF(Table683[[#This Row],[Targets from legal acts]],2)</f>
        <v>#REF!</v>
      </c>
      <c r="H113" s="500"/>
      <c r="I113" s="500"/>
      <c r="J113" s="500"/>
      <c r="K113" s="505" t="s">
        <v>2279</v>
      </c>
      <c r="L113" s="415" t="s">
        <v>2282</v>
      </c>
      <c r="M113" s="311" t="s">
        <v>2283</v>
      </c>
      <c r="N113" s="345" t="s">
        <v>2127</v>
      </c>
      <c r="AB113" s="10"/>
    </row>
    <row r="114" spans="1:28" ht="147" customHeight="1">
      <c r="A114" s="90" t="s">
        <v>598</v>
      </c>
      <c r="C114" s="445"/>
      <c r="D114" s="446"/>
      <c r="E114" s="270"/>
      <c r="F114" s="447"/>
      <c r="G114" s="448" t="e">
        <f>IF(Table683[[#This Row],[n]],1)*#REF!+IF(Table683[[#This Row],[Targets from Proposal]],1)+IF(Table683[[#This Row],[Targets from legal acts]],2)</f>
        <v>#REF!</v>
      </c>
      <c r="H114" s="447"/>
      <c r="I114" s="447"/>
      <c r="J114" s="447"/>
      <c r="K114" s="493" t="s">
        <v>2280</v>
      </c>
      <c r="L114" s="398" t="s">
        <v>2285</v>
      </c>
      <c r="M114" s="449" t="s">
        <v>2286</v>
      </c>
      <c r="N114" s="348" t="s">
        <v>2130</v>
      </c>
      <c r="AB114" s="10"/>
    </row>
    <row r="115" spans="1:28" ht="147" customHeight="1">
      <c r="A115" s="90" t="s">
        <v>598</v>
      </c>
      <c r="C115" s="445"/>
      <c r="D115" s="446"/>
      <c r="E115" s="270"/>
      <c r="F115" s="447"/>
      <c r="G115" s="448" t="e">
        <f>IF(Table683[[#This Row],[n]],1)*#REF!+IF(Table683[[#This Row],[Targets from Proposal]],1)+IF(Table683[[#This Row],[Targets from legal acts]],2)</f>
        <v>#REF!</v>
      </c>
      <c r="H115" s="447"/>
      <c r="I115" s="447"/>
      <c r="J115" s="447"/>
      <c r="K115" s="72" t="s">
        <v>2284</v>
      </c>
      <c r="L115" s="398" t="s">
        <v>2287</v>
      </c>
      <c r="M115" s="449" t="s">
        <v>2288</v>
      </c>
      <c r="N115" s="348" t="s">
        <v>2130</v>
      </c>
      <c r="AB115" s="10"/>
    </row>
    <row r="116" spans="1:28" ht="147" customHeight="1">
      <c r="A116" s="90" t="s">
        <v>598</v>
      </c>
      <c r="C116" s="445"/>
      <c r="D116" s="446"/>
      <c r="E116" s="270"/>
      <c r="F116" s="447"/>
      <c r="G116" s="448" t="e">
        <f>IF(Table683[[#This Row],[n]],1)*#REF!+IF(Table683[[#This Row],[Targets from Proposal]],1)+IF(Table683[[#This Row],[Targets from legal acts]],2)</f>
        <v>#REF!</v>
      </c>
      <c r="H116" s="447"/>
      <c r="I116" s="447"/>
      <c r="J116" s="447"/>
      <c r="K116" s="72" t="s">
        <v>2293</v>
      </c>
      <c r="L116" s="398" t="s">
        <v>2294</v>
      </c>
      <c r="M116" s="449" t="s">
        <v>2295</v>
      </c>
      <c r="N116" s="348" t="s">
        <v>2132</v>
      </c>
      <c r="AB116" s="10"/>
    </row>
    <row r="117" spans="1:28" ht="147" customHeight="1">
      <c r="A117" s="92" t="s">
        <v>1023</v>
      </c>
      <c r="B117" s="269"/>
      <c r="C117" s="19" t="s">
        <v>396</v>
      </c>
      <c r="D117" s="170" t="s">
        <v>102</v>
      </c>
      <c r="E117" s="270">
        <v>2022</v>
      </c>
      <c r="F117" s="447">
        <v>1</v>
      </c>
      <c r="G117" s="447">
        <v>3</v>
      </c>
      <c r="H117" s="447">
        <v>1</v>
      </c>
      <c r="I117" s="447">
        <v>0</v>
      </c>
      <c r="J117" s="447">
        <v>1</v>
      </c>
      <c r="K117" s="500" t="s">
        <v>1024</v>
      </c>
      <c r="L117" s="398" t="s">
        <v>2305</v>
      </c>
      <c r="M117" s="449" t="s">
        <v>2306</v>
      </c>
      <c r="N117" s="348" t="s">
        <v>2127</v>
      </c>
      <c r="AB117" s="10"/>
    </row>
    <row r="118" spans="1:28" ht="147" customHeight="1">
      <c r="A118" s="92" t="s">
        <v>1023</v>
      </c>
      <c r="C118" s="22" t="s">
        <v>1107</v>
      </c>
      <c r="D118" s="141" t="s">
        <v>102</v>
      </c>
      <c r="E118" s="73">
        <v>2023</v>
      </c>
      <c r="F118" s="73"/>
      <c r="G118" s="73"/>
      <c r="H118" s="73"/>
      <c r="I118" s="73"/>
      <c r="J118" s="73"/>
      <c r="K118" s="73" t="s">
        <v>1108</v>
      </c>
      <c r="L118" s="428"/>
      <c r="M118" s="313"/>
      <c r="N118" s="347"/>
      <c r="AB118" s="10"/>
    </row>
    <row r="119" spans="1:28" ht="147" customHeight="1">
      <c r="A119" s="92" t="s">
        <v>1023</v>
      </c>
      <c r="B119" s="54" t="s">
        <v>1109</v>
      </c>
      <c r="C119" s="39" t="s">
        <v>1110</v>
      </c>
      <c r="D119" s="140" t="s">
        <v>298</v>
      </c>
      <c r="E119" s="38">
        <v>2023</v>
      </c>
      <c r="F119" s="38">
        <v>1</v>
      </c>
      <c r="G119" s="38" t="e">
        <f>IF(Table683[[#This Row],[n]],1)*#REF!+IF(Table683[[#This Row],[Targets from Proposal]],1)+IF(Table683[[#This Row],[Targets from legal acts]],2)</f>
        <v>#REF!</v>
      </c>
      <c r="H119" s="38">
        <v>1</v>
      </c>
      <c r="I119" s="38">
        <v>0</v>
      </c>
      <c r="J119" s="38">
        <v>1</v>
      </c>
      <c r="K119" s="38" t="s">
        <v>1111</v>
      </c>
      <c r="L119" s="400" t="s">
        <v>2299</v>
      </c>
      <c r="M119" s="452" t="s">
        <v>2300</v>
      </c>
      <c r="N119" s="345" t="s">
        <v>2135</v>
      </c>
      <c r="AB119" s="10"/>
    </row>
    <row r="120" spans="1:28" ht="147" customHeight="1">
      <c r="A120" s="92" t="s">
        <v>1023</v>
      </c>
      <c r="B120" s="54" t="s">
        <v>1109</v>
      </c>
      <c r="C120" s="25" t="s">
        <v>1110</v>
      </c>
      <c r="D120" s="142" t="s">
        <v>298</v>
      </c>
      <c r="E120" s="26">
        <v>2023</v>
      </c>
      <c r="F120" s="26">
        <v>1</v>
      </c>
      <c r="G120" s="26" t="e">
        <f>IF(Table683[[#This Row],[n]],1)*#REF!+IF(Table683[[#This Row],[Targets from Proposal]],1)+IF(Table683[[#This Row],[Targets from legal acts]],2)</f>
        <v>#REF!</v>
      </c>
      <c r="H120" s="26">
        <v>1</v>
      </c>
      <c r="I120" s="26">
        <v>0</v>
      </c>
      <c r="J120" s="26">
        <v>1</v>
      </c>
      <c r="K120" s="26" t="s">
        <v>1114</v>
      </c>
      <c r="L120" s="390" t="s">
        <v>1115</v>
      </c>
      <c r="M120" s="295"/>
      <c r="N120" s="348"/>
      <c r="AB120" s="10"/>
    </row>
    <row r="121" spans="1:28" ht="147" customHeight="1">
      <c r="A121" s="92" t="s">
        <v>1023</v>
      </c>
      <c r="B121" s="54"/>
      <c r="C121" s="25" t="s">
        <v>1116</v>
      </c>
      <c r="D121" s="142" t="s">
        <v>110</v>
      </c>
      <c r="E121" s="55">
        <v>2021</v>
      </c>
      <c r="F121" s="55">
        <v>0</v>
      </c>
      <c r="G121" s="55" t="e">
        <f>IF(Table683[[#This Row],[n]],1)*#REF!+IF(Table683[[#This Row],[Targets from Proposal]],1)+IF(Table683[[#This Row],[Targets from legal acts]],2)</f>
        <v>#REF!</v>
      </c>
      <c r="H121" s="55">
        <v>0</v>
      </c>
      <c r="I121" s="26">
        <v>1</v>
      </c>
      <c r="J121" s="55">
        <v>1</v>
      </c>
      <c r="K121" s="283" t="s">
        <v>1117</v>
      </c>
      <c r="L121" s="399" t="s">
        <v>2309</v>
      </c>
      <c r="M121" s="165" t="s">
        <v>2310</v>
      </c>
      <c r="N121" s="348" t="s">
        <v>2135</v>
      </c>
      <c r="AB121" s="10"/>
    </row>
    <row r="122" spans="1:28" ht="147" customHeight="1">
      <c r="A122" s="92" t="s">
        <v>1023</v>
      </c>
      <c r="B122" s="54"/>
      <c r="C122" s="25" t="s">
        <v>1116</v>
      </c>
      <c r="D122" s="142" t="s">
        <v>110</v>
      </c>
      <c r="E122" s="55">
        <v>2021</v>
      </c>
      <c r="F122" s="55">
        <v>0</v>
      </c>
      <c r="G122" s="55" t="e">
        <f>IF(Table683[[#This Row],[n]],1)*#REF!+IF(Table683[[#This Row],[Targets from Proposal]],1)+IF(Table683[[#This Row],[Targets from legal acts]],2)</f>
        <v>#REF!</v>
      </c>
      <c r="H122" s="55">
        <v>0</v>
      </c>
      <c r="I122" s="26">
        <v>1</v>
      </c>
      <c r="J122" s="55">
        <v>1</v>
      </c>
      <c r="K122" s="55" t="s">
        <v>1120</v>
      </c>
      <c r="L122" s="399" t="s">
        <v>2311</v>
      </c>
      <c r="M122" s="165" t="s">
        <v>2312</v>
      </c>
      <c r="N122" s="348" t="s">
        <v>2135</v>
      </c>
      <c r="AB122" s="10"/>
    </row>
    <row r="123" spans="1:28" ht="147" customHeight="1">
      <c r="A123" s="92" t="s">
        <v>1023</v>
      </c>
      <c r="C123" s="25" t="s">
        <v>396</v>
      </c>
      <c r="D123" s="142" t="s">
        <v>102</v>
      </c>
      <c r="E123" s="26">
        <v>2023</v>
      </c>
      <c r="F123" s="26">
        <v>1</v>
      </c>
      <c r="G123" s="26" t="e">
        <f>IF(Table683[[#This Row],[n]],1)*#REF!+IF(Table683[[#This Row],[Targets from Proposal]],1)+IF(Table683[[#This Row],[Targets from legal acts]],2)</f>
        <v>#REF!</v>
      </c>
      <c r="H123" s="26">
        <v>1</v>
      </c>
      <c r="I123" s="26"/>
      <c r="J123" s="26">
        <v>1</v>
      </c>
      <c r="K123" s="26" t="s">
        <v>1122</v>
      </c>
      <c r="L123" s="399" t="s">
        <v>2301</v>
      </c>
      <c r="M123" s="453" t="s">
        <v>2302</v>
      </c>
      <c r="N123" s="348" t="s">
        <v>2130</v>
      </c>
      <c r="AB123" s="10"/>
    </row>
    <row r="124" spans="1:28" ht="147" customHeight="1">
      <c r="A124" s="92" t="s">
        <v>1023</v>
      </c>
      <c r="C124" s="25" t="s">
        <v>396</v>
      </c>
      <c r="D124" s="142" t="s">
        <v>102</v>
      </c>
      <c r="E124" s="26">
        <v>2023</v>
      </c>
      <c r="F124" s="26">
        <v>1</v>
      </c>
      <c r="G124" s="26" t="e">
        <f>IF(Table683[[#This Row],[n]],1)*#REF!+IF(Table683[[#This Row],[Targets from Proposal]],1)+IF(Table683[[#This Row],[Targets from legal acts]],2)</f>
        <v>#REF!</v>
      </c>
      <c r="H124" s="26">
        <v>1</v>
      </c>
      <c r="I124" s="26"/>
      <c r="J124" s="26">
        <v>1</v>
      </c>
      <c r="K124" s="26" t="s">
        <v>1125</v>
      </c>
      <c r="L124" s="399" t="s">
        <v>2307</v>
      </c>
      <c r="M124" s="453" t="s">
        <v>2308</v>
      </c>
      <c r="N124" s="348" t="s">
        <v>2135</v>
      </c>
      <c r="AB124" s="10"/>
    </row>
    <row r="125" spans="1:28" ht="147" customHeight="1">
      <c r="A125" s="92" t="s">
        <v>1023</v>
      </c>
      <c r="B125" s="93"/>
      <c r="C125" s="25" t="s">
        <v>1127</v>
      </c>
      <c r="D125" s="172" t="s">
        <v>321</v>
      </c>
      <c r="E125" s="55">
        <v>2020</v>
      </c>
      <c r="F125" s="55">
        <v>0</v>
      </c>
      <c r="G125" s="55" t="e">
        <f>IF(Table683[[#This Row],[n]],1)*#REF!+IF(Table683[[#This Row],[Targets from Proposal]],1)+IF(Table683[[#This Row],[Targets from legal acts]],2)</f>
        <v>#REF!</v>
      </c>
      <c r="H125" s="55">
        <v>0</v>
      </c>
      <c r="I125" s="55">
        <v>0</v>
      </c>
      <c r="J125" s="55">
        <v>1</v>
      </c>
      <c r="K125" s="55" t="s">
        <v>1128</v>
      </c>
      <c r="L125" s="399" t="s">
        <v>2332</v>
      </c>
      <c r="M125" s="165" t="s">
        <v>2333</v>
      </c>
      <c r="N125" s="348" t="s">
        <v>2127</v>
      </c>
      <c r="AB125" s="10"/>
    </row>
    <row r="126" spans="1:28" ht="147" customHeight="1">
      <c r="A126" s="92" t="s">
        <v>1023</v>
      </c>
      <c r="B126" s="54"/>
      <c r="C126" s="25" t="s">
        <v>591</v>
      </c>
      <c r="D126" s="172" t="s">
        <v>321</v>
      </c>
      <c r="E126" s="55">
        <v>2023</v>
      </c>
      <c r="F126" s="55">
        <v>0</v>
      </c>
      <c r="G126" s="55" t="e">
        <f>IF(Table683[[#This Row],[n]],1)*#REF!+IF(Table683[[#This Row],[Targets from Proposal]],1)+IF(Table683[[#This Row],[Targets from legal acts]],2)</f>
        <v>#REF!</v>
      </c>
      <c r="H126" s="55">
        <v>0</v>
      </c>
      <c r="I126" s="55">
        <v>0</v>
      </c>
      <c r="J126" s="55">
        <v>1</v>
      </c>
      <c r="K126" s="281" t="s">
        <v>1132</v>
      </c>
      <c r="L126" s="399" t="s">
        <v>2336</v>
      </c>
      <c r="M126" s="165" t="s">
        <v>2337</v>
      </c>
      <c r="N126" s="348" t="s">
        <v>2127</v>
      </c>
      <c r="AB126" s="10"/>
    </row>
    <row r="127" spans="1:28" ht="147" customHeight="1">
      <c r="A127" s="92" t="s">
        <v>1023</v>
      </c>
      <c r="B127" s="93" t="s">
        <v>1135</v>
      </c>
      <c r="C127" s="25" t="s">
        <v>1136</v>
      </c>
      <c r="D127" s="51" t="s">
        <v>101</v>
      </c>
      <c r="E127" s="26">
        <v>2023</v>
      </c>
      <c r="F127" s="55">
        <v>0</v>
      </c>
      <c r="G127" s="55" t="e">
        <f>IF(Table683[[#This Row],[n]],1)*#REF!+IF(Table683[[#This Row],[Targets from Proposal]],1)+IF(Table683[[#This Row],[Targets from legal acts]],2)</f>
        <v>#REF!</v>
      </c>
      <c r="H127" s="55"/>
      <c r="I127" s="55">
        <v>1</v>
      </c>
      <c r="J127" s="55">
        <v>1</v>
      </c>
      <c r="K127" s="55" t="s">
        <v>1137</v>
      </c>
      <c r="L127" s="399" t="s">
        <v>2330</v>
      </c>
      <c r="M127" s="453" t="s">
        <v>2331</v>
      </c>
      <c r="N127" s="348" t="s">
        <v>2132</v>
      </c>
      <c r="AB127" s="10"/>
    </row>
    <row r="128" spans="1:28" ht="147" customHeight="1">
      <c r="A128" s="92" t="s">
        <v>1023</v>
      </c>
      <c r="B128" s="93" t="s">
        <v>1135</v>
      </c>
      <c r="C128" s="25" t="s">
        <v>1110</v>
      </c>
      <c r="D128" s="142" t="s">
        <v>298</v>
      </c>
      <c r="E128" s="55">
        <v>2023</v>
      </c>
      <c r="F128" s="55">
        <v>0</v>
      </c>
      <c r="G128" s="55" t="e">
        <f>IF(Table683[[#This Row],[n]],1)*#REF!+IF(Table683[[#This Row],[Targets from Proposal]],1)+IF(Table683[[#This Row],[Targets from legal acts]],2)</f>
        <v>#REF!</v>
      </c>
      <c r="H128" s="55">
        <v>1</v>
      </c>
      <c r="I128" s="55">
        <v>0</v>
      </c>
      <c r="J128" s="55">
        <v>1</v>
      </c>
      <c r="K128" s="55" t="s">
        <v>1139</v>
      </c>
      <c r="L128" s="390" t="s">
        <v>1140</v>
      </c>
      <c r="M128" s="165"/>
      <c r="N128" s="348"/>
      <c r="AB128" s="10"/>
    </row>
    <row r="129" spans="1:28" ht="147" customHeight="1">
      <c r="A129" s="92" t="s">
        <v>1023</v>
      </c>
      <c r="B129" s="93" t="s">
        <v>1135</v>
      </c>
      <c r="C129" s="25" t="s">
        <v>1142</v>
      </c>
      <c r="D129" s="142" t="s">
        <v>110</v>
      </c>
      <c r="E129" s="55">
        <v>2023</v>
      </c>
      <c r="F129" s="55">
        <v>0</v>
      </c>
      <c r="G129" s="55" t="e">
        <f>IF(Table683[[#This Row],[n]],1)*#REF!+IF(Table683[[#This Row],[Targets from Proposal]],1)+IF(Table683[[#This Row],[Targets from legal acts]],2)</f>
        <v>#REF!</v>
      </c>
      <c r="H129" s="55">
        <v>0</v>
      </c>
      <c r="I129" s="55">
        <v>1</v>
      </c>
      <c r="J129" s="55">
        <v>1</v>
      </c>
      <c r="K129" s="55" t="s">
        <v>1143</v>
      </c>
      <c r="L129" s="399" t="s">
        <v>2328</v>
      </c>
      <c r="M129" s="165" t="s">
        <v>2329</v>
      </c>
      <c r="N129" s="348" t="s">
        <v>2130</v>
      </c>
      <c r="AB129" s="10"/>
    </row>
    <row r="130" spans="1:28" ht="147" customHeight="1">
      <c r="A130" s="92" t="s">
        <v>1023</v>
      </c>
      <c r="B130" s="93" t="s">
        <v>1135</v>
      </c>
      <c r="C130" s="25" t="s">
        <v>1145</v>
      </c>
      <c r="D130" s="141" t="s">
        <v>110</v>
      </c>
      <c r="E130" s="73">
        <v>2023</v>
      </c>
      <c r="F130" s="55">
        <v>0</v>
      </c>
      <c r="G130" s="55" t="e">
        <f>IF(Table683[[#This Row],[n]],1)*#REF!+IF(Table683[[#This Row],[Targets from Proposal]],1)+IF(Table683[[#This Row],[Targets from legal acts]],2)</f>
        <v>#REF!</v>
      </c>
      <c r="H130" s="55">
        <v>0</v>
      </c>
      <c r="I130" s="55">
        <v>1</v>
      </c>
      <c r="J130" s="55">
        <v>1</v>
      </c>
      <c r="K130" s="55" t="s">
        <v>1146</v>
      </c>
      <c r="L130" s="390" t="s">
        <v>1147</v>
      </c>
      <c r="M130" s="295"/>
      <c r="N130" s="348"/>
      <c r="AB130" s="10"/>
    </row>
    <row r="131" spans="1:28" ht="147" customHeight="1">
      <c r="A131" s="92" t="s">
        <v>1023</v>
      </c>
      <c r="B131" s="93" t="s">
        <v>1135</v>
      </c>
      <c r="C131" s="69" t="s">
        <v>1142</v>
      </c>
      <c r="D131" s="145" t="s">
        <v>110</v>
      </c>
      <c r="E131" s="76">
        <v>2023</v>
      </c>
      <c r="F131" s="76">
        <v>0</v>
      </c>
      <c r="G131" s="76" t="e">
        <f>IF(Table683[[#This Row],[n]],1)*#REF!+IF(Table683[[#This Row],[Targets from Proposal]],1)+IF(Table683[[#This Row],[Targets from legal acts]],2)</f>
        <v>#REF!</v>
      </c>
      <c r="H131" s="76">
        <v>0</v>
      </c>
      <c r="I131" s="76">
        <v>1</v>
      </c>
      <c r="J131" s="76">
        <v>1</v>
      </c>
      <c r="K131" s="76" t="s">
        <v>1149</v>
      </c>
      <c r="L131" s="415" t="s">
        <v>2326</v>
      </c>
      <c r="M131" s="458" t="s">
        <v>2327</v>
      </c>
      <c r="N131" s="459" t="s">
        <v>2127</v>
      </c>
      <c r="AB131" s="10"/>
    </row>
    <row r="132" spans="1:28" ht="147" customHeight="1">
      <c r="A132" s="92" t="s">
        <v>1023</v>
      </c>
      <c r="B132" s="93" t="s">
        <v>1135</v>
      </c>
      <c r="C132" s="246" t="s">
        <v>1152</v>
      </c>
      <c r="D132" s="166" t="s">
        <v>298</v>
      </c>
      <c r="E132" s="35">
        <v>2019</v>
      </c>
      <c r="F132" s="35">
        <v>1</v>
      </c>
      <c r="G132" s="35"/>
      <c r="H132" s="35"/>
      <c r="I132" s="35"/>
      <c r="J132" s="35"/>
      <c r="K132" s="35" t="s">
        <v>1153</v>
      </c>
      <c r="L132" s="389" t="s">
        <v>1154</v>
      </c>
      <c r="M132" s="296"/>
      <c r="N132" s="346"/>
      <c r="AB132" s="10"/>
    </row>
    <row r="133" spans="1:28" ht="147" customHeight="1">
      <c r="A133" s="92" t="s">
        <v>1023</v>
      </c>
      <c r="B133" s="93" t="s">
        <v>1135</v>
      </c>
      <c r="C133" s="244" t="s">
        <v>1152</v>
      </c>
      <c r="D133" s="257" t="s">
        <v>298</v>
      </c>
      <c r="E133" s="31">
        <v>2019</v>
      </c>
      <c r="F133" s="31">
        <v>1</v>
      </c>
      <c r="G133" s="31"/>
      <c r="H133" s="31"/>
      <c r="I133" s="31"/>
      <c r="J133" s="31"/>
      <c r="K133" s="31" t="s">
        <v>1155</v>
      </c>
      <c r="L133" s="429" t="s">
        <v>1156</v>
      </c>
      <c r="M133" s="315"/>
      <c r="N133" s="366"/>
      <c r="AB133" s="10"/>
    </row>
    <row r="134" spans="1:28" ht="147" customHeight="1">
      <c r="A134" s="92" t="s">
        <v>1023</v>
      </c>
      <c r="B134" s="93"/>
      <c r="C134" s="241"/>
      <c r="D134" s="203" t="s">
        <v>298</v>
      </c>
      <c r="E134" s="38">
        <v>2019</v>
      </c>
      <c r="F134" s="38">
        <v>1</v>
      </c>
      <c r="G134" s="38"/>
      <c r="H134" s="38"/>
      <c r="I134" s="38"/>
      <c r="J134" s="38"/>
      <c r="K134" s="38" t="s">
        <v>1157</v>
      </c>
      <c r="L134" s="400" t="s">
        <v>2303</v>
      </c>
      <c r="M134" s="454" t="s">
        <v>2304</v>
      </c>
      <c r="N134" s="402" t="s">
        <v>2130</v>
      </c>
      <c r="AB134" s="10"/>
    </row>
    <row r="135" spans="1:28" ht="147" customHeight="1">
      <c r="A135" s="92" t="s">
        <v>1023</v>
      </c>
      <c r="B135" s="93"/>
      <c r="C135" s="25"/>
      <c r="D135" s="176" t="s">
        <v>321</v>
      </c>
      <c r="E135" s="97">
        <v>2022</v>
      </c>
      <c r="F135" s="97"/>
      <c r="G135" s="97"/>
      <c r="H135" s="97"/>
      <c r="I135" s="97"/>
      <c r="J135" s="97"/>
      <c r="K135" s="97" t="s">
        <v>1159</v>
      </c>
      <c r="L135" s="399" t="s">
        <v>2313</v>
      </c>
      <c r="M135" s="165" t="s">
        <v>1591</v>
      </c>
      <c r="N135" s="356" t="s">
        <v>2132</v>
      </c>
      <c r="AB135" s="10"/>
    </row>
    <row r="136" spans="1:28" ht="147" customHeight="1">
      <c r="A136" s="92" t="s">
        <v>1023</v>
      </c>
      <c r="B136" s="93" t="s">
        <v>1158</v>
      </c>
      <c r="C136" s="96" t="s">
        <v>1160</v>
      </c>
      <c r="D136" s="179" t="s">
        <v>321</v>
      </c>
      <c r="E136" s="124">
        <v>2020</v>
      </c>
      <c r="F136" s="124">
        <v>0</v>
      </c>
      <c r="G136" s="124" t="e">
        <f>IF(Table683[[#This Row],[n]],1)*#REF!+IF(Table683[[#This Row],[Targets from Proposal]],1)+IF(Table683[[#This Row],[Targets from legal acts]],2)</f>
        <v>#REF!</v>
      </c>
      <c r="H136" s="124">
        <v>0</v>
      </c>
      <c r="I136" s="124">
        <v>0</v>
      </c>
      <c r="J136" s="124">
        <v>1</v>
      </c>
      <c r="K136" s="124" t="s">
        <v>1161</v>
      </c>
      <c r="L136" s="415" t="s">
        <v>2221</v>
      </c>
      <c r="M136" s="311" t="s">
        <v>2222</v>
      </c>
      <c r="N136" s="367" t="s">
        <v>2127</v>
      </c>
      <c r="AB136" s="10"/>
    </row>
    <row r="137" spans="1:28" ht="147" customHeight="1">
      <c r="A137" s="92" t="s">
        <v>1023</v>
      </c>
      <c r="B137" s="93" t="s">
        <v>1158</v>
      </c>
      <c r="C137" s="96" t="s">
        <v>1160</v>
      </c>
      <c r="D137" s="181" t="s">
        <v>321</v>
      </c>
      <c r="E137" s="102">
        <v>2020</v>
      </c>
      <c r="F137" s="102">
        <v>0</v>
      </c>
      <c r="G137" s="102" t="e">
        <f>IF(Table683[[#This Row],[n]],1)*#REF!+IF(Table683[[#This Row],[Targets from Proposal]],1)+IF(Table683[[#This Row],[Targets from legal acts]],2)</f>
        <v>#REF!</v>
      </c>
      <c r="H137" s="102">
        <v>0</v>
      </c>
      <c r="I137" s="102">
        <v>0</v>
      </c>
      <c r="J137" s="102">
        <v>1</v>
      </c>
      <c r="K137" s="102" t="s">
        <v>1163</v>
      </c>
      <c r="L137" s="392" t="s">
        <v>1164</v>
      </c>
      <c r="M137" s="316"/>
      <c r="N137" s="358"/>
      <c r="AB137" s="10"/>
    </row>
    <row r="138" spans="1:28" ht="147" customHeight="1">
      <c r="A138" s="92" t="s">
        <v>1023</v>
      </c>
      <c r="B138" s="93" t="s">
        <v>1165</v>
      </c>
      <c r="C138" s="117" t="s">
        <v>1166</v>
      </c>
      <c r="D138" s="176" t="s">
        <v>1167</v>
      </c>
      <c r="E138" s="97">
        <v>2021</v>
      </c>
      <c r="F138" s="97">
        <v>0</v>
      </c>
      <c r="G138" s="97" t="e">
        <f>IF(Table683[[#This Row],[n]],1)*#REF!+IF(Table683[[#This Row],[Targets from Proposal]],1)+IF(Table683[[#This Row],[Targets from legal acts]],2)</f>
        <v>#REF!</v>
      </c>
      <c r="H138" s="97">
        <v>0</v>
      </c>
      <c r="I138" s="97">
        <v>0</v>
      </c>
      <c r="J138" s="97">
        <v>1</v>
      </c>
      <c r="K138" s="97" t="s">
        <v>1168</v>
      </c>
      <c r="L138" s="390" t="s">
        <v>1169</v>
      </c>
      <c r="M138" s="165"/>
      <c r="N138" s="356"/>
      <c r="AB138" s="10"/>
    </row>
    <row r="139" spans="1:28" ht="147" customHeight="1" thickBot="1">
      <c r="A139" s="92" t="s">
        <v>1023</v>
      </c>
      <c r="B139" s="93" t="s">
        <v>1165</v>
      </c>
      <c r="C139" s="117" t="s">
        <v>1166</v>
      </c>
      <c r="D139" s="184" t="s">
        <v>1167</v>
      </c>
      <c r="E139" s="99">
        <v>2021</v>
      </c>
      <c r="F139" s="99">
        <v>0</v>
      </c>
      <c r="G139" s="99" t="e">
        <f>IF(Table683[[#This Row],[n]],1)*#REF!+IF(Table683[[#This Row],[Targets from Proposal]],1)+IF(Table683[[#This Row],[Targets from legal acts]],2)</f>
        <v>#REF!</v>
      </c>
      <c r="H139" s="99">
        <v>0</v>
      </c>
      <c r="I139" s="99">
        <v>0</v>
      </c>
      <c r="J139" s="99">
        <v>1</v>
      </c>
      <c r="K139" s="99" t="s">
        <v>1172</v>
      </c>
      <c r="L139" s="419" t="s">
        <v>1173</v>
      </c>
      <c r="M139" s="49"/>
      <c r="N139" s="349"/>
      <c r="AB139" s="10"/>
    </row>
    <row r="140" spans="1:28" ht="147" customHeight="1" thickTop="1">
      <c r="A140" s="92" t="s">
        <v>1023</v>
      </c>
      <c r="B140" s="93" t="s">
        <v>1165</v>
      </c>
      <c r="C140" s="94" t="s">
        <v>1175</v>
      </c>
      <c r="D140" s="185" t="s">
        <v>1167</v>
      </c>
      <c r="E140" s="95">
        <v>2021</v>
      </c>
      <c r="F140" s="95"/>
      <c r="G140" s="95"/>
      <c r="H140" s="95"/>
      <c r="I140" s="95"/>
      <c r="J140" s="95"/>
      <c r="K140" s="95" t="s">
        <v>1176</v>
      </c>
      <c r="L140" s="418"/>
      <c r="M140" s="299"/>
      <c r="N140" s="368"/>
      <c r="AB140" s="10"/>
    </row>
    <row r="141" spans="1:28" ht="147" customHeight="1">
      <c r="A141" s="92" t="s">
        <v>1023</v>
      </c>
      <c r="B141" s="93" t="s">
        <v>1165</v>
      </c>
      <c r="C141" s="117" t="s">
        <v>1177</v>
      </c>
      <c r="D141" s="155" t="s">
        <v>298</v>
      </c>
      <c r="E141" s="43">
        <v>2023</v>
      </c>
      <c r="F141" s="43">
        <v>1</v>
      </c>
      <c r="G141" s="43" t="e">
        <f>IF(Table683[[#This Row],[n]],1)*#REF!+IF(Table683[[#This Row],[Targets from Proposal]],1)+IF(Table683[[#This Row],[Targets from legal acts]],2)</f>
        <v>#REF!</v>
      </c>
      <c r="H141" s="43">
        <v>1</v>
      </c>
      <c r="I141" s="43"/>
      <c r="J141" s="43">
        <v>1</v>
      </c>
      <c r="K141" s="43" t="s">
        <v>1178</v>
      </c>
      <c r="L141" s="398" t="s">
        <v>2314</v>
      </c>
      <c r="M141" s="388" t="s">
        <v>2315</v>
      </c>
      <c r="N141" s="369" t="s">
        <v>2130</v>
      </c>
      <c r="AB141" s="10"/>
    </row>
    <row r="142" spans="1:28" ht="147" customHeight="1">
      <c r="A142" s="92" t="s">
        <v>1023</v>
      </c>
      <c r="B142" s="93" t="s">
        <v>1165</v>
      </c>
      <c r="C142" s="117" t="s">
        <v>1177</v>
      </c>
      <c r="D142" s="155" t="s">
        <v>298</v>
      </c>
      <c r="E142" s="43">
        <v>2023</v>
      </c>
      <c r="F142" s="43">
        <v>1</v>
      </c>
      <c r="G142" s="43" t="e">
        <f>IF(Table683[[#This Row],[n]],1)*#REF!+IF(Table683[[#This Row],[Targets from Proposal]],1)+IF(Table683[[#This Row],[Targets from legal acts]],2)</f>
        <v>#REF!</v>
      </c>
      <c r="H142" s="43">
        <v>1</v>
      </c>
      <c r="I142" s="43"/>
      <c r="J142" s="43">
        <v>1</v>
      </c>
      <c r="K142" s="43" t="s">
        <v>1180</v>
      </c>
      <c r="L142" s="423" t="s">
        <v>2316</v>
      </c>
      <c r="M142" s="455" t="s">
        <v>2317</v>
      </c>
      <c r="N142" s="359" t="s">
        <v>2127</v>
      </c>
      <c r="AB142" s="10"/>
    </row>
    <row r="143" spans="1:28" ht="147" customHeight="1">
      <c r="A143" s="92" t="s">
        <v>1023</v>
      </c>
      <c r="B143" s="93" t="s">
        <v>1165</v>
      </c>
      <c r="C143" s="117" t="s">
        <v>1177</v>
      </c>
      <c r="D143" s="156" t="s">
        <v>298</v>
      </c>
      <c r="E143" s="99">
        <v>2023</v>
      </c>
      <c r="F143" s="43">
        <v>1</v>
      </c>
      <c r="G143" s="43" t="e">
        <f>IF(Table683[[#This Row],[n]],1)*#REF!+IF(Table683[[#This Row],[Targets from Proposal]],1)+IF(Table683[[#This Row],[Targets from legal acts]],2)</f>
        <v>#REF!</v>
      </c>
      <c r="H143" s="43">
        <v>1</v>
      </c>
      <c r="I143" s="43"/>
      <c r="J143" s="43">
        <v>1</v>
      </c>
      <c r="K143" s="43" t="s">
        <v>1181</v>
      </c>
      <c r="L143" s="456" t="s">
        <v>2318</v>
      </c>
      <c r="M143" s="457" t="s">
        <v>2319</v>
      </c>
      <c r="N143" s="370" t="s">
        <v>2127</v>
      </c>
      <c r="AB143" s="10"/>
    </row>
    <row r="144" spans="1:28" ht="147" customHeight="1">
      <c r="A144" s="92" t="s">
        <v>1023</v>
      </c>
      <c r="B144" s="93" t="s">
        <v>1165</v>
      </c>
      <c r="C144" s="117" t="s">
        <v>1177</v>
      </c>
      <c r="D144" s="155" t="s">
        <v>298</v>
      </c>
      <c r="E144" s="43">
        <v>2023</v>
      </c>
      <c r="F144" s="43">
        <v>1</v>
      </c>
      <c r="G144" s="43" t="e">
        <f>IF(Table683[[#This Row],[n]],1)*#REF!+IF(Table683[[#This Row],[Targets from Proposal]],1)+IF(Table683[[#This Row],[Targets from legal acts]],2)</f>
        <v>#REF!</v>
      </c>
      <c r="H144" s="43">
        <v>1</v>
      </c>
      <c r="I144" s="43"/>
      <c r="J144" s="43">
        <v>1</v>
      </c>
      <c r="K144" s="43" t="s">
        <v>1182</v>
      </c>
      <c r="L144" s="399" t="s">
        <v>2320</v>
      </c>
      <c r="M144" s="453" t="s">
        <v>2321</v>
      </c>
      <c r="N144" s="356" t="s">
        <v>2132</v>
      </c>
      <c r="AB144" s="10"/>
    </row>
    <row r="145" spans="1:28" ht="147" customHeight="1">
      <c r="A145" s="92" t="s">
        <v>1023</v>
      </c>
      <c r="B145" s="93" t="s">
        <v>1165</v>
      </c>
      <c r="C145" s="117" t="s">
        <v>1177</v>
      </c>
      <c r="D145" s="149" t="s">
        <v>298</v>
      </c>
      <c r="E145" s="97">
        <v>2023</v>
      </c>
      <c r="F145" s="97">
        <v>1</v>
      </c>
      <c r="G145" s="97" t="e">
        <f>IF(Table683[[#This Row],[n]],1)*#REF!+IF(Table683[[#This Row],[Targets from Proposal]],1)+IF(Table683[[#This Row],[Targets from legal acts]],2)</f>
        <v>#REF!</v>
      </c>
      <c r="H145" s="97">
        <v>1</v>
      </c>
      <c r="I145" s="97"/>
      <c r="J145" s="97">
        <v>1</v>
      </c>
      <c r="K145" s="97" t="s">
        <v>1184</v>
      </c>
      <c r="L145" s="399" t="s">
        <v>2322</v>
      </c>
      <c r="M145" s="453" t="s">
        <v>1591</v>
      </c>
      <c r="N145" s="356" t="s">
        <v>2132</v>
      </c>
      <c r="AB145" s="10"/>
    </row>
    <row r="146" spans="1:28" ht="147" customHeight="1">
      <c r="A146" s="92" t="s">
        <v>1023</v>
      </c>
      <c r="B146" s="93" t="s">
        <v>1165</v>
      </c>
      <c r="C146" s="117" t="s">
        <v>1177</v>
      </c>
      <c r="D146" s="149" t="s">
        <v>298</v>
      </c>
      <c r="E146" s="97">
        <v>2023</v>
      </c>
      <c r="F146" s="119">
        <v>1</v>
      </c>
      <c r="G146" s="119" t="e">
        <f>IF(Table683[[#This Row],[n]],1)*#REF!+IF(Table683[[#This Row],[Targets from Proposal]],1)+IF(Table683[[#This Row],[Targets from legal acts]],2)</f>
        <v>#REF!</v>
      </c>
      <c r="H146" s="119">
        <v>1</v>
      </c>
      <c r="I146" s="119"/>
      <c r="J146" s="119">
        <v>1</v>
      </c>
      <c r="K146" s="119" t="s">
        <v>1186</v>
      </c>
      <c r="L146" s="409" t="s">
        <v>2296</v>
      </c>
      <c r="M146" s="451" t="s">
        <v>2298</v>
      </c>
      <c r="N146" s="356" t="s">
        <v>2127</v>
      </c>
      <c r="AB146" s="10"/>
    </row>
    <row r="147" spans="1:28" ht="147" customHeight="1">
      <c r="A147" s="92" t="s">
        <v>1023</v>
      </c>
      <c r="B147" s="93" t="s">
        <v>1165</v>
      </c>
      <c r="C147" s="117" t="s">
        <v>1177</v>
      </c>
      <c r="D147" s="149" t="s">
        <v>298</v>
      </c>
      <c r="E147" s="97">
        <v>2023</v>
      </c>
      <c r="F147" s="119">
        <v>1</v>
      </c>
      <c r="G147" s="119" t="e">
        <f>IF(Table683[[#This Row],[n]],1)*#REF!+IF(Table683[[#This Row],[Targets from Proposal]],1)+IF(Table683[[#This Row],[Targets from legal acts]],2)</f>
        <v>#REF!</v>
      </c>
      <c r="H147" s="119">
        <v>1</v>
      </c>
      <c r="I147" s="119"/>
      <c r="J147" s="119">
        <v>1</v>
      </c>
      <c r="K147" s="119" t="s">
        <v>1188</v>
      </c>
      <c r="L147" s="409" t="s">
        <v>2297</v>
      </c>
      <c r="M147" s="451" t="s">
        <v>2298</v>
      </c>
      <c r="N147" s="356" t="s">
        <v>2127</v>
      </c>
      <c r="AB147" s="10"/>
    </row>
    <row r="148" spans="1:28" ht="147" customHeight="1">
      <c r="A148" s="92" t="s">
        <v>1023</v>
      </c>
      <c r="B148" s="93" t="s">
        <v>1165</v>
      </c>
      <c r="C148" s="117" t="s">
        <v>1177</v>
      </c>
      <c r="D148" s="149" t="s">
        <v>298</v>
      </c>
      <c r="E148" s="97">
        <v>2023</v>
      </c>
      <c r="F148" s="119">
        <v>1</v>
      </c>
      <c r="G148" s="119" t="e">
        <f>IF(Table683[[#This Row],[n]],1)*#REF!+IF(Table683[[#This Row],[Targets from Proposal]],1)+IF(Table683[[#This Row],[Targets from legal acts]],2)</f>
        <v>#REF!</v>
      </c>
      <c r="H148" s="119">
        <v>1</v>
      </c>
      <c r="I148" s="119"/>
      <c r="J148" s="119">
        <v>1</v>
      </c>
      <c r="K148" s="119" t="s">
        <v>1190</v>
      </c>
      <c r="L148" s="409" t="s">
        <v>2323</v>
      </c>
      <c r="M148" s="451" t="s">
        <v>1591</v>
      </c>
      <c r="N148" s="356" t="s">
        <v>2132</v>
      </c>
      <c r="AB148" s="10"/>
    </row>
    <row r="149" spans="1:28" ht="147" customHeight="1">
      <c r="A149" s="92" t="s">
        <v>1023</v>
      </c>
      <c r="B149" s="93" t="s">
        <v>1165</v>
      </c>
      <c r="C149" s="117" t="s">
        <v>1177</v>
      </c>
      <c r="D149" s="149" t="s">
        <v>298</v>
      </c>
      <c r="E149" s="97">
        <v>2023</v>
      </c>
      <c r="F149" s="119">
        <v>1</v>
      </c>
      <c r="G149" s="119" t="e">
        <f>IF(Table683[[#This Row],[n]],1)*#REF!+IF(Table683[[#This Row],[Targets from Proposal]],1)+IF(Table683[[#This Row],[Targets from legal acts]],2)</f>
        <v>#REF!</v>
      </c>
      <c r="H149" s="119">
        <v>1</v>
      </c>
      <c r="I149" s="119"/>
      <c r="J149" s="119">
        <v>1</v>
      </c>
      <c r="K149" s="119" t="s">
        <v>1192</v>
      </c>
      <c r="L149" s="409" t="s">
        <v>2325</v>
      </c>
      <c r="M149" s="451" t="s">
        <v>1591</v>
      </c>
      <c r="N149" s="356" t="s">
        <v>2132</v>
      </c>
      <c r="AB149" s="10"/>
    </row>
    <row r="150" spans="1:28" ht="147" customHeight="1">
      <c r="A150" s="92" t="s">
        <v>1023</v>
      </c>
      <c r="B150" s="93" t="s">
        <v>1165</v>
      </c>
      <c r="C150" s="117" t="s">
        <v>1177</v>
      </c>
      <c r="D150" s="149" t="s">
        <v>298</v>
      </c>
      <c r="E150" s="97">
        <v>2023</v>
      </c>
      <c r="F150" s="119">
        <v>1</v>
      </c>
      <c r="G150" s="119" t="e">
        <f>IF(Table683[[#This Row],[n]],1)*#REF!+IF(Table683[[#This Row],[Targets from Proposal]],1)+IF(Table683[[#This Row],[Targets from legal acts]],2)</f>
        <v>#REF!</v>
      </c>
      <c r="H150" s="119">
        <v>1</v>
      </c>
      <c r="I150" s="119"/>
      <c r="J150" s="119">
        <v>1</v>
      </c>
      <c r="K150" s="119" t="s">
        <v>1194</v>
      </c>
      <c r="L150" s="409" t="s">
        <v>2324</v>
      </c>
      <c r="M150" s="451" t="s">
        <v>1591</v>
      </c>
      <c r="N150" s="356" t="s">
        <v>2132</v>
      </c>
      <c r="AB150" s="10"/>
    </row>
    <row r="151" spans="1:28" ht="147" customHeight="1">
      <c r="A151" s="92" t="s">
        <v>1023</v>
      </c>
      <c r="B151" s="93" t="s">
        <v>1195</v>
      </c>
      <c r="C151" s="117" t="s">
        <v>1196</v>
      </c>
      <c r="D151" s="176" t="s">
        <v>321</v>
      </c>
      <c r="E151" s="97">
        <v>2021</v>
      </c>
      <c r="F151" s="119"/>
      <c r="G151" s="119"/>
      <c r="H151" s="119"/>
      <c r="I151" s="119"/>
      <c r="J151" s="119"/>
      <c r="K151" s="119" t="s">
        <v>1197</v>
      </c>
      <c r="L151" s="430"/>
      <c r="M151" s="206"/>
      <c r="N151" s="371"/>
      <c r="AB151" s="10"/>
    </row>
    <row r="152" spans="1:28" ht="147" customHeight="1">
      <c r="A152" s="92" t="s">
        <v>1023</v>
      </c>
      <c r="B152" s="93" t="s">
        <v>1195</v>
      </c>
      <c r="C152" s="117" t="s">
        <v>1127</v>
      </c>
      <c r="D152" s="176" t="s">
        <v>321</v>
      </c>
      <c r="E152" s="97">
        <v>2020</v>
      </c>
      <c r="F152" s="119">
        <v>0</v>
      </c>
      <c r="G152" s="119" t="e">
        <f>IF(Table683[[#This Row],[n]],1)*#REF!+IF(Table683[[#This Row],[Targets from Proposal]],1)+IF(Table683[[#This Row],[Targets from legal acts]],2)</f>
        <v>#REF!</v>
      </c>
      <c r="H152" s="119">
        <v>0</v>
      </c>
      <c r="I152" s="119">
        <v>0</v>
      </c>
      <c r="J152" s="119">
        <v>1</v>
      </c>
      <c r="K152" s="119" t="s">
        <v>1198</v>
      </c>
      <c r="L152" s="430" t="s">
        <v>1199</v>
      </c>
      <c r="M152" s="206"/>
      <c r="N152" s="356"/>
      <c r="AB152" s="10"/>
    </row>
    <row r="153" spans="1:28" ht="147" customHeight="1">
      <c r="A153" s="92" t="s">
        <v>1023</v>
      </c>
      <c r="B153" s="93" t="s">
        <v>1195</v>
      </c>
      <c r="C153" s="117" t="s">
        <v>1127</v>
      </c>
      <c r="D153" s="176" t="s">
        <v>321</v>
      </c>
      <c r="E153" s="97">
        <v>2020</v>
      </c>
      <c r="F153" s="119">
        <v>0</v>
      </c>
      <c r="G153" s="119" t="e">
        <f>IF(Table683[[#This Row],[n]],1)*#REF!+IF(Table683[[#This Row],[Targets from Proposal]],1)+IF(Table683[[#This Row],[Targets from legal acts]],2)</f>
        <v>#REF!</v>
      </c>
      <c r="H153" s="119">
        <v>0</v>
      </c>
      <c r="I153" s="119">
        <v>0</v>
      </c>
      <c r="J153" s="119">
        <v>1</v>
      </c>
      <c r="K153" s="119" t="s">
        <v>1202</v>
      </c>
      <c r="L153" s="430" t="s">
        <v>1203</v>
      </c>
      <c r="M153" s="206"/>
      <c r="N153" s="356"/>
      <c r="AB153" s="10"/>
    </row>
    <row r="154" spans="1:28" ht="147" customHeight="1">
      <c r="A154" s="92" t="s">
        <v>1023</v>
      </c>
      <c r="B154" s="93" t="s">
        <v>1195</v>
      </c>
      <c r="C154" s="117" t="s">
        <v>1127</v>
      </c>
      <c r="D154" s="176" t="s">
        <v>321</v>
      </c>
      <c r="E154" s="97">
        <v>2020</v>
      </c>
      <c r="F154" s="119">
        <v>0</v>
      </c>
      <c r="G154" s="119" t="e">
        <f>IF(Table683[[#This Row],[n]],1)*#REF!+IF(Table683[[#This Row],[Targets from Proposal]],1)+IF(Table683[[#This Row],[Targets from legal acts]],2)</f>
        <v>#REF!</v>
      </c>
      <c r="H154" s="119">
        <v>0</v>
      </c>
      <c r="I154" s="119">
        <v>0</v>
      </c>
      <c r="J154" s="119">
        <v>1</v>
      </c>
      <c r="K154" s="119" t="s">
        <v>1206</v>
      </c>
      <c r="L154" s="430" t="s">
        <v>1207</v>
      </c>
      <c r="M154" s="206"/>
      <c r="N154" s="356"/>
      <c r="AB154" s="10"/>
    </row>
    <row r="155" spans="1:28" ht="147" customHeight="1">
      <c r="A155" s="92" t="s">
        <v>1023</v>
      </c>
      <c r="B155" s="93" t="s">
        <v>1195</v>
      </c>
      <c r="C155" s="117" t="s">
        <v>1127</v>
      </c>
      <c r="D155" s="176" t="s">
        <v>321</v>
      </c>
      <c r="E155" s="97">
        <v>2020</v>
      </c>
      <c r="F155" s="97">
        <v>0</v>
      </c>
      <c r="G155" s="97" t="e">
        <f>IF(Table683[[#This Row],[n]],1)*#REF!+IF(Table683[[#This Row],[Targets from Proposal]],1)+IF(Table683[[#This Row],[Targets from legal acts]],2)</f>
        <v>#REF!</v>
      </c>
      <c r="H155" s="97">
        <v>0</v>
      </c>
      <c r="I155" s="97">
        <v>0</v>
      </c>
      <c r="J155" s="97">
        <v>1</v>
      </c>
      <c r="K155" s="97" t="s">
        <v>1210</v>
      </c>
      <c r="L155" s="390" t="s">
        <v>1211</v>
      </c>
      <c r="M155" s="165"/>
      <c r="N155" s="356"/>
      <c r="AB155" s="10"/>
    </row>
    <row r="156" spans="1:28" ht="147" customHeight="1" thickBot="1">
      <c r="A156" s="92" t="s">
        <v>1023</v>
      </c>
      <c r="B156" s="108" t="s">
        <v>1195</v>
      </c>
      <c r="C156" s="103" t="s">
        <v>1127</v>
      </c>
      <c r="D156" s="187" t="s">
        <v>321</v>
      </c>
      <c r="E156" s="104">
        <v>2020</v>
      </c>
      <c r="F156" s="104">
        <v>0</v>
      </c>
      <c r="G156" s="104" t="e">
        <f>IF(Table683[[#This Row],[n]],1)*#REF!+IF(Table683[[#This Row],[Targets from Proposal]],1)+IF(Table683[[#This Row],[Targets from legal acts]],2)</f>
        <v>#REF!</v>
      </c>
      <c r="H156" s="104">
        <v>0</v>
      </c>
      <c r="I156" s="104">
        <v>0</v>
      </c>
      <c r="J156" s="104">
        <v>1</v>
      </c>
      <c r="K156" s="104" t="s">
        <v>1213</v>
      </c>
      <c r="L156" s="431" t="s">
        <v>1214</v>
      </c>
      <c r="M156" s="171"/>
      <c r="N156" s="363"/>
      <c r="AB156" s="10"/>
    </row>
    <row r="157" spans="1:28" ht="147" customHeight="1">
      <c r="A157" s="92" t="s">
        <v>1023</v>
      </c>
      <c r="B157" s="93" t="s">
        <v>1215</v>
      </c>
      <c r="C157" s="125" t="s">
        <v>1216</v>
      </c>
      <c r="D157" s="188" t="s">
        <v>321</v>
      </c>
      <c r="E157" s="132">
        <v>2013</v>
      </c>
      <c r="F157" s="132"/>
      <c r="G157" s="132"/>
      <c r="H157" s="132"/>
      <c r="I157" s="132"/>
      <c r="J157" s="132"/>
      <c r="K157" s="132" t="s">
        <v>1217</v>
      </c>
      <c r="L157" s="406"/>
      <c r="M157" s="210"/>
      <c r="N157" s="372"/>
      <c r="AB157" s="10"/>
    </row>
    <row r="158" spans="1:28" ht="147" customHeight="1">
      <c r="A158" s="92" t="s">
        <v>1023</v>
      </c>
      <c r="B158" s="93" t="s">
        <v>1218</v>
      </c>
      <c r="C158" s="117" t="s">
        <v>1219</v>
      </c>
      <c r="D158" s="186" t="s">
        <v>321</v>
      </c>
      <c r="E158" s="43">
        <v>2021</v>
      </c>
      <c r="F158" s="43"/>
      <c r="G158" s="43"/>
      <c r="H158" s="43"/>
      <c r="I158" s="43"/>
      <c r="J158" s="43"/>
      <c r="K158" s="43" t="s">
        <v>1220</v>
      </c>
      <c r="L158" s="430"/>
      <c r="M158" s="206"/>
      <c r="N158" s="371"/>
      <c r="AB158" s="10"/>
    </row>
    <row r="159" spans="1:28" ht="147" customHeight="1">
      <c r="A159" s="92" t="s">
        <v>1023</v>
      </c>
      <c r="B159" s="93" t="s">
        <v>1218</v>
      </c>
      <c r="C159" s="117" t="s">
        <v>1127</v>
      </c>
      <c r="D159" s="186" t="s">
        <v>321</v>
      </c>
      <c r="E159" s="43">
        <v>2020</v>
      </c>
      <c r="F159" s="43">
        <v>0</v>
      </c>
      <c r="G159" s="43" t="e">
        <f>IF(Table683[[#This Row],[n]],1)*#REF!+IF(Table683[[#This Row],[Targets from Proposal]],1)+IF(Table683[[#This Row],[Targets from legal acts]],2)</f>
        <v>#REF!</v>
      </c>
      <c r="H159" s="43">
        <v>0</v>
      </c>
      <c r="I159" s="43">
        <v>0</v>
      </c>
      <c r="J159" s="43">
        <v>1</v>
      </c>
      <c r="K159" s="43" t="s">
        <v>1221</v>
      </c>
      <c r="L159" s="390" t="s">
        <v>1222</v>
      </c>
      <c r="M159" s="165"/>
      <c r="N159" s="356"/>
      <c r="AB159" s="10"/>
    </row>
    <row r="160" spans="1:28" ht="147" customHeight="1">
      <c r="A160" s="92" t="s">
        <v>1023</v>
      </c>
      <c r="B160" s="93" t="s">
        <v>1218</v>
      </c>
      <c r="C160" s="117" t="s">
        <v>1127</v>
      </c>
      <c r="D160" s="186" t="s">
        <v>321</v>
      </c>
      <c r="E160" s="43">
        <v>2020</v>
      </c>
      <c r="F160" s="43">
        <v>0</v>
      </c>
      <c r="G160" s="43" t="e">
        <f>IF(Table683[[#This Row],[n]],1)*#REF!+IF(Table683[[#This Row],[Targets from Proposal]],1)+IF(Table683[[#This Row],[Targets from legal acts]],2)</f>
        <v>#REF!</v>
      </c>
      <c r="H160" s="43">
        <v>0</v>
      </c>
      <c r="I160" s="43">
        <v>0</v>
      </c>
      <c r="J160" s="43">
        <v>1</v>
      </c>
      <c r="K160" s="43" t="s">
        <v>1223</v>
      </c>
      <c r="L160" s="430" t="s">
        <v>1224</v>
      </c>
      <c r="M160" s="206"/>
      <c r="N160" s="371"/>
      <c r="AB160" s="10"/>
    </row>
    <row r="161" spans="1:28" ht="147" customHeight="1">
      <c r="A161" s="92" t="s">
        <v>1023</v>
      </c>
      <c r="B161" s="93" t="s">
        <v>1218</v>
      </c>
      <c r="C161" s="117" t="s">
        <v>1127</v>
      </c>
      <c r="D161" s="186" t="s">
        <v>321</v>
      </c>
      <c r="E161" s="43">
        <v>2020</v>
      </c>
      <c r="F161" s="43">
        <v>0</v>
      </c>
      <c r="G161" s="43" t="e">
        <f>IF(Table683[[#This Row],[n]],1)*#REF!+IF(Table683[[#This Row],[Targets from Proposal]],1)+IF(Table683[[#This Row],[Targets from legal acts]],2)</f>
        <v>#REF!</v>
      </c>
      <c r="H161" s="43">
        <v>0</v>
      </c>
      <c r="I161" s="43">
        <v>0</v>
      </c>
      <c r="J161" s="43">
        <v>1</v>
      </c>
      <c r="K161" s="43" t="s">
        <v>1226</v>
      </c>
      <c r="L161" s="390" t="s">
        <v>1227</v>
      </c>
      <c r="M161" s="317"/>
      <c r="N161" s="373"/>
      <c r="AB161" s="10"/>
    </row>
    <row r="162" spans="1:28" ht="147" customHeight="1" thickBot="1">
      <c r="A162" s="92" t="s">
        <v>1023</v>
      </c>
      <c r="B162" s="108" t="s">
        <v>1218</v>
      </c>
      <c r="C162" s="103" t="s">
        <v>1127</v>
      </c>
      <c r="D162" s="187" t="s">
        <v>321</v>
      </c>
      <c r="E162" s="104">
        <v>2020</v>
      </c>
      <c r="F162" s="104">
        <v>0</v>
      </c>
      <c r="G162" s="104" t="e">
        <f>IF(Table683[[#This Row],[n]],1)*#REF!+IF(Table683[[#This Row],[Targets from Proposal]],1)+IF(Table683[[#This Row],[Targets from legal acts]],2)</f>
        <v>#REF!</v>
      </c>
      <c r="H162" s="104">
        <v>0</v>
      </c>
      <c r="I162" s="104">
        <v>0</v>
      </c>
      <c r="J162" s="104">
        <v>1</v>
      </c>
      <c r="K162" s="104" t="s">
        <v>1226</v>
      </c>
      <c r="L162" s="431" t="s">
        <v>1228</v>
      </c>
      <c r="M162" s="171"/>
      <c r="N162" s="374"/>
      <c r="AB162" s="10"/>
    </row>
    <row r="163" spans="1:28" ht="147" customHeight="1">
      <c r="A163" s="92" t="s">
        <v>1023</v>
      </c>
      <c r="B163" s="93" t="s">
        <v>1218</v>
      </c>
      <c r="C163" s="98" t="s">
        <v>1127</v>
      </c>
      <c r="D163" s="184" t="s">
        <v>321</v>
      </c>
      <c r="E163" s="99">
        <v>2020</v>
      </c>
      <c r="F163" s="99">
        <v>0</v>
      </c>
      <c r="G163" s="99" t="e">
        <f>IF(Table683[[#This Row],[n]],1)*#REF!+IF(Table683[[#This Row],[Targets from Proposal]],1)+IF(Table683[[#This Row],[Targets from legal acts]],2)</f>
        <v>#REF!</v>
      </c>
      <c r="H163" s="99">
        <v>0</v>
      </c>
      <c r="I163" s="99">
        <v>0</v>
      </c>
      <c r="J163" s="99">
        <v>1</v>
      </c>
      <c r="K163" s="99" t="s">
        <v>1229</v>
      </c>
      <c r="L163" s="419" t="s">
        <v>1230</v>
      </c>
      <c r="M163" s="49"/>
      <c r="N163" s="349"/>
      <c r="AB163" s="10"/>
    </row>
    <row r="164" spans="1:28" ht="147" customHeight="1">
      <c r="A164" s="92" t="s">
        <v>1023</v>
      </c>
      <c r="B164" s="93" t="s">
        <v>1218</v>
      </c>
      <c r="C164" s="101" t="s">
        <v>1231</v>
      </c>
      <c r="D164" s="151" t="s">
        <v>110</v>
      </c>
      <c r="E164" s="102">
        <v>2022</v>
      </c>
      <c r="F164" s="102"/>
      <c r="G164" s="102"/>
      <c r="H164" s="102"/>
      <c r="I164" s="102"/>
      <c r="J164" s="102"/>
      <c r="K164" s="102" t="s">
        <v>1232</v>
      </c>
      <c r="L164" s="391" t="s">
        <v>1233</v>
      </c>
      <c r="M164" s="314"/>
      <c r="N164" s="358"/>
      <c r="AB164" s="10"/>
    </row>
    <row r="165" spans="1:28" ht="147" customHeight="1">
      <c r="A165" s="92" t="s">
        <v>1023</v>
      </c>
      <c r="B165" s="93" t="s">
        <v>1215</v>
      </c>
      <c r="C165" s="120" t="s">
        <v>1216</v>
      </c>
      <c r="D165" s="189" t="s">
        <v>321</v>
      </c>
      <c r="E165" s="121">
        <v>2013</v>
      </c>
      <c r="F165" s="121"/>
      <c r="G165" s="121"/>
      <c r="H165" s="121"/>
      <c r="I165" s="121"/>
      <c r="J165" s="121"/>
      <c r="K165" s="121" t="s">
        <v>1234</v>
      </c>
      <c r="L165" s="414"/>
      <c r="M165" s="293"/>
      <c r="N165" s="359"/>
      <c r="AB165" s="10"/>
    </row>
    <row r="166" spans="1:28" ht="147" customHeight="1">
      <c r="A166" s="92" t="s">
        <v>1023</v>
      </c>
      <c r="B166" s="93" t="s">
        <v>1235</v>
      </c>
      <c r="C166" s="30" t="s">
        <v>1136</v>
      </c>
      <c r="D166" s="260" t="s">
        <v>101</v>
      </c>
      <c r="E166" s="122">
        <v>2023</v>
      </c>
      <c r="F166" s="122"/>
      <c r="G166" s="122"/>
      <c r="H166" s="122"/>
      <c r="I166" s="122"/>
      <c r="J166" s="122"/>
      <c r="K166" s="122" t="s">
        <v>1236</v>
      </c>
      <c r="L166" s="432"/>
      <c r="M166" s="292"/>
      <c r="N166" s="375"/>
      <c r="AB166" s="10"/>
    </row>
    <row r="167" spans="1:28" ht="147" customHeight="1">
      <c r="A167" s="92" t="s">
        <v>1023</v>
      </c>
      <c r="B167" s="93" t="s">
        <v>1135</v>
      </c>
      <c r="C167" s="96" t="s">
        <v>1127</v>
      </c>
      <c r="D167" s="176" t="s">
        <v>321</v>
      </c>
      <c r="E167" s="97">
        <v>2020</v>
      </c>
      <c r="F167" s="97">
        <v>0</v>
      </c>
      <c r="G167" s="97" t="e">
        <f>IF(Table683[[#This Row],[n]],1)*#REF!+IF(Table683[[#This Row],[Targets from Proposal]],1)+IF(Table683[[#This Row],[Targets from legal acts]],2)</f>
        <v>#REF!</v>
      </c>
      <c r="H167" s="97">
        <v>0</v>
      </c>
      <c r="I167" s="97">
        <v>0</v>
      </c>
      <c r="J167" s="97">
        <v>1</v>
      </c>
      <c r="K167" s="97" t="s">
        <v>1237</v>
      </c>
      <c r="L167" s="390" t="s">
        <v>1238</v>
      </c>
      <c r="M167" s="165"/>
      <c r="N167" s="356"/>
      <c r="AB167" s="10"/>
    </row>
    <row r="168" spans="1:28" ht="147" customHeight="1">
      <c r="A168" s="92" t="s">
        <v>1023</v>
      </c>
      <c r="B168" s="93" t="s">
        <v>1135</v>
      </c>
      <c r="C168" s="96" t="s">
        <v>1127</v>
      </c>
      <c r="D168" s="176" t="s">
        <v>321</v>
      </c>
      <c r="E168" s="97">
        <v>2020</v>
      </c>
      <c r="F168" s="97">
        <v>0</v>
      </c>
      <c r="G168" s="97" t="e">
        <f>IF(Table683[[#This Row],[n]],1)*#REF!+IF(Table683[[#This Row],[Targets from Proposal]],1)+IF(Table683[[#This Row],[Targets from legal acts]],2)</f>
        <v>#REF!</v>
      </c>
      <c r="H168" s="97">
        <v>0</v>
      </c>
      <c r="I168" s="97">
        <v>0</v>
      </c>
      <c r="J168" s="97">
        <v>1</v>
      </c>
      <c r="K168" s="97" t="s">
        <v>1239</v>
      </c>
      <c r="L168" s="390" t="s">
        <v>1240</v>
      </c>
      <c r="M168" s="165"/>
      <c r="N168" s="356"/>
      <c r="AB168" s="10"/>
    </row>
    <row r="169" spans="1:28" ht="147" customHeight="1">
      <c r="A169" s="92" t="s">
        <v>1023</v>
      </c>
      <c r="B169" s="93" t="s">
        <v>1135</v>
      </c>
      <c r="C169" s="96" t="s">
        <v>1127</v>
      </c>
      <c r="D169" s="184" t="s">
        <v>321</v>
      </c>
      <c r="E169" s="99">
        <v>2020</v>
      </c>
      <c r="F169" s="99">
        <v>0</v>
      </c>
      <c r="G169" s="99" t="e">
        <f>IF(Table683[[#This Row],[n]],1)*#REF!+IF(Table683[[#This Row],[Targets from Proposal]],1)+IF(Table683[[#This Row],[Targets from legal acts]],2)</f>
        <v>#REF!</v>
      </c>
      <c r="H169" s="99">
        <v>0</v>
      </c>
      <c r="I169" s="99">
        <v>0</v>
      </c>
      <c r="J169" s="99">
        <v>1</v>
      </c>
      <c r="K169" s="99" t="s">
        <v>1202</v>
      </c>
      <c r="L169" s="419" t="s">
        <v>1241</v>
      </c>
      <c r="M169" s="49"/>
      <c r="N169" s="349"/>
      <c r="AB169" s="10"/>
    </row>
    <row r="170" spans="1:28" ht="147" customHeight="1" thickBot="1">
      <c r="A170" s="92" t="s">
        <v>1023</v>
      </c>
      <c r="B170" s="108" t="s">
        <v>1135</v>
      </c>
      <c r="C170" s="103" t="s">
        <v>1127</v>
      </c>
      <c r="D170" s="187" t="s">
        <v>321</v>
      </c>
      <c r="E170" s="104">
        <v>2020</v>
      </c>
      <c r="F170" s="104">
        <v>0</v>
      </c>
      <c r="G170" s="104" t="e">
        <f>IF(Table683[[#This Row],[n]],1)*#REF!+IF(Table683[[#This Row],[Targets from Proposal]],1)+IF(Table683[[#This Row],[Targets from legal acts]],2)</f>
        <v>#REF!</v>
      </c>
      <c r="H170" s="104">
        <v>0</v>
      </c>
      <c r="I170" s="104">
        <v>0</v>
      </c>
      <c r="J170" s="104">
        <v>1</v>
      </c>
      <c r="K170" s="104" t="s">
        <v>1242</v>
      </c>
      <c r="L170" s="431" t="s">
        <v>1243</v>
      </c>
      <c r="M170" s="171"/>
      <c r="N170" s="363"/>
      <c r="AB170" s="10"/>
    </row>
    <row r="171" spans="1:28" ht="147" customHeight="1" thickBot="1">
      <c r="A171" s="92" t="s">
        <v>1023</v>
      </c>
      <c r="B171" s="109" t="s">
        <v>1135</v>
      </c>
      <c r="C171" s="110" t="s">
        <v>1127</v>
      </c>
      <c r="D171" s="190" t="s">
        <v>321</v>
      </c>
      <c r="E171" s="111">
        <v>2020</v>
      </c>
      <c r="F171" s="111">
        <v>0</v>
      </c>
      <c r="G171" s="111" t="e">
        <f>IF(Table683[[#This Row],[n]],1)*#REF!+IF(Table683[[#This Row],[Targets from Proposal]],1)+IF(Table683[[#This Row],[Targets from legal acts]],2)</f>
        <v>#REF!</v>
      </c>
      <c r="H171" s="111">
        <v>0</v>
      </c>
      <c r="I171" s="111">
        <v>0</v>
      </c>
      <c r="J171" s="111">
        <v>1</v>
      </c>
      <c r="K171" s="111" t="s">
        <v>1245</v>
      </c>
      <c r="L171" s="433" t="s">
        <v>1246</v>
      </c>
      <c r="M171" s="291"/>
      <c r="N171" s="376"/>
      <c r="AB171" s="10"/>
    </row>
    <row r="172" spans="1:28" ht="147" customHeight="1" thickBot="1">
      <c r="A172" s="92" t="s">
        <v>1023</v>
      </c>
      <c r="B172" s="109" t="s">
        <v>1135</v>
      </c>
      <c r="C172" s="110" t="s">
        <v>1247</v>
      </c>
      <c r="D172" s="190" t="s">
        <v>321</v>
      </c>
      <c r="E172" s="111">
        <v>2021</v>
      </c>
      <c r="F172" s="111">
        <v>0</v>
      </c>
      <c r="G172" s="111" t="e">
        <f>IF(Table683[[#This Row],[n]],1)*#REF!+IF(Table683[[#This Row],[Targets from Proposal]],1)+IF(Table683[[#This Row],[Targets from legal acts]],2)</f>
        <v>#REF!</v>
      </c>
      <c r="H172" s="111">
        <v>0</v>
      </c>
      <c r="I172" s="111">
        <v>0</v>
      </c>
      <c r="J172" s="111">
        <v>1</v>
      </c>
      <c r="K172" s="111" t="s">
        <v>1248</v>
      </c>
      <c r="L172" s="411" t="s">
        <v>2334</v>
      </c>
      <c r="M172" s="395" t="s">
        <v>2335</v>
      </c>
      <c r="N172" s="376" t="s">
        <v>2132</v>
      </c>
      <c r="AB172" s="10"/>
    </row>
    <row r="173" spans="1:28" ht="147" customHeight="1">
      <c r="A173" s="90" t="s">
        <v>1023</v>
      </c>
      <c r="B173" s="54" t="s">
        <v>1135</v>
      </c>
      <c r="C173" s="82" t="s">
        <v>1250</v>
      </c>
      <c r="D173" s="258" t="s">
        <v>321</v>
      </c>
      <c r="E173" s="83">
        <v>2021</v>
      </c>
      <c r="F173" s="83">
        <v>0</v>
      </c>
      <c r="G173" s="83" t="e">
        <f>IF(Table683[[#This Row],[n]],1)*#REF!+IF(Table683[[#This Row],[Targets from Proposal]],1)+IF(Table683[[#This Row],[Targets from legal acts]],2)</f>
        <v>#REF!</v>
      </c>
      <c r="H173" s="83">
        <v>0</v>
      </c>
      <c r="I173" s="83">
        <v>0</v>
      </c>
      <c r="J173" s="83">
        <v>1</v>
      </c>
      <c r="K173" s="83" t="s">
        <v>1251</v>
      </c>
      <c r="L173" s="426" t="s">
        <v>1252</v>
      </c>
      <c r="M173" s="209"/>
      <c r="N173" s="365"/>
      <c r="AB173" s="10"/>
    </row>
    <row r="174" spans="1:28" ht="147" customHeight="1">
      <c r="A174" s="90" t="s">
        <v>1023</v>
      </c>
      <c r="B174" s="54" t="s">
        <v>1135</v>
      </c>
      <c r="C174" s="25" t="s">
        <v>1250</v>
      </c>
      <c r="D174" s="172" t="s">
        <v>321</v>
      </c>
      <c r="E174" s="55">
        <v>2021</v>
      </c>
      <c r="F174" s="55">
        <v>0</v>
      </c>
      <c r="G174" s="55" t="e">
        <f>IF(Table683[[#This Row],[n]],1)*#REF!+IF(Table683[[#This Row],[Targets from Proposal]],1)+IF(Table683[[#This Row],[Targets from legal acts]],2)</f>
        <v>#REF!</v>
      </c>
      <c r="H174" s="55">
        <v>0</v>
      </c>
      <c r="I174" s="55">
        <v>0</v>
      </c>
      <c r="J174" s="55">
        <v>1</v>
      </c>
      <c r="K174" s="55" t="s">
        <v>1254</v>
      </c>
      <c r="L174" s="390" t="s">
        <v>1255</v>
      </c>
      <c r="M174" s="165"/>
      <c r="N174" s="348"/>
      <c r="AB174" s="10"/>
    </row>
    <row r="175" spans="1:28" ht="147" customHeight="1">
      <c r="A175" s="90" t="s">
        <v>1023</v>
      </c>
      <c r="B175" s="54" t="s">
        <v>1135</v>
      </c>
      <c r="C175" s="25" t="s">
        <v>1250</v>
      </c>
      <c r="D175" s="172" t="s">
        <v>321</v>
      </c>
      <c r="E175" s="55">
        <v>2021</v>
      </c>
      <c r="F175" s="55">
        <v>0</v>
      </c>
      <c r="G175" s="55" t="e">
        <f>IF(Table683[[#This Row],[n]],1)*#REF!+IF(Table683[[#This Row],[Targets from Proposal]],1)+IF(Table683[[#This Row],[Targets from legal acts]],2)</f>
        <v>#REF!</v>
      </c>
      <c r="H175" s="55">
        <v>0</v>
      </c>
      <c r="I175" s="55">
        <v>0</v>
      </c>
      <c r="J175" s="55">
        <v>1</v>
      </c>
      <c r="K175" s="55" t="s">
        <v>1256</v>
      </c>
      <c r="L175" s="390" t="s">
        <v>1257</v>
      </c>
      <c r="M175" s="165"/>
      <c r="N175" s="348"/>
      <c r="AB175" s="10"/>
    </row>
    <row r="176" spans="1:28" ht="147" customHeight="1">
      <c r="A176" s="90" t="s">
        <v>1258</v>
      </c>
      <c r="B176" s="20" t="s">
        <v>1259</v>
      </c>
      <c r="C176" s="25" t="s">
        <v>1260</v>
      </c>
      <c r="D176" s="172" t="s">
        <v>321</v>
      </c>
      <c r="E176" s="55">
        <v>2020</v>
      </c>
      <c r="F176" s="55"/>
      <c r="G176" s="55"/>
      <c r="H176" s="55"/>
      <c r="I176" s="55"/>
      <c r="J176" s="55"/>
      <c r="K176" s="55" t="s">
        <v>1261</v>
      </c>
      <c r="L176" s="424"/>
      <c r="M176" s="309"/>
      <c r="N176" s="348"/>
      <c r="AB176" s="10"/>
    </row>
    <row r="177" spans="1:64" ht="147" customHeight="1">
      <c r="A177" s="90" t="s">
        <v>1258</v>
      </c>
      <c r="B177" s="20" t="s">
        <v>1259</v>
      </c>
      <c r="C177" s="69" t="s">
        <v>1260</v>
      </c>
      <c r="D177" s="177" t="s">
        <v>321</v>
      </c>
      <c r="E177" s="76">
        <v>2020</v>
      </c>
      <c r="F177" s="76">
        <v>0</v>
      </c>
      <c r="G177" s="76" t="e">
        <f>IF(Table683[[#This Row],[n]],1)*#REF!+IF(Table683[[#This Row],[Targets from Proposal]],1)+IF(Table683[[#This Row],[Targets from legal acts]],2)</f>
        <v>#REF!</v>
      </c>
      <c r="H177" s="76">
        <v>0</v>
      </c>
      <c r="I177" s="76">
        <v>0</v>
      </c>
      <c r="J177" s="76">
        <v>1</v>
      </c>
      <c r="K177" s="76" t="s">
        <v>1263</v>
      </c>
      <c r="L177" s="415" t="s">
        <v>2338</v>
      </c>
      <c r="M177" s="311" t="s">
        <v>2339</v>
      </c>
      <c r="N177" s="355" t="s">
        <v>2130</v>
      </c>
      <c r="AB177" s="10"/>
    </row>
    <row r="178" spans="1:64" ht="147" customHeight="1" thickBot="1">
      <c r="A178" s="91" t="s">
        <v>1258</v>
      </c>
      <c r="B178" s="60" t="s">
        <v>1259</v>
      </c>
      <c r="C178" s="63" t="s">
        <v>1260</v>
      </c>
      <c r="D178" s="191" t="s">
        <v>321</v>
      </c>
      <c r="E178" s="77">
        <v>2020</v>
      </c>
      <c r="F178" s="77">
        <v>0</v>
      </c>
      <c r="G178" s="77" t="e">
        <f>IF(Table683[[#This Row],[n]],1)*#REF!+IF(Table683[[#This Row],[Targets from Proposal]],1)+IF(Table683[[#This Row],[Targets from legal acts]],2)</f>
        <v>#REF!</v>
      </c>
      <c r="H178" s="77">
        <v>0</v>
      </c>
      <c r="I178" s="77">
        <v>0</v>
      </c>
      <c r="J178" s="77">
        <v>1</v>
      </c>
      <c r="K178" s="77" t="s">
        <v>1270</v>
      </c>
      <c r="L178" s="417" t="s">
        <v>2344</v>
      </c>
      <c r="M178" s="207" t="s">
        <v>2345</v>
      </c>
      <c r="N178" s="360" t="s">
        <v>2127</v>
      </c>
      <c r="AB178" s="10"/>
    </row>
    <row r="179" spans="1:64" s="12" customFormat="1" ht="147" customHeight="1" thickTop="1" thickBot="1">
      <c r="A179" s="90" t="s">
        <v>1258</v>
      </c>
      <c r="B179" s="20" t="s">
        <v>1259</v>
      </c>
      <c r="C179" s="80" t="s">
        <v>1260</v>
      </c>
      <c r="D179" s="192" t="s">
        <v>321</v>
      </c>
      <c r="E179" s="81">
        <v>2020</v>
      </c>
      <c r="F179" s="81">
        <v>0</v>
      </c>
      <c r="G179" s="81" t="e">
        <f>IF(Table683[[#This Row],[n]],1)*#REF!+IF(Table683[[#This Row],[Targets from Proposal]],1)+IF(Table683[[#This Row],[Targets from legal acts]],2)</f>
        <v>#REF!</v>
      </c>
      <c r="H179" s="81">
        <v>0</v>
      </c>
      <c r="I179" s="81">
        <v>0</v>
      </c>
      <c r="J179" s="81">
        <v>1</v>
      </c>
      <c r="K179" s="81" t="s">
        <v>1275</v>
      </c>
      <c r="L179" s="450" t="s">
        <v>2342</v>
      </c>
      <c r="M179" s="318" t="s">
        <v>2343</v>
      </c>
      <c r="N179" s="361" t="s">
        <v>2127</v>
      </c>
      <c r="O179" s="10"/>
      <c r="P179" s="10"/>
      <c r="Q179" s="10"/>
      <c r="R179" s="10"/>
      <c r="S179" s="10"/>
      <c r="T179" s="10"/>
      <c r="U179" s="10"/>
      <c r="V179" s="10"/>
      <c r="W179" s="10"/>
      <c r="X179" s="10"/>
      <c r="Y179" s="10"/>
      <c r="Z179" s="10"/>
      <c r="AA179" s="10"/>
      <c r="AB179" s="10"/>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row>
    <row r="180" spans="1:64" ht="147" customHeight="1">
      <c r="A180" s="90" t="s">
        <v>1258</v>
      </c>
      <c r="B180" s="20" t="s">
        <v>1259</v>
      </c>
      <c r="C180" s="25" t="s">
        <v>1260</v>
      </c>
      <c r="D180" s="172" t="s">
        <v>321</v>
      </c>
      <c r="E180" s="55">
        <v>2020</v>
      </c>
      <c r="F180" s="55">
        <v>0</v>
      </c>
      <c r="G180" s="55" t="e">
        <f>IF(Table683[[#This Row],[n]],1)*#REF!+IF(Table683[[#This Row],[Targets from Proposal]],1)+IF(Table683[[#This Row],[Targets from legal acts]],2)</f>
        <v>#REF!</v>
      </c>
      <c r="H180" s="55">
        <v>0</v>
      </c>
      <c r="I180" s="55">
        <v>0</v>
      </c>
      <c r="J180" s="55">
        <v>1</v>
      </c>
      <c r="K180" s="55" t="s">
        <v>1278</v>
      </c>
      <c r="L180" s="399" t="s">
        <v>2340</v>
      </c>
      <c r="M180" s="319" t="s">
        <v>2341</v>
      </c>
      <c r="N180" s="348" t="s">
        <v>2130</v>
      </c>
      <c r="AB180" s="10"/>
    </row>
    <row r="181" spans="1:64" ht="147" customHeight="1">
      <c r="A181" s="90" t="s">
        <v>1258</v>
      </c>
      <c r="B181" s="20" t="s">
        <v>1259</v>
      </c>
      <c r="C181" s="25" t="s">
        <v>1260</v>
      </c>
      <c r="D181" s="172" t="s">
        <v>321</v>
      </c>
      <c r="E181" s="55">
        <v>2020</v>
      </c>
      <c r="F181" s="55">
        <v>0</v>
      </c>
      <c r="G181" s="55" t="e">
        <f>IF(Table683[[#This Row],[n]],1)*#REF!+IF(Table683[[#This Row],[Targets from Proposal]],1)+IF(Table683[[#This Row],[Targets from legal acts]],2)</f>
        <v>#REF!</v>
      </c>
      <c r="H181" s="55">
        <v>0</v>
      </c>
      <c r="I181" s="55">
        <v>0</v>
      </c>
      <c r="J181" s="55">
        <v>1</v>
      </c>
      <c r="K181" s="55" t="s">
        <v>1280</v>
      </c>
      <c r="L181" s="399" t="s">
        <v>2356</v>
      </c>
      <c r="M181" s="319" t="s">
        <v>2357</v>
      </c>
      <c r="N181" s="348"/>
      <c r="AB181" s="10"/>
    </row>
    <row r="182" spans="1:64" ht="147" customHeight="1">
      <c r="A182" s="90" t="s">
        <v>1258</v>
      </c>
      <c r="B182" s="20" t="s">
        <v>1259</v>
      </c>
      <c r="C182" s="25" t="s">
        <v>1260</v>
      </c>
      <c r="D182" s="172" t="s">
        <v>321</v>
      </c>
      <c r="E182" s="26">
        <v>2020</v>
      </c>
      <c r="F182" s="55">
        <v>0</v>
      </c>
      <c r="G182" s="55" t="e">
        <f>IF(Table683[[#This Row],[n]],1)*#REF!+IF(Table683[[#This Row],[Targets from Proposal]],1)+IF(Table683[[#This Row],[Targets from legal acts]],2)</f>
        <v>#REF!</v>
      </c>
      <c r="H182" s="55">
        <v>0</v>
      </c>
      <c r="I182" s="55">
        <v>0</v>
      </c>
      <c r="J182" s="55">
        <v>1</v>
      </c>
      <c r="K182" s="55" t="s">
        <v>1285</v>
      </c>
      <c r="L182" s="399" t="s">
        <v>2352</v>
      </c>
      <c r="M182" s="165" t="s">
        <v>2353</v>
      </c>
      <c r="N182" s="348"/>
      <c r="AB182" s="10"/>
    </row>
    <row r="183" spans="1:64" ht="147" customHeight="1">
      <c r="A183" s="90" t="s">
        <v>1258</v>
      </c>
      <c r="B183" s="20" t="s">
        <v>1259</v>
      </c>
      <c r="C183" s="25" t="s">
        <v>1260</v>
      </c>
      <c r="D183" s="172" t="s">
        <v>321</v>
      </c>
      <c r="E183" s="26">
        <v>2020</v>
      </c>
      <c r="F183" s="55">
        <v>0</v>
      </c>
      <c r="G183" s="55" t="e">
        <f>IF(Table683[[#This Row],[n]],1)*#REF!+IF(Table683[[#This Row],[Targets from Proposal]],1)+IF(Table683[[#This Row],[Targets from legal acts]],2)</f>
        <v>#REF!</v>
      </c>
      <c r="H183" s="55">
        <v>0</v>
      </c>
      <c r="I183" s="55">
        <v>0</v>
      </c>
      <c r="J183" s="55">
        <v>1</v>
      </c>
      <c r="K183" s="55" t="s">
        <v>1287</v>
      </c>
      <c r="L183" s="399" t="s">
        <v>2354</v>
      </c>
      <c r="M183" s="165" t="s">
        <v>2355</v>
      </c>
      <c r="N183" s="348"/>
      <c r="AB183" s="10"/>
    </row>
    <row r="184" spans="1:64" ht="147" customHeight="1">
      <c r="A184" s="90" t="s">
        <v>1258</v>
      </c>
      <c r="B184" s="20" t="s">
        <v>1259</v>
      </c>
      <c r="C184" s="69" t="s">
        <v>1260</v>
      </c>
      <c r="D184" s="177" t="s">
        <v>321</v>
      </c>
      <c r="E184" s="40">
        <v>2020</v>
      </c>
      <c r="F184" s="76">
        <v>0</v>
      </c>
      <c r="G184" s="76" t="e">
        <f>IF(Table683[[#This Row],[n]],1)*#REF!+IF(Table683[[#This Row],[Targets from Proposal]],1)+IF(Table683[[#This Row],[Targets from legal acts]],2)</f>
        <v>#REF!</v>
      </c>
      <c r="H184" s="76">
        <v>0</v>
      </c>
      <c r="I184" s="76">
        <v>0</v>
      </c>
      <c r="J184" s="76">
        <v>1</v>
      </c>
      <c r="K184" s="76" t="s">
        <v>1289</v>
      </c>
      <c r="L184" s="415" t="s">
        <v>2346</v>
      </c>
      <c r="M184" s="320" t="s">
        <v>2347</v>
      </c>
      <c r="N184" s="355" t="s">
        <v>2127</v>
      </c>
      <c r="AB184" s="10"/>
    </row>
    <row r="185" spans="1:64" ht="147" customHeight="1">
      <c r="A185" s="90" t="s">
        <v>1258</v>
      </c>
      <c r="B185" s="20" t="s">
        <v>1259</v>
      </c>
      <c r="C185" s="69" t="s">
        <v>1260</v>
      </c>
      <c r="D185" s="177" t="s">
        <v>321</v>
      </c>
      <c r="E185" s="23">
        <v>2020</v>
      </c>
      <c r="F185" s="73">
        <v>0</v>
      </c>
      <c r="G185" s="73" t="e">
        <f>IF(Table683[[#This Row],[n]],1)*#REF!+IF(Table683[[#This Row],[Targets from Proposal]],1)+IF(Table683[[#This Row],[Targets from legal acts]],2)</f>
        <v>#REF!</v>
      </c>
      <c r="H185" s="73">
        <v>0</v>
      </c>
      <c r="I185" s="73">
        <v>0</v>
      </c>
      <c r="J185" s="73">
        <v>1</v>
      </c>
      <c r="K185" s="281" t="s">
        <v>1290</v>
      </c>
      <c r="L185" s="408" t="s">
        <v>2358</v>
      </c>
      <c r="M185" s="49" t="s">
        <v>2359</v>
      </c>
      <c r="N185" s="348"/>
      <c r="AB185" s="10"/>
    </row>
    <row r="186" spans="1:64" ht="147" customHeight="1">
      <c r="A186" s="90" t="s">
        <v>1258</v>
      </c>
      <c r="B186" s="20" t="s">
        <v>1259</v>
      </c>
      <c r="C186" s="69" t="s">
        <v>1260</v>
      </c>
      <c r="D186" s="177" t="s">
        <v>321</v>
      </c>
      <c r="E186" s="23">
        <v>2020</v>
      </c>
      <c r="F186" s="73">
        <v>0</v>
      </c>
      <c r="G186" s="73" t="e">
        <f>IF(Table683[[#This Row],[n]],1)*#REF!+IF(Table683[[#This Row],[Targets from Proposal]],1)+IF(Table683[[#This Row],[Targets from legal acts]],2)</f>
        <v>#REF!</v>
      </c>
      <c r="H186" s="73">
        <v>0</v>
      </c>
      <c r="I186" s="73">
        <v>0</v>
      </c>
      <c r="J186" s="73">
        <v>1</v>
      </c>
      <c r="K186" s="73" t="s">
        <v>1292</v>
      </c>
      <c r="L186" s="408" t="s">
        <v>2360</v>
      </c>
      <c r="M186" s="49" t="s">
        <v>2361</v>
      </c>
      <c r="N186" s="348"/>
      <c r="AB186" s="10"/>
    </row>
    <row r="187" spans="1:64" ht="147" customHeight="1">
      <c r="A187" s="90" t="s">
        <v>1258</v>
      </c>
      <c r="B187" s="20" t="s">
        <v>1259</v>
      </c>
      <c r="C187" s="69" t="s">
        <v>1260</v>
      </c>
      <c r="D187" s="177" t="s">
        <v>321</v>
      </c>
      <c r="E187" s="23">
        <v>2020</v>
      </c>
      <c r="F187" s="73">
        <v>0</v>
      </c>
      <c r="G187" s="73" t="e">
        <f>IF(Table683[[#This Row],[n]],1)*#REF!+IF(Table683[[#This Row],[Targets from Proposal]],1)+IF(Table683[[#This Row],[Targets from legal acts]],2)</f>
        <v>#REF!</v>
      </c>
      <c r="H187" s="73">
        <v>0</v>
      </c>
      <c r="I187" s="73">
        <v>0</v>
      </c>
      <c r="J187" s="73">
        <v>1</v>
      </c>
      <c r="K187" s="73" t="s">
        <v>1294</v>
      </c>
      <c r="L187" s="408" t="s">
        <v>2363</v>
      </c>
      <c r="M187" s="49" t="s">
        <v>2362</v>
      </c>
      <c r="N187" s="348"/>
      <c r="AB187" s="10"/>
    </row>
    <row r="188" spans="1:64" ht="147" customHeight="1">
      <c r="A188" s="90" t="s">
        <v>1258</v>
      </c>
      <c r="B188" s="20" t="s">
        <v>1259</v>
      </c>
      <c r="C188" s="69" t="s">
        <v>1260</v>
      </c>
      <c r="D188" s="177" t="s">
        <v>321</v>
      </c>
      <c r="E188" s="23">
        <v>2020</v>
      </c>
      <c r="F188" s="73">
        <v>0</v>
      </c>
      <c r="G188" s="73" t="e">
        <f>IF(Table683[[#This Row],[n]],1)*#REF!+IF(Table683[[#This Row],[Targets from Proposal]],1)+IF(Table683[[#This Row],[Targets from legal acts]],2)</f>
        <v>#REF!</v>
      </c>
      <c r="H188" s="73">
        <v>0</v>
      </c>
      <c r="I188" s="73">
        <v>0</v>
      </c>
      <c r="J188" s="73">
        <v>1</v>
      </c>
      <c r="K188" s="73" t="s">
        <v>1296</v>
      </c>
      <c r="L188" s="408" t="s">
        <v>2348</v>
      </c>
      <c r="M188" s="49" t="s">
        <v>2349</v>
      </c>
      <c r="N188" s="348" t="s">
        <v>2127</v>
      </c>
      <c r="AB188" s="10"/>
    </row>
    <row r="189" spans="1:64" ht="147" customHeight="1">
      <c r="A189" s="90" t="s">
        <v>1258</v>
      </c>
      <c r="B189" s="20" t="s">
        <v>1259</v>
      </c>
      <c r="C189" s="69" t="s">
        <v>1260</v>
      </c>
      <c r="D189" s="177" t="s">
        <v>321</v>
      </c>
      <c r="E189" s="23">
        <v>2020</v>
      </c>
      <c r="F189" s="73">
        <v>0</v>
      </c>
      <c r="G189" s="73" t="e">
        <f>IF(Table683[[#This Row],[n]],1)*#REF!+IF(Table683[[#This Row],[Targets from Proposal]],1)+IF(Table683[[#This Row],[Targets from legal acts]],2)</f>
        <v>#REF!</v>
      </c>
      <c r="H189" s="73">
        <v>0</v>
      </c>
      <c r="I189" s="73">
        <v>0</v>
      </c>
      <c r="J189" s="73">
        <v>1</v>
      </c>
      <c r="K189" s="73" t="s">
        <v>1298</v>
      </c>
      <c r="L189" s="408" t="s">
        <v>2364</v>
      </c>
      <c r="M189" s="49" t="s">
        <v>1663</v>
      </c>
      <c r="N189" s="348"/>
      <c r="AB189" s="10"/>
    </row>
    <row r="190" spans="1:64" ht="147" customHeight="1">
      <c r="A190" s="90" t="s">
        <v>1258</v>
      </c>
      <c r="B190" s="20" t="s">
        <v>1259</v>
      </c>
      <c r="C190" s="69" t="s">
        <v>1260</v>
      </c>
      <c r="D190" s="177" t="s">
        <v>321</v>
      </c>
      <c r="E190" s="23">
        <v>2020</v>
      </c>
      <c r="F190" s="73">
        <v>0</v>
      </c>
      <c r="G190" s="73" t="e">
        <f>IF(Table683[[#This Row],[n]],1)*#REF!+IF(Table683[[#This Row],[Targets from Proposal]],1)+IF(Table683[[#This Row],[Targets from legal acts]],2)</f>
        <v>#REF!</v>
      </c>
      <c r="H190" s="73">
        <v>0</v>
      </c>
      <c r="I190" s="73">
        <v>0</v>
      </c>
      <c r="J190" s="73">
        <v>1</v>
      </c>
      <c r="K190" s="73" t="s">
        <v>1300</v>
      </c>
      <c r="L190" s="408" t="s">
        <v>2366</v>
      </c>
      <c r="M190" s="49" t="s">
        <v>2365</v>
      </c>
      <c r="N190" s="348"/>
      <c r="AB190" s="10"/>
    </row>
    <row r="191" spans="1:64" ht="147" customHeight="1">
      <c r="A191" s="90" t="s">
        <v>1258</v>
      </c>
      <c r="B191" s="20" t="s">
        <v>1259</v>
      </c>
      <c r="C191" s="69" t="s">
        <v>1260</v>
      </c>
      <c r="D191" s="177" t="s">
        <v>321</v>
      </c>
      <c r="E191" s="23">
        <v>2020</v>
      </c>
      <c r="F191" s="73">
        <v>0</v>
      </c>
      <c r="G191" s="73" t="e">
        <f>IF(Table683[[#This Row],[n]],1)*#REF!+IF(Table683[[#This Row],[Targets from Proposal]],1)+IF(Table683[[#This Row],[Targets from legal acts]],2)</f>
        <v>#REF!</v>
      </c>
      <c r="H191" s="73">
        <v>0</v>
      </c>
      <c r="I191" s="73">
        <v>0</v>
      </c>
      <c r="J191" s="73">
        <v>1</v>
      </c>
      <c r="K191" s="73" t="s">
        <v>1302</v>
      </c>
      <c r="L191" s="408" t="s">
        <v>2367</v>
      </c>
      <c r="M191" s="49" t="s">
        <v>2368</v>
      </c>
      <c r="N191" s="348"/>
      <c r="AB191" s="10"/>
    </row>
    <row r="192" spans="1:64" ht="147" customHeight="1">
      <c r="A192" s="90" t="s">
        <v>1258</v>
      </c>
      <c r="B192" s="20" t="s">
        <v>1259</v>
      </c>
      <c r="C192" s="69" t="s">
        <v>1260</v>
      </c>
      <c r="D192" s="177" t="s">
        <v>321</v>
      </c>
      <c r="E192" s="23">
        <v>2020</v>
      </c>
      <c r="F192" s="73">
        <v>0</v>
      </c>
      <c r="G192" s="73" t="e">
        <f>IF(Table683[[#This Row],[n]],1)*#REF!+IF(Table683[[#This Row],[Targets from Proposal]],1)+IF(Table683[[#This Row],[Targets from legal acts]],2)</f>
        <v>#REF!</v>
      </c>
      <c r="H192" s="73">
        <v>0</v>
      </c>
      <c r="I192" s="73">
        <v>0</v>
      </c>
      <c r="J192" s="73">
        <v>1</v>
      </c>
      <c r="K192" s="73" t="s">
        <v>1304</v>
      </c>
      <c r="L192" s="408" t="s">
        <v>2370</v>
      </c>
      <c r="M192" s="49" t="s">
        <v>2369</v>
      </c>
      <c r="N192" s="348"/>
      <c r="AB192" s="10"/>
    </row>
    <row r="193" spans="1:28" ht="147" customHeight="1">
      <c r="A193" s="90" t="s">
        <v>1258</v>
      </c>
      <c r="B193" s="20" t="s">
        <v>1259</v>
      </c>
      <c r="C193" s="69" t="s">
        <v>1260</v>
      </c>
      <c r="D193" s="177" t="s">
        <v>321</v>
      </c>
      <c r="E193" s="23">
        <v>2020</v>
      </c>
      <c r="F193" s="73">
        <v>0</v>
      </c>
      <c r="G193" s="73" t="e">
        <f>IF(Table683[[#This Row],[n]],1)*#REF!+IF(Table683[[#This Row],[Targets from Proposal]],1)+IF(Table683[[#This Row],[Targets from legal acts]],2)</f>
        <v>#REF!</v>
      </c>
      <c r="H193" s="73">
        <v>0</v>
      </c>
      <c r="I193" s="73">
        <v>0</v>
      </c>
      <c r="J193" s="73">
        <v>1</v>
      </c>
      <c r="K193" s="73" t="s">
        <v>1306</v>
      </c>
      <c r="L193" s="408" t="s">
        <v>2372</v>
      </c>
      <c r="M193" s="49" t="s">
        <v>2371</v>
      </c>
      <c r="N193" s="348"/>
      <c r="AB193" s="10"/>
    </row>
    <row r="194" spans="1:28" ht="147" customHeight="1">
      <c r="A194" s="90" t="s">
        <v>1258</v>
      </c>
      <c r="B194" s="20" t="s">
        <v>1259</v>
      </c>
      <c r="C194" s="69" t="s">
        <v>1260</v>
      </c>
      <c r="D194" s="177" t="s">
        <v>321</v>
      </c>
      <c r="E194" s="23">
        <v>2020</v>
      </c>
      <c r="F194" s="73">
        <v>0</v>
      </c>
      <c r="G194" s="73" t="e">
        <f>IF(Table683[[#This Row],[n]],1)*#REF!+IF(Table683[[#This Row],[Targets from Proposal]],1)+IF(Table683[[#This Row],[Targets from legal acts]],2)</f>
        <v>#REF!</v>
      </c>
      <c r="H194" s="73">
        <v>0</v>
      </c>
      <c r="I194" s="73">
        <v>0</v>
      </c>
      <c r="J194" s="73">
        <v>1</v>
      </c>
      <c r="K194" s="73" t="s">
        <v>1308</v>
      </c>
      <c r="L194" s="408" t="s">
        <v>2374</v>
      </c>
      <c r="M194" s="49" t="s">
        <v>2373</v>
      </c>
      <c r="N194" s="348"/>
      <c r="AB194" s="10"/>
    </row>
    <row r="195" spans="1:28" ht="147" customHeight="1">
      <c r="A195" s="90" t="s">
        <v>1258</v>
      </c>
      <c r="B195" s="20" t="s">
        <v>1259</v>
      </c>
      <c r="C195" s="69" t="s">
        <v>1260</v>
      </c>
      <c r="D195" s="177" t="s">
        <v>321</v>
      </c>
      <c r="E195" s="23">
        <v>2020</v>
      </c>
      <c r="F195" s="73">
        <v>0</v>
      </c>
      <c r="G195" s="73" t="e">
        <f>IF(Table683[[#This Row],[n]],1)*#REF!+IF(Table683[[#This Row],[Targets from Proposal]],1)+IF(Table683[[#This Row],[Targets from legal acts]],2)</f>
        <v>#REF!</v>
      </c>
      <c r="H195" s="73">
        <v>0</v>
      </c>
      <c r="I195" s="73">
        <v>0</v>
      </c>
      <c r="J195" s="73">
        <v>1</v>
      </c>
      <c r="K195" s="73" t="s">
        <v>1310</v>
      </c>
      <c r="L195" s="408" t="s">
        <v>2376</v>
      </c>
      <c r="M195" s="49" t="s">
        <v>2375</v>
      </c>
      <c r="N195" s="348"/>
      <c r="AB195" s="10"/>
    </row>
    <row r="196" spans="1:28" ht="147" customHeight="1">
      <c r="A196" s="90" t="s">
        <v>1258</v>
      </c>
      <c r="B196" s="20" t="s">
        <v>1259</v>
      </c>
      <c r="C196" s="69" t="s">
        <v>1260</v>
      </c>
      <c r="D196" s="177" t="s">
        <v>321</v>
      </c>
      <c r="E196" s="23">
        <v>2020</v>
      </c>
      <c r="F196" s="73">
        <v>0</v>
      </c>
      <c r="G196" s="73" t="e">
        <f>IF(Table683[[#This Row],[n]],1)*#REF!+IF(Table683[[#This Row],[Targets from Proposal]],1)+IF(Table683[[#This Row],[Targets from legal acts]],2)</f>
        <v>#REF!</v>
      </c>
      <c r="H196" s="73">
        <v>0</v>
      </c>
      <c r="I196" s="73">
        <v>0</v>
      </c>
      <c r="J196" s="73">
        <v>1</v>
      </c>
      <c r="K196" s="73" t="s">
        <v>1312</v>
      </c>
      <c r="L196" s="408" t="s">
        <v>2350</v>
      </c>
      <c r="M196" s="49" t="s">
        <v>2351</v>
      </c>
      <c r="N196" s="348" t="s">
        <v>2127</v>
      </c>
      <c r="AB196" s="10"/>
    </row>
    <row r="197" spans="1:28" ht="147" customHeight="1">
      <c r="A197" s="90" t="s">
        <v>1258</v>
      </c>
      <c r="B197" s="20" t="s">
        <v>1259</v>
      </c>
      <c r="C197" s="69" t="s">
        <v>1260</v>
      </c>
      <c r="D197" s="177" t="s">
        <v>321</v>
      </c>
      <c r="E197" s="23">
        <v>2020</v>
      </c>
      <c r="F197" s="73">
        <v>0</v>
      </c>
      <c r="G197" s="73" t="e">
        <f>IF(Table683[[#This Row],[n]],1)*#REF!+IF(Table683[[#This Row],[Targets from Proposal]],1)+IF(Table683[[#This Row],[Targets from legal acts]],2)</f>
        <v>#REF!</v>
      </c>
      <c r="H197" s="73">
        <v>0</v>
      </c>
      <c r="I197" s="73">
        <v>0</v>
      </c>
      <c r="J197" s="73">
        <v>1</v>
      </c>
      <c r="K197" s="73" t="s">
        <v>1314</v>
      </c>
      <c r="L197" s="408" t="s">
        <v>2378</v>
      </c>
      <c r="M197" s="49" t="s">
        <v>2377</v>
      </c>
      <c r="N197" s="348"/>
      <c r="AB197" s="10"/>
    </row>
    <row r="198" spans="1:28" ht="147" customHeight="1">
      <c r="A198" s="90" t="s">
        <v>1258</v>
      </c>
      <c r="B198" s="20" t="s">
        <v>1259</v>
      </c>
      <c r="C198" s="69" t="s">
        <v>1260</v>
      </c>
      <c r="D198" s="177" t="s">
        <v>321</v>
      </c>
      <c r="E198" s="23">
        <v>2020</v>
      </c>
      <c r="F198" s="73">
        <v>0</v>
      </c>
      <c r="G198" s="73" t="e">
        <f>IF(Table683[[#This Row],[n]],1)*#REF!+IF(Table683[[#This Row],[Targets from Proposal]],1)+IF(Table683[[#This Row],[Targets from legal acts]],2)</f>
        <v>#REF!</v>
      </c>
      <c r="H198" s="73">
        <v>0</v>
      </c>
      <c r="I198" s="73">
        <v>0</v>
      </c>
      <c r="J198" s="73">
        <v>1</v>
      </c>
      <c r="K198" s="73" t="s">
        <v>1316</v>
      </c>
      <c r="L198" s="408" t="s">
        <v>2380</v>
      </c>
      <c r="M198" s="49" t="s">
        <v>2379</v>
      </c>
      <c r="N198" s="348"/>
      <c r="AB198" s="10"/>
    </row>
    <row r="199" spans="1:28" ht="147" customHeight="1">
      <c r="A199" s="90" t="s">
        <v>1258</v>
      </c>
      <c r="B199" s="20" t="s">
        <v>1259</v>
      </c>
      <c r="C199" s="69" t="s">
        <v>1260</v>
      </c>
      <c r="D199" s="177" t="s">
        <v>321</v>
      </c>
      <c r="E199" s="23">
        <v>2020</v>
      </c>
      <c r="F199" s="73">
        <v>0</v>
      </c>
      <c r="G199" s="73" t="e">
        <f>IF(Table683[[#This Row],[n]],1)*#REF!+IF(Table683[[#This Row],[Targets from Proposal]],1)+IF(Table683[[#This Row],[Targets from legal acts]],2)</f>
        <v>#REF!</v>
      </c>
      <c r="H199" s="73">
        <v>0</v>
      </c>
      <c r="I199" s="73">
        <v>0</v>
      </c>
      <c r="J199" s="73">
        <v>1</v>
      </c>
      <c r="K199" s="73" t="s">
        <v>1318</v>
      </c>
      <c r="L199" s="408" t="s">
        <v>2381</v>
      </c>
      <c r="M199" s="49" t="s">
        <v>1663</v>
      </c>
      <c r="N199" s="348"/>
      <c r="AB199" s="10"/>
    </row>
    <row r="200" spans="1:28" ht="147" customHeight="1">
      <c r="A200" s="90" t="s">
        <v>1258</v>
      </c>
      <c r="B200" s="20" t="s">
        <v>1259</v>
      </c>
      <c r="C200" s="69" t="s">
        <v>1260</v>
      </c>
      <c r="D200" s="177" t="s">
        <v>321</v>
      </c>
      <c r="E200" s="23">
        <v>2020</v>
      </c>
      <c r="F200" s="73">
        <v>0</v>
      </c>
      <c r="G200" s="73" t="e">
        <f>IF(Table683[[#This Row],[n]],1)*#REF!+IF(Table683[[#This Row],[Targets from Proposal]],1)+IF(Table683[[#This Row],[Targets from legal acts]],2)</f>
        <v>#REF!</v>
      </c>
      <c r="H200" s="73">
        <v>0</v>
      </c>
      <c r="I200" s="73">
        <v>0</v>
      </c>
      <c r="J200" s="73">
        <v>1</v>
      </c>
      <c r="K200" s="73" t="s">
        <v>1320</v>
      </c>
      <c r="L200" s="408" t="s">
        <v>2382</v>
      </c>
      <c r="M200" s="49" t="s">
        <v>1663</v>
      </c>
      <c r="N200" s="348"/>
      <c r="AB200" s="10"/>
    </row>
    <row r="201" spans="1:28" ht="147" customHeight="1">
      <c r="A201" s="90" t="s">
        <v>1258</v>
      </c>
      <c r="B201" s="20" t="s">
        <v>1259</v>
      </c>
      <c r="C201" s="69" t="s">
        <v>1260</v>
      </c>
      <c r="D201" s="177" t="s">
        <v>321</v>
      </c>
      <c r="E201" s="23">
        <v>2020</v>
      </c>
      <c r="F201" s="73">
        <v>0</v>
      </c>
      <c r="G201" s="73"/>
      <c r="H201" s="73"/>
      <c r="I201" s="73"/>
      <c r="J201" s="73"/>
      <c r="K201" s="73" t="s">
        <v>1322</v>
      </c>
      <c r="L201" s="419" t="s">
        <v>1323</v>
      </c>
      <c r="M201" s="49"/>
      <c r="N201" s="348"/>
      <c r="AB201" s="10"/>
    </row>
    <row r="202" spans="1:28" ht="147" customHeight="1">
      <c r="A202" s="90" t="s">
        <v>1258</v>
      </c>
      <c r="B202" s="20" t="s">
        <v>1259</v>
      </c>
      <c r="C202" s="69" t="s">
        <v>1260</v>
      </c>
      <c r="D202" s="177" t="s">
        <v>321</v>
      </c>
      <c r="E202" s="23">
        <v>2020</v>
      </c>
      <c r="F202" s="73">
        <v>0</v>
      </c>
      <c r="G202" s="73" t="e">
        <f>IF(Table683[[#This Row],[n]],1)*#REF!+IF(Table683[[#This Row],[Targets from Proposal]],1)+IF(Table683[[#This Row],[Targets from legal acts]],2)</f>
        <v>#REF!</v>
      </c>
      <c r="H202" s="73">
        <v>0</v>
      </c>
      <c r="I202" s="73">
        <v>0</v>
      </c>
      <c r="J202" s="73">
        <v>1</v>
      </c>
      <c r="K202" s="73" t="s">
        <v>1324</v>
      </c>
      <c r="L202" s="408" t="s">
        <v>2383</v>
      </c>
      <c r="M202" s="49" t="s">
        <v>1663</v>
      </c>
      <c r="N202" s="348"/>
      <c r="AB202" s="10"/>
    </row>
    <row r="203" spans="1:28" ht="147" customHeight="1">
      <c r="A203" s="90" t="s">
        <v>1258</v>
      </c>
      <c r="B203" s="20" t="s">
        <v>1259</v>
      </c>
      <c r="C203" s="69" t="s">
        <v>1260</v>
      </c>
      <c r="D203" s="177" t="s">
        <v>321</v>
      </c>
      <c r="E203" s="23">
        <v>2020</v>
      </c>
      <c r="F203" s="73">
        <v>0</v>
      </c>
      <c r="G203" s="73"/>
      <c r="H203" s="73"/>
      <c r="I203" s="73"/>
      <c r="J203" s="73"/>
      <c r="K203" s="73" t="s">
        <v>1326</v>
      </c>
      <c r="L203" s="419" t="s">
        <v>1327</v>
      </c>
      <c r="M203" s="49"/>
      <c r="N203" s="348"/>
      <c r="AB203" s="10"/>
    </row>
    <row r="204" spans="1:28" ht="147" customHeight="1">
      <c r="A204" s="90" t="s">
        <v>1258</v>
      </c>
      <c r="B204" s="20" t="s">
        <v>1259</v>
      </c>
      <c r="C204" s="69" t="s">
        <v>1260</v>
      </c>
      <c r="D204" s="177" t="s">
        <v>321</v>
      </c>
      <c r="E204" s="23">
        <v>2020</v>
      </c>
      <c r="F204" s="73">
        <v>0</v>
      </c>
      <c r="G204" s="73" t="e">
        <f>IF(Table683[[#This Row],[n]],1)*#REF!+IF(Table683[[#This Row],[Targets from Proposal]],1)+IF(Table683[[#This Row],[Targets from legal acts]],2)</f>
        <v>#REF!</v>
      </c>
      <c r="H204" s="73">
        <v>0</v>
      </c>
      <c r="I204" s="73">
        <v>0</v>
      </c>
      <c r="J204" s="73">
        <v>1</v>
      </c>
      <c r="K204" s="73" t="s">
        <v>1328</v>
      </c>
      <c r="L204" s="408" t="s">
        <v>2385</v>
      </c>
      <c r="M204" s="49" t="s">
        <v>2384</v>
      </c>
      <c r="N204" s="348"/>
      <c r="AB204" s="10"/>
    </row>
    <row r="205" spans="1:28" ht="147" customHeight="1">
      <c r="A205" s="90" t="s">
        <v>1258</v>
      </c>
      <c r="B205" s="20" t="s">
        <v>1259</v>
      </c>
      <c r="C205" s="69" t="s">
        <v>1260</v>
      </c>
      <c r="D205" s="177" t="s">
        <v>321</v>
      </c>
      <c r="E205" s="23">
        <v>2020</v>
      </c>
      <c r="F205" s="73">
        <v>0</v>
      </c>
      <c r="G205" s="73" t="e">
        <f>IF(Table683[[#This Row],[n]],1)*#REF!+IF(Table683[[#This Row],[Targets from Proposal]],1)+IF(Table683[[#This Row],[Targets from legal acts]],2)</f>
        <v>#REF!</v>
      </c>
      <c r="H205" s="73">
        <v>0</v>
      </c>
      <c r="I205" s="73">
        <v>0</v>
      </c>
      <c r="J205" s="73">
        <v>1</v>
      </c>
      <c r="K205" s="73" t="s">
        <v>1330</v>
      </c>
      <c r="L205" s="408" t="s">
        <v>2386</v>
      </c>
      <c r="M205" s="49" t="s">
        <v>2387</v>
      </c>
      <c r="N205" s="348"/>
      <c r="AB205" s="10"/>
    </row>
    <row r="206" spans="1:28" ht="147" customHeight="1">
      <c r="A206" s="90" t="s">
        <v>1258</v>
      </c>
      <c r="B206" s="20" t="s">
        <v>1259</v>
      </c>
      <c r="C206" s="69" t="s">
        <v>1260</v>
      </c>
      <c r="D206" s="177" t="s">
        <v>321</v>
      </c>
      <c r="E206" s="23">
        <v>2020</v>
      </c>
      <c r="F206" s="73">
        <v>0</v>
      </c>
      <c r="G206" s="73" t="e">
        <f>IF(Table683[[#This Row],[n]],1)*#REF!+IF(Table683[[#This Row],[Targets from Proposal]],1)+IF(Table683[[#This Row],[Targets from legal acts]],2)</f>
        <v>#REF!</v>
      </c>
      <c r="H206" s="73">
        <v>0</v>
      </c>
      <c r="I206" s="73">
        <v>0</v>
      </c>
      <c r="J206" s="73">
        <v>1</v>
      </c>
      <c r="K206" s="73" t="s">
        <v>1332</v>
      </c>
      <c r="L206" s="408" t="s">
        <v>2388</v>
      </c>
      <c r="M206" s="49" t="s">
        <v>1663</v>
      </c>
      <c r="N206" s="348"/>
      <c r="AB206" s="10"/>
    </row>
    <row r="207" spans="1:28" ht="147" customHeight="1">
      <c r="A207" s="90" t="s">
        <v>1258</v>
      </c>
      <c r="B207" s="20" t="s">
        <v>1259</v>
      </c>
      <c r="C207" s="69" t="s">
        <v>1260</v>
      </c>
      <c r="D207" s="177" t="s">
        <v>321</v>
      </c>
      <c r="E207" s="23">
        <v>2020</v>
      </c>
      <c r="F207" s="73">
        <v>0</v>
      </c>
      <c r="G207" s="73" t="e">
        <f>IF(Table683[[#This Row],[n]],1)*#REF!+IF(Table683[[#This Row],[Targets from Proposal]],1)+IF(Table683[[#This Row],[Targets from legal acts]],2)</f>
        <v>#REF!</v>
      </c>
      <c r="H207" s="73">
        <v>0</v>
      </c>
      <c r="I207" s="73">
        <v>0</v>
      </c>
      <c r="J207" s="73">
        <v>1</v>
      </c>
      <c r="K207" s="73" t="s">
        <v>1334</v>
      </c>
      <c r="L207" s="408" t="s">
        <v>2394</v>
      </c>
      <c r="M207" s="49" t="s">
        <v>2393</v>
      </c>
      <c r="N207" s="348"/>
      <c r="AB207" s="10"/>
    </row>
    <row r="208" spans="1:28" ht="147" customHeight="1">
      <c r="A208" s="90" t="s">
        <v>1258</v>
      </c>
      <c r="B208" s="20" t="s">
        <v>1259</v>
      </c>
      <c r="C208" s="69" t="s">
        <v>1260</v>
      </c>
      <c r="D208" s="177" t="s">
        <v>321</v>
      </c>
      <c r="E208" s="23">
        <v>2020</v>
      </c>
      <c r="F208" s="73">
        <v>0</v>
      </c>
      <c r="G208" s="73" t="e">
        <f>IF(Table683[[#This Row],[n]],1)*#REF!+IF(Table683[[#This Row],[Targets from Proposal]],1)+IF(Table683[[#This Row],[Targets from legal acts]],2)</f>
        <v>#REF!</v>
      </c>
      <c r="H208" s="73">
        <v>0</v>
      </c>
      <c r="I208" s="73">
        <v>0</v>
      </c>
      <c r="J208" s="73">
        <v>1</v>
      </c>
      <c r="K208" s="73" t="s">
        <v>1336</v>
      </c>
      <c r="L208" s="408" t="s">
        <v>2389</v>
      </c>
      <c r="M208" s="49" t="s">
        <v>2390</v>
      </c>
      <c r="N208" s="348"/>
      <c r="AB208" s="10"/>
    </row>
    <row r="209" spans="1:28" ht="147" customHeight="1">
      <c r="A209" s="90" t="s">
        <v>1258</v>
      </c>
      <c r="B209" s="20" t="s">
        <v>1259</v>
      </c>
      <c r="C209" s="69" t="s">
        <v>1260</v>
      </c>
      <c r="D209" s="177" t="s">
        <v>321</v>
      </c>
      <c r="E209" s="23">
        <v>2020</v>
      </c>
      <c r="F209" s="73">
        <v>0</v>
      </c>
      <c r="G209" s="73" t="e">
        <f>IF(Table683[[#This Row],[n]],1)*#REF!+IF(Table683[[#This Row],[Targets from Proposal]],1)+IF(Table683[[#This Row],[Targets from legal acts]],2)</f>
        <v>#REF!</v>
      </c>
      <c r="H209" s="73">
        <v>0</v>
      </c>
      <c r="I209" s="73">
        <v>0</v>
      </c>
      <c r="J209" s="73">
        <v>1</v>
      </c>
      <c r="K209" s="73" t="s">
        <v>1338</v>
      </c>
      <c r="L209" s="408" t="s">
        <v>2392</v>
      </c>
      <c r="M209" s="49" t="s">
        <v>2391</v>
      </c>
      <c r="N209" s="348"/>
      <c r="AB209" s="10"/>
    </row>
    <row r="210" spans="1:28" ht="147" customHeight="1">
      <c r="A210" s="90" t="s">
        <v>1258</v>
      </c>
      <c r="B210" s="20" t="s">
        <v>1259</v>
      </c>
      <c r="C210" s="69" t="s">
        <v>1260</v>
      </c>
      <c r="D210" s="177" t="s">
        <v>321</v>
      </c>
      <c r="E210" s="23">
        <v>2020</v>
      </c>
      <c r="F210" s="73">
        <v>0</v>
      </c>
      <c r="G210" s="73" t="e">
        <f>IF(Table683[[#This Row],[n]],1)*#REF!+IF(Table683[[#This Row],[Targets from Proposal]],1)+IF(Table683[[#This Row],[Targets from legal acts]],2)</f>
        <v>#REF!</v>
      </c>
      <c r="H210" s="73">
        <v>0</v>
      </c>
      <c r="I210" s="73">
        <v>0</v>
      </c>
      <c r="J210" s="73">
        <v>1</v>
      </c>
      <c r="K210" s="73" t="s">
        <v>1340</v>
      </c>
      <c r="L210" s="408" t="s">
        <v>2396</v>
      </c>
      <c r="M210" s="49" t="s">
        <v>2395</v>
      </c>
      <c r="N210" s="348"/>
      <c r="AB210" s="10"/>
    </row>
    <row r="211" spans="1:28" ht="147" customHeight="1">
      <c r="A211" s="90" t="s">
        <v>1258</v>
      </c>
      <c r="B211" s="20" t="s">
        <v>1259</v>
      </c>
      <c r="C211" s="69" t="s">
        <v>892</v>
      </c>
      <c r="D211" s="177" t="s">
        <v>321</v>
      </c>
      <c r="E211" s="73">
        <v>2023</v>
      </c>
      <c r="F211" s="73"/>
      <c r="G211" s="73"/>
      <c r="H211" s="73"/>
      <c r="I211" s="73"/>
      <c r="J211" s="73"/>
      <c r="K211" s="73" t="s">
        <v>1342</v>
      </c>
      <c r="L211" s="428"/>
      <c r="M211" s="313"/>
      <c r="N211" s="348"/>
      <c r="AB211" s="10"/>
    </row>
    <row r="212" spans="1:28" ht="147" customHeight="1">
      <c r="A212" s="90" t="s">
        <v>1258</v>
      </c>
      <c r="B212" s="20" t="s">
        <v>1259</v>
      </c>
      <c r="C212" s="69" t="s">
        <v>1343</v>
      </c>
      <c r="D212" s="145" t="s">
        <v>110</v>
      </c>
      <c r="E212" s="73">
        <v>2023</v>
      </c>
      <c r="F212" s="73"/>
      <c r="G212" s="73"/>
      <c r="H212" s="73"/>
      <c r="I212" s="73"/>
      <c r="J212" s="73"/>
      <c r="K212" s="73" t="s">
        <v>1344</v>
      </c>
      <c r="L212" s="428"/>
      <c r="M212" s="313"/>
      <c r="N212" s="348"/>
      <c r="AB212" s="10"/>
    </row>
    <row r="213" spans="1:28" ht="147" customHeight="1">
      <c r="A213" s="92" t="s">
        <v>792</v>
      </c>
      <c r="B213" s="93" t="s">
        <v>857</v>
      </c>
      <c r="C213" s="96" t="s">
        <v>857</v>
      </c>
      <c r="D213" s="176" t="s">
        <v>321</v>
      </c>
      <c r="E213" s="97">
        <v>2020</v>
      </c>
      <c r="F213" s="97"/>
      <c r="G213" s="97">
        <v>1</v>
      </c>
      <c r="H213" s="97">
        <v>0</v>
      </c>
      <c r="I213" s="97">
        <v>0</v>
      </c>
      <c r="J213" s="233">
        <v>1</v>
      </c>
      <c r="K213" s="233" t="s">
        <v>1345</v>
      </c>
      <c r="L213" s="399" t="s">
        <v>2439</v>
      </c>
      <c r="M213" s="165" t="s">
        <v>2437</v>
      </c>
      <c r="N213" s="356" t="s">
        <v>2127</v>
      </c>
      <c r="AB213" s="10"/>
    </row>
    <row r="214" spans="1:28" ht="147" customHeight="1">
      <c r="A214" s="92" t="s">
        <v>792</v>
      </c>
      <c r="B214" s="93" t="s">
        <v>857</v>
      </c>
      <c r="C214" s="96" t="s">
        <v>857</v>
      </c>
      <c r="D214" s="176" t="s">
        <v>321</v>
      </c>
      <c r="E214" s="97">
        <v>2020</v>
      </c>
      <c r="F214" s="97"/>
      <c r="G214" s="97">
        <v>1</v>
      </c>
      <c r="H214" s="97">
        <v>0</v>
      </c>
      <c r="I214" s="97">
        <v>0</v>
      </c>
      <c r="J214" s="233">
        <v>1</v>
      </c>
      <c r="K214" s="233" t="s">
        <v>1346</v>
      </c>
      <c r="L214" s="399" t="s">
        <v>974</v>
      </c>
      <c r="M214" s="165" t="s">
        <v>2438</v>
      </c>
      <c r="N214" s="356" t="s">
        <v>2127</v>
      </c>
      <c r="AB214" s="10"/>
    </row>
    <row r="215" spans="1:28" ht="147" customHeight="1" thickBot="1">
      <c r="A215" s="113" t="s">
        <v>792</v>
      </c>
      <c r="B215" s="114" t="s">
        <v>857</v>
      </c>
      <c r="C215" s="115" t="s">
        <v>857</v>
      </c>
      <c r="D215" s="180" t="s">
        <v>321</v>
      </c>
      <c r="E215" s="116">
        <v>2020</v>
      </c>
      <c r="F215" s="116">
        <v>0</v>
      </c>
      <c r="G215" s="116" t="e">
        <f>IF(Table683[[#This Row],[n]],1)*#REF!+IF(Table683[[#This Row],[Targets from Proposal]],1)+IF(Table683[[#This Row],[Targets from legal acts]],2)</f>
        <v>#REF!</v>
      </c>
      <c r="H215" s="116">
        <v>0</v>
      </c>
      <c r="I215" s="116">
        <v>0</v>
      </c>
      <c r="J215" s="116">
        <v>1</v>
      </c>
      <c r="K215" s="116" t="s">
        <v>1347</v>
      </c>
      <c r="L215" s="417" t="s">
        <v>887</v>
      </c>
      <c r="M215" s="462" t="s">
        <v>2440</v>
      </c>
      <c r="N215" s="377" t="s">
        <v>2127</v>
      </c>
      <c r="AB215" s="10"/>
    </row>
    <row r="216" spans="1:28" ht="147" customHeight="1" thickTop="1">
      <c r="A216" s="92" t="s">
        <v>792</v>
      </c>
      <c r="B216" s="93" t="s">
        <v>857</v>
      </c>
      <c r="C216" s="117" t="s">
        <v>857</v>
      </c>
      <c r="D216" s="186" t="s">
        <v>321</v>
      </c>
      <c r="E216" s="43">
        <v>2020</v>
      </c>
      <c r="F216" s="43">
        <v>0</v>
      </c>
      <c r="G216" s="43" t="e">
        <f>IF(Table683[[#This Row],[n]],1)*#REF!+IF(Table683[[#This Row],[Targets from Proposal]],1)+IF(Table683[[#This Row],[Targets from legal acts]],2)</f>
        <v>#REF!</v>
      </c>
      <c r="H216" s="43">
        <v>0</v>
      </c>
      <c r="I216" s="43">
        <v>0</v>
      </c>
      <c r="J216" s="43">
        <v>1</v>
      </c>
      <c r="K216" s="43" t="s">
        <v>1348</v>
      </c>
      <c r="L216" s="398" t="s">
        <v>2441</v>
      </c>
      <c r="M216" s="304" t="s">
        <v>2442</v>
      </c>
      <c r="N216" s="369" t="s">
        <v>2130</v>
      </c>
      <c r="AB216" s="10"/>
    </row>
    <row r="217" spans="1:28" ht="147" customHeight="1">
      <c r="A217" s="92" t="s">
        <v>792</v>
      </c>
      <c r="B217" s="93" t="s">
        <v>857</v>
      </c>
      <c r="C217" s="117" t="s">
        <v>857</v>
      </c>
      <c r="D217" s="193" t="s">
        <v>321</v>
      </c>
      <c r="E217" s="119">
        <v>2020</v>
      </c>
      <c r="F217" s="119">
        <v>0</v>
      </c>
      <c r="G217" s="119" t="e">
        <f>IF(Table683[[#This Row],[n]],1)*#REF!+IF(Table683[[#This Row],[Targets from Proposal]],1)+IF(Table683[[#This Row],[Targets from legal acts]],2)</f>
        <v>#REF!</v>
      </c>
      <c r="H217" s="119">
        <v>0</v>
      </c>
      <c r="I217" s="119">
        <v>0</v>
      </c>
      <c r="J217" s="119">
        <v>1</v>
      </c>
      <c r="K217" s="119" t="s">
        <v>1349</v>
      </c>
      <c r="L217" s="430" t="s">
        <v>972</v>
      </c>
      <c r="M217" s="206"/>
      <c r="N217" s="369"/>
      <c r="AB217" s="10"/>
    </row>
    <row r="218" spans="1:28" ht="147" customHeight="1">
      <c r="A218" s="92" t="s">
        <v>792</v>
      </c>
      <c r="B218" s="93" t="s">
        <v>857</v>
      </c>
      <c r="C218" s="117" t="s">
        <v>857</v>
      </c>
      <c r="D218" s="176" t="s">
        <v>321</v>
      </c>
      <c r="E218" s="97">
        <v>2020</v>
      </c>
      <c r="F218" s="97"/>
      <c r="G218" s="97"/>
      <c r="H218" s="97"/>
      <c r="I218" s="97"/>
      <c r="J218" s="233"/>
      <c r="K218" s="233" t="s">
        <v>1350</v>
      </c>
      <c r="L218" s="399" t="s">
        <v>970</v>
      </c>
      <c r="M218" s="463" t="s">
        <v>2446</v>
      </c>
      <c r="N218" s="356"/>
      <c r="AB218" s="10"/>
    </row>
    <row r="219" spans="1:28" ht="147" customHeight="1">
      <c r="A219" s="92" t="s">
        <v>792</v>
      </c>
      <c r="B219" s="93" t="s">
        <v>857</v>
      </c>
      <c r="C219" s="117" t="s">
        <v>857</v>
      </c>
      <c r="D219" s="176" t="s">
        <v>321</v>
      </c>
      <c r="E219" s="97">
        <v>2020</v>
      </c>
      <c r="F219" s="97"/>
      <c r="G219" s="97"/>
      <c r="H219" s="97"/>
      <c r="I219" s="97"/>
      <c r="J219" s="233"/>
      <c r="K219" s="233" t="s">
        <v>1351</v>
      </c>
      <c r="L219" s="399" t="s">
        <v>2216</v>
      </c>
      <c r="M219" s="319" t="s">
        <v>2446</v>
      </c>
      <c r="N219" s="356"/>
      <c r="AB219" s="10"/>
    </row>
    <row r="220" spans="1:28" ht="147" customHeight="1">
      <c r="A220" s="92" t="s">
        <v>792</v>
      </c>
      <c r="B220" s="93" t="s">
        <v>857</v>
      </c>
      <c r="C220" s="117" t="s">
        <v>857</v>
      </c>
      <c r="D220" s="176" t="s">
        <v>321</v>
      </c>
      <c r="E220" s="97">
        <v>2020</v>
      </c>
      <c r="F220" s="97"/>
      <c r="G220" s="97"/>
      <c r="H220" s="97"/>
      <c r="I220" s="97"/>
      <c r="J220" s="97"/>
      <c r="K220" s="97" t="s">
        <v>1352</v>
      </c>
      <c r="L220" s="390" t="s">
        <v>2447</v>
      </c>
      <c r="M220" s="319" t="s">
        <v>2448</v>
      </c>
      <c r="N220" s="356" t="s">
        <v>2127</v>
      </c>
      <c r="AB220" s="10"/>
    </row>
    <row r="221" spans="1:28" ht="147" customHeight="1">
      <c r="A221" s="92" t="s">
        <v>792</v>
      </c>
      <c r="B221" s="93" t="s">
        <v>857</v>
      </c>
      <c r="C221" s="117" t="s">
        <v>857</v>
      </c>
      <c r="D221" s="176" t="s">
        <v>321</v>
      </c>
      <c r="E221" s="97">
        <v>2020</v>
      </c>
      <c r="F221" s="97">
        <v>0</v>
      </c>
      <c r="G221" s="97" t="e">
        <f>IF(Table683[[#This Row],[n]],1)*#REF!+IF(Table683[[#This Row],[Targets from Proposal]],1)+IF(Table683[[#This Row],[Targets from legal acts]],2)</f>
        <v>#REF!</v>
      </c>
      <c r="H221" s="97">
        <v>0</v>
      </c>
      <c r="I221" s="97">
        <v>0</v>
      </c>
      <c r="J221" s="97">
        <v>1</v>
      </c>
      <c r="K221" s="97" t="s">
        <v>1353</v>
      </c>
      <c r="L221" s="399" t="s">
        <v>2443</v>
      </c>
      <c r="M221" s="165" t="s">
        <v>2444</v>
      </c>
      <c r="N221" s="369" t="s">
        <v>2132</v>
      </c>
      <c r="AB221" s="10"/>
    </row>
    <row r="222" spans="1:28" ht="147" customHeight="1">
      <c r="A222" s="92" t="s">
        <v>792</v>
      </c>
      <c r="B222" s="93" t="s">
        <v>857</v>
      </c>
      <c r="C222" s="117" t="s">
        <v>857</v>
      </c>
      <c r="D222" s="176" t="s">
        <v>321</v>
      </c>
      <c r="E222" s="97">
        <v>2020</v>
      </c>
      <c r="F222" s="97"/>
      <c r="G222" s="97"/>
      <c r="H222" s="97"/>
      <c r="I222" s="97"/>
      <c r="J222" s="233"/>
      <c r="K222" s="233" t="s">
        <v>1354</v>
      </c>
      <c r="L222" s="399" t="s">
        <v>965</v>
      </c>
      <c r="M222" s="165" t="s">
        <v>2446</v>
      </c>
      <c r="N222" s="356"/>
      <c r="AB222" s="10"/>
    </row>
    <row r="223" spans="1:28" ht="147" customHeight="1">
      <c r="A223" s="92" t="s">
        <v>792</v>
      </c>
      <c r="B223" s="93" t="s">
        <v>857</v>
      </c>
      <c r="C223" s="117" t="s">
        <v>857</v>
      </c>
      <c r="D223" s="176" t="s">
        <v>321</v>
      </c>
      <c r="E223" s="97">
        <v>2020</v>
      </c>
      <c r="F223" s="97">
        <v>0</v>
      </c>
      <c r="G223" s="97" t="e">
        <f>IF(Table683[[#This Row],[n]],1)*#REF!+IF(Table683[[#This Row],[Targets from Proposal]],1)+IF(Table683[[#This Row],[Targets from legal acts]],2)</f>
        <v>#REF!</v>
      </c>
      <c r="H223" s="97">
        <v>0</v>
      </c>
      <c r="I223" s="97">
        <v>0</v>
      </c>
      <c r="J223" s="97">
        <v>1</v>
      </c>
      <c r="K223" s="97" t="s">
        <v>1355</v>
      </c>
      <c r="L223" s="390" t="s">
        <v>963</v>
      </c>
      <c r="M223" s="165"/>
      <c r="N223" s="356"/>
      <c r="AB223" s="10"/>
    </row>
    <row r="224" spans="1:28" ht="147" customHeight="1">
      <c r="A224" s="92" t="s">
        <v>792</v>
      </c>
      <c r="B224" s="93" t="s">
        <v>857</v>
      </c>
      <c r="C224" s="117" t="s">
        <v>857</v>
      </c>
      <c r="D224" s="176" t="s">
        <v>321</v>
      </c>
      <c r="E224" s="97">
        <v>2020</v>
      </c>
      <c r="F224" s="97"/>
      <c r="G224" s="97"/>
      <c r="H224" s="97"/>
      <c r="I224" s="97"/>
      <c r="J224" s="233"/>
      <c r="K224" s="233" t="s">
        <v>1356</v>
      </c>
      <c r="L224" s="399" t="s">
        <v>960</v>
      </c>
      <c r="M224" s="165" t="s">
        <v>2446</v>
      </c>
      <c r="N224" s="356"/>
      <c r="AB224" s="10"/>
    </row>
    <row r="225" spans="1:28" ht="147" customHeight="1">
      <c r="A225" s="92" t="s">
        <v>792</v>
      </c>
      <c r="B225" s="93" t="s">
        <v>857</v>
      </c>
      <c r="C225" s="117" t="s">
        <v>857</v>
      </c>
      <c r="D225" s="176" t="s">
        <v>321</v>
      </c>
      <c r="E225" s="97">
        <v>2020</v>
      </c>
      <c r="F225" s="97">
        <v>0</v>
      </c>
      <c r="G225" s="97" t="e">
        <f>IF(Table683[[#This Row],[n]],1)*#REF!+IF(Table683[[#This Row],[Targets from Proposal]],1)+IF(Table683[[#This Row],[Targets from legal acts]],2)</f>
        <v>#REF!</v>
      </c>
      <c r="H225" s="97">
        <v>0</v>
      </c>
      <c r="I225" s="97">
        <v>0</v>
      </c>
      <c r="J225" s="97">
        <v>1</v>
      </c>
      <c r="K225" s="97" t="s">
        <v>1357</v>
      </c>
      <c r="L225" s="399" t="s">
        <v>2451</v>
      </c>
      <c r="M225" s="165" t="s">
        <v>2452</v>
      </c>
      <c r="N225" s="369" t="s">
        <v>2132</v>
      </c>
      <c r="AB225" s="10"/>
    </row>
    <row r="226" spans="1:28" ht="147" customHeight="1">
      <c r="A226" s="92" t="s">
        <v>792</v>
      </c>
      <c r="B226" s="93" t="s">
        <v>857</v>
      </c>
      <c r="C226" s="117" t="s">
        <v>857</v>
      </c>
      <c r="D226" s="176" t="s">
        <v>321</v>
      </c>
      <c r="E226" s="97">
        <v>2020</v>
      </c>
      <c r="F226" s="97">
        <v>0</v>
      </c>
      <c r="G226" s="97" t="e">
        <f>IF(Table683[[#This Row],[n]],1)*#REF!+IF(Table683[[#This Row],[Targets from Proposal]],1)+IF(Table683[[#This Row],[Targets from legal acts]],2)</f>
        <v>#REF!</v>
      </c>
      <c r="H226" s="97">
        <v>0</v>
      </c>
      <c r="I226" s="97">
        <v>0</v>
      </c>
      <c r="J226" s="97">
        <v>1</v>
      </c>
      <c r="K226" s="97" t="s">
        <v>1358</v>
      </c>
      <c r="L226" s="399" t="s">
        <v>2449</v>
      </c>
      <c r="M226" s="165" t="s">
        <v>2450</v>
      </c>
      <c r="N226" s="356"/>
      <c r="AB226" s="10"/>
    </row>
    <row r="227" spans="1:28" ht="147" customHeight="1">
      <c r="A227" s="92" t="s">
        <v>792</v>
      </c>
      <c r="B227" s="93" t="s">
        <v>857</v>
      </c>
      <c r="C227" s="117" t="s">
        <v>857</v>
      </c>
      <c r="D227" s="176" t="s">
        <v>321</v>
      </c>
      <c r="E227" s="97">
        <v>2020</v>
      </c>
      <c r="F227" s="97">
        <v>0</v>
      </c>
      <c r="G227" s="97" t="e">
        <f>IF(Table683[[#This Row],[n]],1)*#REF!+IF(Table683[[#This Row],[Targets from Proposal]],1)+IF(Table683[[#This Row],[Targets from legal acts]],2)</f>
        <v>#REF!</v>
      </c>
      <c r="H227" s="97">
        <v>0</v>
      </c>
      <c r="I227" s="97">
        <v>0</v>
      </c>
      <c r="J227" s="97">
        <v>1</v>
      </c>
      <c r="K227" s="97" t="s">
        <v>1359</v>
      </c>
      <c r="L227" s="399" t="s">
        <v>2453</v>
      </c>
      <c r="M227" s="165" t="s">
        <v>2454</v>
      </c>
      <c r="N227" s="369" t="s">
        <v>2132</v>
      </c>
      <c r="AB227" s="10"/>
    </row>
    <row r="228" spans="1:28" ht="147" customHeight="1">
      <c r="A228" s="92" t="s">
        <v>792</v>
      </c>
      <c r="B228" s="93" t="s">
        <v>857</v>
      </c>
      <c r="C228" s="117" t="s">
        <v>857</v>
      </c>
      <c r="D228" s="176" t="s">
        <v>321</v>
      </c>
      <c r="E228" s="97">
        <v>2020</v>
      </c>
      <c r="F228" s="97">
        <v>0</v>
      </c>
      <c r="G228" s="97" t="e">
        <f>IF(Table683[[#This Row],[n]],1)*#REF!+IF(Table683[[#This Row],[Targets from Proposal]],1)+IF(Table683[[#This Row],[Targets from legal acts]],2)</f>
        <v>#REF!</v>
      </c>
      <c r="H228" s="97">
        <v>0</v>
      </c>
      <c r="I228" s="97">
        <v>0</v>
      </c>
      <c r="J228" s="97">
        <v>1</v>
      </c>
      <c r="K228" s="97" t="s">
        <v>1360</v>
      </c>
      <c r="L228" s="390" t="s">
        <v>957</v>
      </c>
      <c r="M228" s="165"/>
      <c r="N228" s="356"/>
      <c r="AB228" s="10"/>
    </row>
    <row r="229" spans="1:28" ht="147" customHeight="1">
      <c r="A229" s="92" t="s">
        <v>792</v>
      </c>
      <c r="B229" s="93" t="s">
        <v>857</v>
      </c>
      <c r="C229" s="117" t="s">
        <v>857</v>
      </c>
      <c r="D229" s="176" t="s">
        <v>321</v>
      </c>
      <c r="E229" s="97">
        <v>2020</v>
      </c>
      <c r="F229" s="97">
        <v>0</v>
      </c>
      <c r="G229" s="97" t="e">
        <f>IF(Table683[[#This Row],[n]],1)*#REF!+IF(Table683[[#This Row],[Targets from Proposal]],1)+IF(Table683[[#This Row],[Targets from legal acts]],2)</f>
        <v>#REF!</v>
      </c>
      <c r="H229" s="97">
        <v>0</v>
      </c>
      <c r="I229" s="97">
        <v>0</v>
      </c>
      <c r="J229" s="97">
        <v>1</v>
      </c>
      <c r="K229" s="97" t="s">
        <v>1361</v>
      </c>
      <c r="L229" s="390" t="s">
        <v>953</v>
      </c>
      <c r="M229" s="165"/>
      <c r="N229" s="356"/>
      <c r="AB229" s="10"/>
    </row>
    <row r="230" spans="1:28" ht="147" customHeight="1">
      <c r="A230" s="92" t="s">
        <v>792</v>
      </c>
      <c r="B230" s="93" t="s">
        <v>857</v>
      </c>
      <c r="C230" s="117" t="s">
        <v>892</v>
      </c>
      <c r="D230" s="176" t="s">
        <v>321</v>
      </c>
      <c r="E230" s="97">
        <v>2023</v>
      </c>
      <c r="F230" s="97"/>
      <c r="G230" s="97"/>
      <c r="H230" s="97"/>
      <c r="I230" s="97"/>
      <c r="J230" s="97"/>
      <c r="K230" s="97" t="s">
        <v>1362</v>
      </c>
      <c r="L230" s="424"/>
      <c r="M230" s="309"/>
      <c r="N230" s="356"/>
      <c r="AB230" s="10"/>
    </row>
    <row r="231" spans="1:28" ht="147" customHeight="1">
      <c r="A231" s="92" t="s">
        <v>792</v>
      </c>
      <c r="B231" s="93" t="s">
        <v>857</v>
      </c>
      <c r="C231" s="117" t="s">
        <v>951</v>
      </c>
      <c r="D231" s="149" t="s">
        <v>101</v>
      </c>
      <c r="E231" s="97">
        <v>2023</v>
      </c>
      <c r="F231" s="97"/>
      <c r="G231" s="97"/>
      <c r="H231" s="97"/>
      <c r="I231" s="97"/>
      <c r="J231" s="97"/>
      <c r="K231" s="97" t="s">
        <v>1363</v>
      </c>
      <c r="L231" s="424"/>
      <c r="M231" s="309"/>
      <c r="N231" s="356"/>
      <c r="AB231" s="10"/>
    </row>
    <row r="232" spans="1:28" ht="147" customHeight="1">
      <c r="A232" s="92" t="s">
        <v>792</v>
      </c>
      <c r="B232" s="93" t="s">
        <v>857</v>
      </c>
      <c r="C232" s="117" t="s">
        <v>794</v>
      </c>
      <c r="D232" s="184" t="s">
        <v>321</v>
      </c>
      <c r="E232" s="99">
        <v>2021</v>
      </c>
      <c r="F232" s="99">
        <v>0</v>
      </c>
      <c r="G232" s="99" t="e">
        <f>IF(Table683[[#This Row],[n]],1)*#REF!+IF(Table683[[#This Row],[Targets from Proposal]],1)+IF(Table683[[#This Row],[Targets from legal acts]],2)</f>
        <v>#REF!</v>
      </c>
      <c r="H232" s="99">
        <v>0</v>
      </c>
      <c r="I232" s="99">
        <v>0</v>
      </c>
      <c r="J232" s="99">
        <v>1</v>
      </c>
      <c r="K232" s="99" t="s">
        <v>1364</v>
      </c>
      <c r="L232" s="419" t="s">
        <v>948</v>
      </c>
      <c r="M232" s="49"/>
      <c r="N232" s="349"/>
      <c r="AB232" s="10"/>
    </row>
    <row r="233" spans="1:28" ht="147" customHeight="1">
      <c r="A233" s="92" t="s">
        <v>792</v>
      </c>
      <c r="B233" s="93" t="s">
        <v>857</v>
      </c>
      <c r="C233" s="105" t="s">
        <v>794</v>
      </c>
      <c r="D233" s="194" t="s">
        <v>321</v>
      </c>
      <c r="E233" s="106">
        <v>2021</v>
      </c>
      <c r="F233" s="106"/>
      <c r="G233" s="106"/>
      <c r="H233" s="106"/>
      <c r="I233" s="106"/>
      <c r="J233" s="106"/>
      <c r="K233" s="106" t="s">
        <v>1365</v>
      </c>
      <c r="L233" s="434"/>
      <c r="M233" s="321"/>
      <c r="N233" s="357"/>
      <c r="AB233" s="10"/>
    </row>
    <row r="234" spans="1:28" ht="147" customHeight="1">
      <c r="A234" s="92" t="s">
        <v>792</v>
      </c>
      <c r="B234" s="93" t="s">
        <v>802</v>
      </c>
      <c r="C234" s="105" t="s">
        <v>857</v>
      </c>
      <c r="D234" s="204" t="s">
        <v>321</v>
      </c>
      <c r="E234" s="107">
        <v>2020</v>
      </c>
      <c r="F234" s="107"/>
      <c r="G234" s="107"/>
      <c r="H234" s="107"/>
      <c r="I234" s="107"/>
      <c r="J234" s="107"/>
      <c r="K234" s="107" t="s">
        <v>1366</v>
      </c>
      <c r="L234" s="434"/>
      <c r="M234" s="321"/>
      <c r="N234" s="357"/>
      <c r="AB234" s="10"/>
    </row>
    <row r="235" spans="1:28" ht="147" customHeight="1">
      <c r="A235" s="92" t="s">
        <v>792</v>
      </c>
      <c r="B235" s="93" t="s">
        <v>802</v>
      </c>
      <c r="C235" s="118" t="s">
        <v>946</v>
      </c>
      <c r="D235" s="193" t="s">
        <v>321</v>
      </c>
      <c r="E235" s="119">
        <v>2022</v>
      </c>
      <c r="F235" s="119"/>
      <c r="G235" s="119"/>
      <c r="H235" s="119"/>
      <c r="I235" s="119"/>
      <c r="J235" s="119"/>
      <c r="K235" s="119" t="s">
        <v>1367</v>
      </c>
      <c r="L235" s="435"/>
      <c r="M235" s="322"/>
      <c r="N235" s="369"/>
      <c r="AB235" s="10"/>
    </row>
    <row r="236" spans="1:28" ht="147" customHeight="1" thickBot="1">
      <c r="A236" s="92" t="s">
        <v>792</v>
      </c>
      <c r="B236" s="108" t="s">
        <v>802</v>
      </c>
      <c r="C236" s="117" t="s">
        <v>945</v>
      </c>
      <c r="D236" s="187" t="s">
        <v>321</v>
      </c>
      <c r="E236" s="104">
        <v>2023</v>
      </c>
      <c r="F236" s="104"/>
      <c r="G236" s="104"/>
      <c r="H236" s="104"/>
      <c r="I236" s="104"/>
      <c r="J236" s="104"/>
      <c r="K236" s="104" t="s">
        <v>1368</v>
      </c>
      <c r="L236" s="431"/>
      <c r="M236" s="171"/>
      <c r="N236" s="374"/>
      <c r="AB236" s="10"/>
    </row>
    <row r="237" spans="1:28" ht="147" customHeight="1">
      <c r="A237" s="92" t="s">
        <v>792</v>
      </c>
      <c r="B237" s="93" t="s">
        <v>802</v>
      </c>
      <c r="C237" s="125" t="s">
        <v>852</v>
      </c>
      <c r="D237" s="259" t="s">
        <v>298</v>
      </c>
      <c r="E237" s="132">
        <v>2019</v>
      </c>
      <c r="F237" s="132">
        <v>1</v>
      </c>
      <c r="G237" s="132" t="e">
        <f>IF(Table683[[#This Row],[n]],1)*#REF!+IF(Table683[[#This Row],[Targets from Proposal]],1)+IF(Table683[[#This Row],[Targets from legal acts]],2)</f>
        <v>#REF!</v>
      </c>
      <c r="H237" s="132">
        <v>1</v>
      </c>
      <c r="I237" s="132"/>
      <c r="J237" s="132">
        <v>1</v>
      </c>
      <c r="K237" s="132" t="s">
        <v>1369</v>
      </c>
      <c r="L237" s="406" t="s">
        <v>1370</v>
      </c>
      <c r="M237" s="323"/>
      <c r="N237" s="372"/>
      <c r="AB237" s="10"/>
    </row>
    <row r="238" spans="1:28" ht="147" customHeight="1">
      <c r="A238" s="92" t="s">
        <v>792</v>
      </c>
      <c r="B238" s="93" t="s">
        <v>802</v>
      </c>
      <c r="C238" s="105" t="s">
        <v>852</v>
      </c>
      <c r="D238" s="152" t="s">
        <v>298</v>
      </c>
      <c r="E238" s="106">
        <v>2019</v>
      </c>
      <c r="F238" s="106">
        <v>1</v>
      </c>
      <c r="G238" s="106" t="e">
        <f>IF(Table683[[#This Row],[n]],1)*#REF!+IF(Table683[[#This Row],[Targets from Proposal]],1)+IF(Table683[[#This Row],[Targets from legal acts]],2)</f>
        <v>#REF!</v>
      </c>
      <c r="H238" s="106">
        <v>1</v>
      </c>
      <c r="I238" s="106"/>
      <c r="J238" s="106">
        <v>1</v>
      </c>
      <c r="K238" s="106" t="s">
        <v>1371</v>
      </c>
      <c r="L238" s="407" t="s">
        <v>944</v>
      </c>
      <c r="M238" s="208"/>
      <c r="N238" s="357"/>
      <c r="AB238" s="10"/>
    </row>
    <row r="239" spans="1:28" ht="147" customHeight="1">
      <c r="A239" s="92" t="s">
        <v>792</v>
      </c>
      <c r="B239" s="93" t="s">
        <v>802</v>
      </c>
      <c r="C239" s="98" t="s">
        <v>846</v>
      </c>
      <c r="D239" s="184" t="s">
        <v>321</v>
      </c>
      <c r="E239" s="99">
        <v>2023</v>
      </c>
      <c r="F239" s="99">
        <v>0</v>
      </c>
      <c r="G239" s="99" t="e">
        <f>IF(Table683[[#This Row],[n]],1)*#REF!+IF(Table683[[#This Row],[Targets from Proposal]],1)+IF(Table683[[#This Row],[Targets from legal acts]],2)</f>
        <v>#REF!</v>
      </c>
      <c r="H239" s="99">
        <v>0</v>
      </c>
      <c r="I239" s="99">
        <v>0</v>
      </c>
      <c r="J239" s="99">
        <v>1</v>
      </c>
      <c r="K239" s="99" t="s">
        <v>1372</v>
      </c>
      <c r="L239" s="408" t="s">
        <v>2457</v>
      </c>
      <c r="M239" s="49" t="s">
        <v>2458</v>
      </c>
      <c r="N239" s="349" t="s">
        <v>2127</v>
      </c>
      <c r="AB239" s="10"/>
    </row>
    <row r="240" spans="1:28" ht="147" customHeight="1">
      <c r="A240" s="92" t="s">
        <v>792</v>
      </c>
      <c r="B240" s="93" t="s">
        <v>802</v>
      </c>
      <c r="C240" s="101" t="s">
        <v>892</v>
      </c>
      <c r="D240" s="181" t="s">
        <v>321</v>
      </c>
      <c r="E240" s="102">
        <v>2023</v>
      </c>
      <c r="F240" s="102"/>
      <c r="G240" s="102"/>
      <c r="H240" s="102"/>
      <c r="I240" s="102"/>
      <c r="J240" s="102"/>
      <c r="K240" s="102" t="s">
        <v>1373</v>
      </c>
      <c r="L240" s="427"/>
      <c r="M240" s="312"/>
      <c r="N240" s="358"/>
      <c r="AB240" s="10"/>
    </row>
    <row r="241" spans="1:64" ht="147" customHeight="1">
      <c r="A241" s="92" t="s">
        <v>792</v>
      </c>
      <c r="B241" s="93" t="s">
        <v>802</v>
      </c>
      <c r="C241" s="98" t="s">
        <v>943</v>
      </c>
      <c r="D241" s="150" t="s">
        <v>110</v>
      </c>
      <c r="E241" s="99">
        <v>2023</v>
      </c>
      <c r="F241" s="99"/>
      <c r="G241" s="99"/>
      <c r="H241" s="99"/>
      <c r="I241" s="99"/>
      <c r="J241" s="99"/>
      <c r="K241" s="99" t="s">
        <v>1374</v>
      </c>
      <c r="L241" s="419"/>
      <c r="M241" s="49"/>
      <c r="N241" s="349"/>
      <c r="AB241" s="10"/>
    </row>
    <row r="242" spans="1:64" ht="147" customHeight="1">
      <c r="A242" s="92" t="s">
        <v>792</v>
      </c>
      <c r="B242" s="93" t="s">
        <v>802</v>
      </c>
      <c r="C242" s="98" t="s">
        <v>891</v>
      </c>
      <c r="D242" s="152" t="s">
        <v>110</v>
      </c>
      <c r="E242" s="106">
        <v>2023</v>
      </c>
      <c r="F242" s="106"/>
      <c r="G242" s="106"/>
      <c r="H242" s="106"/>
      <c r="I242" s="106"/>
      <c r="J242" s="106"/>
      <c r="K242" s="106" t="s">
        <v>1375</v>
      </c>
      <c r="L242" s="407"/>
      <c r="M242" s="208"/>
      <c r="N242" s="357"/>
      <c r="AB242" s="10"/>
    </row>
    <row r="243" spans="1:64" s="9" customFormat="1" ht="147" customHeight="1">
      <c r="A243" s="92" t="s">
        <v>792</v>
      </c>
      <c r="B243" s="93" t="s">
        <v>802</v>
      </c>
      <c r="C243" s="105" t="s">
        <v>803</v>
      </c>
      <c r="D243" s="152" t="s">
        <v>1376</v>
      </c>
      <c r="E243" s="106">
        <v>2023</v>
      </c>
      <c r="F243" s="106">
        <v>1</v>
      </c>
      <c r="G243" s="106">
        <v>3</v>
      </c>
      <c r="H243" s="106">
        <v>1</v>
      </c>
      <c r="I243" s="106"/>
      <c r="J243" s="106">
        <v>1</v>
      </c>
      <c r="K243" s="106" t="s">
        <v>1377</v>
      </c>
      <c r="L243" s="461" t="s">
        <v>2397</v>
      </c>
      <c r="M243" s="324" t="s">
        <v>2398</v>
      </c>
      <c r="N243" s="460" t="s">
        <v>2132</v>
      </c>
      <c r="O243" s="10"/>
      <c r="P243" s="10"/>
      <c r="Q243" s="10"/>
      <c r="R243" s="10"/>
      <c r="S243" s="10"/>
      <c r="T243" s="10"/>
      <c r="U243" s="10"/>
      <c r="V243" s="10"/>
      <c r="W243" s="10"/>
      <c r="X243" s="10"/>
      <c r="Y243" s="10"/>
      <c r="Z243" s="10"/>
      <c r="AA243" s="10"/>
      <c r="AB243" s="10"/>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row>
    <row r="244" spans="1:64" ht="147" customHeight="1">
      <c r="A244" s="92" t="s">
        <v>792</v>
      </c>
      <c r="B244" s="93" t="s">
        <v>802</v>
      </c>
      <c r="C244" s="105" t="s">
        <v>803</v>
      </c>
      <c r="D244" s="152" t="s">
        <v>1376</v>
      </c>
      <c r="E244" s="106">
        <v>2023</v>
      </c>
      <c r="F244" s="106">
        <v>1</v>
      </c>
      <c r="G244" s="106">
        <v>3</v>
      </c>
      <c r="H244" s="106">
        <v>1</v>
      </c>
      <c r="I244" s="106"/>
      <c r="J244" s="106">
        <v>1</v>
      </c>
      <c r="K244" s="106" t="s">
        <v>1378</v>
      </c>
      <c r="L244" s="461" t="s">
        <v>2399</v>
      </c>
      <c r="M244" s="324" t="s">
        <v>2400</v>
      </c>
      <c r="N244" s="357" t="s">
        <v>2132</v>
      </c>
      <c r="AB244" s="10"/>
    </row>
    <row r="245" spans="1:64" ht="147" customHeight="1">
      <c r="A245" s="92" t="s">
        <v>792</v>
      </c>
      <c r="B245" s="93" t="s">
        <v>802</v>
      </c>
      <c r="C245" s="105" t="s">
        <v>803</v>
      </c>
      <c r="D245" s="151" t="s">
        <v>1376</v>
      </c>
      <c r="E245" s="102">
        <v>2023</v>
      </c>
      <c r="F245" s="102">
        <v>1</v>
      </c>
      <c r="G245" s="102">
        <v>3</v>
      </c>
      <c r="H245" s="102">
        <v>1</v>
      </c>
      <c r="I245" s="102"/>
      <c r="J245" s="102">
        <v>1</v>
      </c>
      <c r="K245" s="102" t="s">
        <v>1379</v>
      </c>
      <c r="L245" s="400" t="s">
        <v>2401</v>
      </c>
      <c r="M245" s="288" t="s">
        <v>2402</v>
      </c>
      <c r="N245" s="357" t="s">
        <v>2132</v>
      </c>
      <c r="AB245" s="10"/>
    </row>
    <row r="246" spans="1:64" ht="147" customHeight="1">
      <c r="A246" s="92" t="s">
        <v>792</v>
      </c>
      <c r="B246" s="93" t="s">
        <v>802</v>
      </c>
      <c r="C246" s="105" t="s">
        <v>803</v>
      </c>
      <c r="D246" s="151" t="s">
        <v>1376</v>
      </c>
      <c r="E246" s="121">
        <v>2023</v>
      </c>
      <c r="F246" s="121">
        <v>1</v>
      </c>
      <c r="G246" s="121">
        <v>3</v>
      </c>
      <c r="H246" s="121">
        <v>1</v>
      </c>
      <c r="I246" s="121"/>
      <c r="J246" s="121">
        <v>1</v>
      </c>
      <c r="K246" s="121" t="s">
        <v>1381</v>
      </c>
      <c r="L246" s="423" t="s">
        <v>2403</v>
      </c>
      <c r="M246" s="325" t="s">
        <v>2404</v>
      </c>
      <c r="N246" s="357" t="s">
        <v>2132</v>
      </c>
      <c r="AB246" s="10"/>
    </row>
    <row r="247" spans="1:64" ht="147" customHeight="1">
      <c r="A247" s="92" t="s">
        <v>792</v>
      </c>
      <c r="B247" s="93" t="s">
        <v>802</v>
      </c>
      <c r="C247" s="105" t="s">
        <v>803</v>
      </c>
      <c r="D247" s="151" t="s">
        <v>1376</v>
      </c>
      <c r="E247" s="126">
        <v>2023</v>
      </c>
      <c r="F247" s="121">
        <v>1</v>
      </c>
      <c r="G247" s="121">
        <v>3</v>
      </c>
      <c r="H247" s="121">
        <v>1</v>
      </c>
      <c r="I247" s="121"/>
      <c r="J247" s="121">
        <v>1</v>
      </c>
      <c r="K247" s="121" t="s">
        <v>1382</v>
      </c>
      <c r="L247" s="423" t="s">
        <v>2405</v>
      </c>
      <c r="M247" s="325" t="s">
        <v>2406</v>
      </c>
      <c r="N247" s="369" t="s">
        <v>2132</v>
      </c>
      <c r="AB247" s="10"/>
    </row>
    <row r="248" spans="1:64" ht="147" customHeight="1">
      <c r="A248" s="92" t="s">
        <v>792</v>
      </c>
      <c r="B248" s="93" t="s">
        <v>802</v>
      </c>
      <c r="C248" s="105" t="s">
        <v>803</v>
      </c>
      <c r="D248" s="151" t="s">
        <v>1376</v>
      </c>
      <c r="E248" s="119">
        <v>2023</v>
      </c>
      <c r="F248" s="119">
        <v>1</v>
      </c>
      <c r="G248" s="119">
        <v>3</v>
      </c>
      <c r="H248" s="119">
        <v>1</v>
      </c>
      <c r="I248" s="119"/>
      <c r="J248" s="119">
        <v>1</v>
      </c>
      <c r="K248" s="119" t="s">
        <v>1383</v>
      </c>
      <c r="L248" s="412" t="s">
        <v>2407</v>
      </c>
      <c r="M248" s="326" t="s">
        <v>2408</v>
      </c>
      <c r="N248" s="369" t="s">
        <v>2135</v>
      </c>
      <c r="AB248" s="10"/>
    </row>
    <row r="249" spans="1:64" ht="147" customHeight="1">
      <c r="A249" s="92" t="s">
        <v>792</v>
      </c>
      <c r="B249" s="93" t="s">
        <v>802</v>
      </c>
      <c r="C249" s="105" t="s">
        <v>803</v>
      </c>
      <c r="D249" s="151" t="s">
        <v>1376</v>
      </c>
      <c r="E249" s="97">
        <v>2023</v>
      </c>
      <c r="F249" s="97">
        <v>1</v>
      </c>
      <c r="G249" s="97">
        <v>3</v>
      </c>
      <c r="H249" s="97">
        <v>1</v>
      </c>
      <c r="I249" s="97"/>
      <c r="J249" s="97">
        <v>1</v>
      </c>
      <c r="K249" s="97" t="s">
        <v>1384</v>
      </c>
      <c r="L249" s="399" t="s">
        <v>2409</v>
      </c>
      <c r="M249" s="319" t="s">
        <v>2410</v>
      </c>
      <c r="N249" s="356" t="s">
        <v>2127</v>
      </c>
      <c r="AB249" s="10"/>
    </row>
    <row r="250" spans="1:64" ht="147" customHeight="1">
      <c r="A250" s="92" t="s">
        <v>792</v>
      </c>
      <c r="B250" s="93" t="s">
        <v>802</v>
      </c>
      <c r="C250" s="105" t="s">
        <v>803</v>
      </c>
      <c r="D250" s="151" t="s">
        <v>1376</v>
      </c>
      <c r="E250" s="97">
        <v>2023</v>
      </c>
      <c r="F250" s="97">
        <v>1</v>
      </c>
      <c r="G250" s="97">
        <v>3</v>
      </c>
      <c r="H250" s="97">
        <v>1</v>
      </c>
      <c r="I250" s="97"/>
      <c r="J250" s="97">
        <v>1</v>
      </c>
      <c r="K250" s="97" t="s">
        <v>1385</v>
      </c>
      <c r="L250" s="420" t="s">
        <v>2423</v>
      </c>
      <c r="M250" s="327" t="s">
        <v>2419</v>
      </c>
      <c r="N250" s="356" t="s">
        <v>2132</v>
      </c>
      <c r="AB250" s="10"/>
    </row>
    <row r="251" spans="1:64" ht="147" customHeight="1">
      <c r="A251" s="92" t="s">
        <v>792</v>
      </c>
      <c r="B251" s="93" t="s">
        <v>802</v>
      </c>
      <c r="C251" s="105" t="s">
        <v>803</v>
      </c>
      <c r="D251" s="151" t="s">
        <v>1376</v>
      </c>
      <c r="E251" s="97">
        <v>2023</v>
      </c>
      <c r="F251" s="97">
        <v>1</v>
      </c>
      <c r="G251" s="97">
        <v>3</v>
      </c>
      <c r="H251" s="97">
        <v>1</v>
      </c>
      <c r="I251" s="97"/>
      <c r="J251" s="97">
        <v>1</v>
      </c>
      <c r="K251" s="97" t="s">
        <v>1386</v>
      </c>
      <c r="L251" s="420" t="s">
        <v>2424</v>
      </c>
      <c r="M251" s="327" t="s">
        <v>2420</v>
      </c>
      <c r="N251" s="356" t="s">
        <v>2132</v>
      </c>
      <c r="AB251" s="10"/>
    </row>
    <row r="252" spans="1:64" ht="147" customHeight="1">
      <c r="A252" s="92" t="s">
        <v>792</v>
      </c>
      <c r="B252" s="93" t="s">
        <v>802</v>
      </c>
      <c r="C252" s="105" t="s">
        <v>803</v>
      </c>
      <c r="D252" s="151" t="s">
        <v>1376</v>
      </c>
      <c r="E252" s="97">
        <v>2023</v>
      </c>
      <c r="F252" s="97">
        <v>1</v>
      </c>
      <c r="G252" s="97">
        <v>3</v>
      </c>
      <c r="H252" s="97">
        <v>1</v>
      </c>
      <c r="I252" s="97"/>
      <c r="J252" s="97">
        <v>1</v>
      </c>
      <c r="K252" s="97" t="s">
        <v>1387</v>
      </c>
      <c r="L252" s="399" t="s">
        <v>2422</v>
      </c>
      <c r="M252" s="319" t="s">
        <v>2421</v>
      </c>
      <c r="N252" s="356" t="s">
        <v>2132</v>
      </c>
      <c r="AB252" s="10"/>
    </row>
    <row r="253" spans="1:64" ht="147" customHeight="1">
      <c r="A253" s="92" t="s">
        <v>792</v>
      </c>
      <c r="B253" s="93" t="s">
        <v>802</v>
      </c>
      <c r="C253" s="105" t="s">
        <v>803</v>
      </c>
      <c r="D253" s="151" t="s">
        <v>1376</v>
      </c>
      <c r="E253" s="97">
        <v>2023</v>
      </c>
      <c r="F253" s="97">
        <v>1</v>
      </c>
      <c r="G253" s="97">
        <v>3</v>
      </c>
      <c r="H253" s="97">
        <v>1</v>
      </c>
      <c r="I253" s="97"/>
      <c r="J253" s="97">
        <v>1</v>
      </c>
      <c r="K253" s="97" t="s">
        <v>1388</v>
      </c>
      <c r="L253" s="399" t="s">
        <v>2411</v>
      </c>
      <c r="M253" s="319" t="s">
        <v>2412</v>
      </c>
      <c r="N253" s="356" t="s">
        <v>2132</v>
      </c>
      <c r="AB253" s="10"/>
    </row>
    <row r="254" spans="1:64" ht="147" customHeight="1">
      <c r="A254" s="92" t="s">
        <v>792</v>
      </c>
      <c r="B254" s="93" t="s">
        <v>802</v>
      </c>
      <c r="C254" s="105" t="s">
        <v>803</v>
      </c>
      <c r="D254" s="151" t="s">
        <v>1376</v>
      </c>
      <c r="E254" s="97">
        <v>2023</v>
      </c>
      <c r="F254" s="97">
        <v>1</v>
      </c>
      <c r="G254" s="97">
        <v>3</v>
      </c>
      <c r="H254" s="97">
        <v>1</v>
      </c>
      <c r="I254" s="97"/>
      <c r="J254" s="97">
        <v>1</v>
      </c>
      <c r="K254" s="97" t="s">
        <v>1389</v>
      </c>
      <c r="L254" s="399" t="s">
        <v>2425</v>
      </c>
      <c r="M254" s="328" t="s">
        <v>968</v>
      </c>
      <c r="N254" s="356" t="s">
        <v>2135</v>
      </c>
      <c r="AB254" s="10"/>
    </row>
    <row r="255" spans="1:64" ht="147" customHeight="1">
      <c r="A255" s="92" t="s">
        <v>792</v>
      </c>
      <c r="B255" s="93" t="s">
        <v>802</v>
      </c>
      <c r="C255" s="105" t="s">
        <v>803</v>
      </c>
      <c r="D255" s="151" t="s">
        <v>1376</v>
      </c>
      <c r="E255" s="97">
        <v>2023</v>
      </c>
      <c r="F255" s="97">
        <v>1</v>
      </c>
      <c r="G255" s="97">
        <v>3</v>
      </c>
      <c r="H255" s="97">
        <v>1</v>
      </c>
      <c r="I255" s="97"/>
      <c r="J255" s="97">
        <v>1</v>
      </c>
      <c r="K255" s="97" t="s">
        <v>1390</v>
      </c>
      <c r="L255" s="399" t="s">
        <v>2413</v>
      </c>
      <c r="M255" s="319" t="s">
        <v>2414</v>
      </c>
      <c r="N255" s="356" t="s">
        <v>2132</v>
      </c>
      <c r="AB255" s="10"/>
    </row>
    <row r="256" spans="1:64" ht="147" customHeight="1">
      <c r="A256" s="92" t="s">
        <v>792</v>
      </c>
      <c r="B256" s="93" t="s">
        <v>802</v>
      </c>
      <c r="C256" s="105" t="s">
        <v>803</v>
      </c>
      <c r="D256" s="151" t="s">
        <v>1376</v>
      </c>
      <c r="E256" s="97">
        <v>2023</v>
      </c>
      <c r="F256" s="97">
        <v>1</v>
      </c>
      <c r="G256" s="97">
        <v>3</v>
      </c>
      <c r="H256" s="97">
        <v>1</v>
      </c>
      <c r="I256" s="97"/>
      <c r="J256" s="97">
        <v>1</v>
      </c>
      <c r="K256" s="97" t="s">
        <v>1391</v>
      </c>
      <c r="L256" s="399" t="s">
        <v>2415</v>
      </c>
      <c r="M256" s="319" t="s">
        <v>2416</v>
      </c>
      <c r="N256" s="356" t="s">
        <v>2135</v>
      </c>
      <c r="AB256" s="10"/>
    </row>
    <row r="257" spans="1:64" ht="147" customHeight="1">
      <c r="A257" s="92" t="s">
        <v>792</v>
      </c>
      <c r="B257" s="93" t="s">
        <v>802</v>
      </c>
      <c r="C257" s="105" t="s">
        <v>803</v>
      </c>
      <c r="D257" s="151" t="s">
        <v>1376</v>
      </c>
      <c r="E257" s="97">
        <v>2023</v>
      </c>
      <c r="F257" s="97">
        <v>1</v>
      </c>
      <c r="G257" s="97">
        <v>3</v>
      </c>
      <c r="H257" s="97">
        <v>1</v>
      </c>
      <c r="I257" s="97"/>
      <c r="J257" s="97">
        <v>1</v>
      </c>
      <c r="K257" s="97" t="s">
        <v>1392</v>
      </c>
      <c r="L257" s="399" t="s">
        <v>2417</v>
      </c>
      <c r="M257" s="319" t="s">
        <v>2418</v>
      </c>
      <c r="N257" s="356" t="s">
        <v>2135</v>
      </c>
      <c r="AB257" s="10"/>
    </row>
    <row r="258" spans="1:64" ht="147" customHeight="1">
      <c r="A258" s="92" t="s">
        <v>792</v>
      </c>
      <c r="B258" s="93" t="s">
        <v>802</v>
      </c>
      <c r="C258" s="105" t="s">
        <v>803</v>
      </c>
      <c r="D258" s="151" t="s">
        <v>1376</v>
      </c>
      <c r="E258" s="97">
        <v>2023</v>
      </c>
      <c r="F258" s="97">
        <v>1</v>
      </c>
      <c r="G258" s="97">
        <v>3</v>
      </c>
      <c r="H258" s="97">
        <v>1</v>
      </c>
      <c r="I258" s="97"/>
      <c r="J258" s="97">
        <v>1</v>
      </c>
      <c r="K258" s="97" t="s">
        <v>1393</v>
      </c>
      <c r="L258" s="420" t="s">
        <v>2433</v>
      </c>
      <c r="M258" s="327" t="s">
        <v>2432</v>
      </c>
      <c r="N258" s="356" t="s">
        <v>2135</v>
      </c>
      <c r="AB258" s="10"/>
    </row>
    <row r="259" spans="1:64" s="205" customFormat="1" ht="147" customHeight="1">
      <c r="A259" s="92" t="s">
        <v>792</v>
      </c>
      <c r="B259" s="93" t="s">
        <v>802</v>
      </c>
      <c r="C259" s="105" t="s">
        <v>803</v>
      </c>
      <c r="D259" s="151" t="s">
        <v>1376</v>
      </c>
      <c r="E259" s="97">
        <v>2023</v>
      </c>
      <c r="F259" s="97">
        <v>1</v>
      </c>
      <c r="G259" s="97">
        <v>3</v>
      </c>
      <c r="H259" s="97">
        <v>1</v>
      </c>
      <c r="I259" s="97"/>
      <c r="J259" s="97">
        <v>1</v>
      </c>
      <c r="K259" s="97" t="s">
        <v>1394</v>
      </c>
      <c r="L259" s="399" t="s">
        <v>2435</v>
      </c>
      <c r="M259" s="319" t="s">
        <v>2434</v>
      </c>
      <c r="N259" s="356" t="s">
        <v>2135</v>
      </c>
      <c r="O259" s="10"/>
      <c r="P259" s="10"/>
      <c r="Q259" s="10"/>
      <c r="R259" s="10"/>
      <c r="S259" s="10"/>
      <c r="T259" s="10"/>
      <c r="U259" s="10"/>
      <c r="V259" s="10"/>
      <c r="W259" s="10"/>
      <c r="X259" s="10"/>
      <c r="Y259" s="10"/>
      <c r="Z259" s="10"/>
      <c r="AA259" s="10"/>
      <c r="AB259" s="10"/>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row>
    <row r="260" spans="1:64" s="205" customFormat="1" ht="147" customHeight="1">
      <c r="A260" s="92" t="s">
        <v>792</v>
      </c>
      <c r="B260" s="93" t="s">
        <v>802</v>
      </c>
      <c r="C260" s="105" t="s">
        <v>803</v>
      </c>
      <c r="D260" s="151" t="s">
        <v>1376</v>
      </c>
      <c r="E260" s="97">
        <v>2023</v>
      </c>
      <c r="F260" s="97">
        <v>1</v>
      </c>
      <c r="G260" s="97">
        <v>3</v>
      </c>
      <c r="H260" s="97">
        <v>1</v>
      </c>
      <c r="I260" s="97"/>
      <c r="J260" s="97">
        <v>1</v>
      </c>
      <c r="K260" s="97" t="s">
        <v>1395</v>
      </c>
      <c r="L260" s="399" t="s">
        <v>2445</v>
      </c>
      <c r="M260" s="328" t="s">
        <v>2436</v>
      </c>
      <c r="N260" s="356" t="s">
        <v>2132</v>
      </c>
      <c r="O260" s="10"/>
      <c r="P260" s="10"/>
      <c r="Q260" s="10"/>
      <c r="R260" s="10"/>
      <c r="S260" s="10"/>
      <c r="T260" s="10"/>
      <c r="U260" s="10"/>
      <c r="V260" s="10"/>
      <c r="W260" s="10"/>
      <c r="X260" s="10"/>
      <c r="Y260" s="10"/>
      <c r="Z260" s="10"/>
      <c r="AA260" s="10"/>
      <c r="AB260" s="10"/>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row>
    <row r="261" spans="1:64" ht="147" customHeight="1">
      <c r="A261" s="92" t="s">
        <v>792</v>
      </c>
      <c r="B261" s="93" t="s">
        <v>802</v>
      </c>
      <c r="C261" s="105" t="s">
        <v>803</v>
      </c>
      <c r="D261" s="151" t="s">
        <v>1376</v>
      </c>
      <c r="E261" s="26">
        <v>2023</v>
      </c>
      <c r="F261" s="55">
        <v>1</v>
      </c>
      <c r="G261" s="55">
        <v>3</v>
      </c>
      <c r="H261" s="55">
        <v>1</v>
      </c>
      <c r="I261" s="55"/>
      <c r="J261" s="55">
        <v>1</v>
      </c>
      <c r="K261" s="281" t="s">
        <v>1396</v>
      </c>
      <c r="L261" s="399" t="s">
        <v>2431</v>
      </c>
      <c r="M261" s="319" t="s">
        <v>2430</v>
      </c>
      <c r="N261" s="348" t="s">
        <v>2127</v>
      </c>
      <c r="AB261" s="10"/>
    </row>
    <row r="262" spans="1:64" ht="147" customHeight="1">
      <c r="A262" s="92" t="s">
        <v>792</v>
      </c>
      <c r="B262" s="93" t="s">
        <v>802</v>
      </c>
      <c r="C262" s="105" t="s">
        <v>803</v>
      </c>
      <c r="D262" s="151" t="s">
        <v>1376</v>
      </c>
      <c r="E262" s="26">
        <v>2023</v>
      </c>
      <c r="F262" s="55">
        <v>1</v>
      </c>
      <c r="G262" s="55">
        <v>3</v>
      </c>
      <c r="H262" s="55">
        <v>1</v>
      </c>
      <c r="I262" s="55"/>
      <c r="J262" s="55">
        <v>1</v>
      </c>
      <c r="K262" s="55" t="s">
        <v>1397</v>
      </c>
      <c r="L262" s="399" t="s">
        <v>2427</v>
      </c>
      <c r="M262" s="306" t="s">
        <v>2426</v>
      </c>
      <c r="N262" s="348" t="s">
        <v>2132</v>
      </c>
      <c r="AB262" s="10"/>
    </row>
    <row r="263" spans="1:64" ht="147" customHeight="1">
      <c r="A263" s="92" t="s">
        <v>792</v>
      </c>
      <c r="B263" s="93" t="s">
        <v>802</v>
      </c>
      <c r="C263" s="105" t="s">
        <v>803</v>
      </c>
      <c r="D263" s="151" t="s">
        <v>1376</v>
      </c>
      <c r="E263" s="97">
        <v>2023</v>
      </c>
      <c r="F263" s="97">
        <v>1</v>
      </c>
      <c r="G263" s="97">
        <v>3</v>
      </c>
      <c r="H263" s="97">
        <v>1</v>
      </c>
      <c r="I263" s="97"/>
      <c r="J263" s="97">
        <v>1</v>
      </c>
      <c r="K263" s="97" t="s">
        <v>1398</v>
      </c>
      <c r="L263" s="399" t="s">
        <v>2429</v>
      </c>
      <c r="M263" s="306" t="s">
        <v>2428</v>
      </c>
      <c r="N263" s="356" t="s">
        <v>2130</v>
      </c>
      <c r="AB263" s="10"/>
    </row>
    <row r="264" spans="1:64" ht="147" customHeight="1">
      <c r="A264" s="92" t="s">
        <v>792</v>
      </c>
      <c r="B264" s="93" t="s">
        <v>802</v>
      </c>
      <c r="C264" s="96" t="s">
        <v>915</v>
      </c>
      <c r="D264" s="149" t="s">
        <v>101</v>
      </c>
      <c r="E264" s="97">
        <v>2022</v>
      </c>
      <c r="F264" s="97"/>
      <c r="G264" s="97"/>
      <c r="H264" s="97"/>
      <c r="I264" s="97"/>
      <c r="J264" s="97"/>
      <c r="K264" s="97" t="s">
        <v>1399</v>
      </c>
      <c r="L264" s="390"/>
      <c r="M264" s="165"/>
      <c r="N264" s="356"/>
      <c r="AB264" s="10"/>
    </row>
    <row r="265" spans="1:64" ht="147" customHeight="1">
      <c r="A265" s="92" t="s">
        <v>792</v>
      </c>
      <c r="B265" s="93" t="s">
        <v>908</v>
      </c>
      <c r="C265" s="96" t="s">
        <v>895</v>
      </c>
      <c r="D265" s="176" t="s">
        <v>321</v>
      </c>
      <c r="E265" s="97">
        <v>2021</v>
      </c>
      <c r="F265" s="97">
        <v>0</v>
      </c>
      <c r="G265" s="97" t="e">
        <f>IF(Table683[[#This Row],[n]],1)*#REF!+IF(Table683[[#This Row],[Targets from Proposal]],1)+IF(Table683[[#This Row],[Targets from legal acts]],2)</f>
        <v>#REF!</v>
      </c>
      <c r="H265" s="97">
        <v>0</v>
      </c>
      <c r="I265" s="97">
        <v>0</v>
      </c>
      <c r="J265" s="97">
        <v>1</v>
      </c>
      <c r="K265" s="97" t="s">
        <v>1400</v>
      </c>
      <c r="L265" s="390" t="s">
        <v>911</v>
      </c>
      <c r="M265" s="165"/>
      <c r="N265" s="356"/>
      <c r="AB265" s="10"/>
    </row>
    <row r="266" spans="1:64" ht="147" customHeight="1" thickBot="1">
      <c r="A266" s="92" t="s">
        <v>792</v>
      </c>
      <c r="B266" s="108" t="s">
        <v>908</v>
      </c>
      <c r="C266" s="103" t="s">
        <v>895</v>
      </c>
      <c r="D266" s="254" t="s">
        <v>321</v>
      </c>
      <c r="E266" s="104">
        <v>2021</v>
      </c>
      <c r="F266" s="104">
        <v>0</v>
      </c>
      <c r="G266" s="104" t="e">
        <f>IF(Table683[[#This Row],[n]],1)*#REF!+IF(Table683[[#This Row],[Targets from Proposal]],1)+IF(Table683[[#This Row],[Targets from legal acts]],2)</f>
        <v>#REF!</v>
      </c>
      <c r="H266" s="104">
        <v>0</v>
      </c>
      <c r="I266" s="104">
        <v>0</v>
      </c>
      <c r="J266" s="104">
        <v>1</v>
      </c>
      <c r="K266" s="104" t="s">
        <v>1401</v>
      </c>
      <c r="L266" s="431" t="s">
        <v>910</v>
      </c>
      <c r="M266" s="171"/>
      <c r="N266" s="363"/>
      <c r="AB266" s="10"/>
    </row>
    <row r="267" spans="1:64" ht="147" customHeight="1">
      <c r="A267" s="92" t="s">
        <v>792</v>
      </c>
      <c r="B267" s="93" t="s">
        <v>908</v>
      </c>
      <c r="C267" s="123" t="s">
        <v>895</v>
      </c>
      <c r="D267" s="261" t="s">
        <v>321</v>
      </c>
      <c r="E267" s="112">
        <v>2021</v>
      </c>
      <c r="F267" s="112">
        <v>0</v>
      </c>
      <c r="G267" s="112" t="e">
        <f>IF(Table683[[#This Row],[n]],1)*#REF!+IF(Table683[[#This Row],[Targets from Proposal]],1)+IF(Table683[[#This Row],[Targets from legal acts]],2)</f>
        <v>#REF!</v>
      </c>
      <c r="H267" s="112">
        <v>0</v>
      </c>
      <c r="I267" s="112">
        <v>0</v>
      </c>
      <c r="J267" s="112">
        <v>1</v>
      </c>
      <c r="K267" s="112" t="s">
        <v>1402</v>
      </c>
      <c r="L267" s="426" t="s">
        <v>909</v>
      </c>
      <c r="M267" s="209"/>
      <c r="N267" s="378"/>
      <c r="AB267" s="10"/>
    </row>
    <row r="268" spans="1:64" ht="147" customHeight="1">
      <c r="A268" s="92" t="s">
        <v>792</v>
      </c>
      <c r="B268" s="93" t="s">
        <v>164</v>
      </c>
      <c r="C268" s="118" t="s">
        <v>895</v>
      </c>
      <c r="D268" s="193" t="s">
        <v>321</v>
      </c>
      <c r="E268" s="119">
        <v>2021</v>
      </c>
      <c r="F268" s="119">
        <v>0</v>
      </c>
      <c r="G268" s="119" t="e">
        <f>IF(Table683[[#This Row],[n]],1)*#REF!+IF(Table683[[#This Row],[Targets from Proposal]],1)+IF(Table683[[#This Row],[Targets from legal acts]],2)</f>
        <v>#REF!</v>
      </c>
      <c r="H268" s="119">
        <v>0</v>
      </c>
      <c r="I268" s="119">
        <v>0</v>
      </c>
      <c r="J268" s="119">
        <v>1</v>
      </c>
      <c r="K268" s="119" t="s">
        <v>1403</v>
      </c>
      <c r="L268" s="430" t="s">
        <v>904</v>
      </c>
      <c r="M268" s="206"/>
      <c r="N268" s="371"/>
      <c r="AB268" s="10"/>
    </row>
    <row r="269" spans="1:64" ht="147" customHeight="1">
      <c r="A269" s="92" t="s">
        <v>792</v>
      </c>
      <c r="B269" s="93" t="s">
        <v>164</v>
      </c>
      <c r="C269" s="96" t="s">
        <v>895</v>
      </c>
      <c r="D269" s="176" t="s">
        <v>321</v>
      </c>
      <c r="E269" s="97">
        <v>2021</v>
      </c>
      <c r="F269" s="97">
        <v>0</v>
      </c>
      <c r="G269" s="97" t="e">
        <f>IF(Table683[[#This Row],[n]],1)*#REF!+IF(Table683[[#This Row],[Targets from Proposal]],1)+IF(Table683[[#This Row],[Targets from legal acts]],2)</f>
        <v>#REF!</v>
      </c>
      <c r="H269" s="97">
        <v>0</v>
      </c>
      <c r="I269" s="97">
        <v>0</v>
      </c>
      <c r="J269" s="97">
        <v>1</v>
      </c>
      <c r="K269" s="97" t="s">
        <v>1404</v>
      </c>
      <c r="L269" s="390" t="s">
        <v>902</v>
      </c>
      <c r="M269" s="165"/>
      <c r="N269" s="356"/>
      <c r="AB269" s="10"/>
    </row>
    <row r="270" spans="1:64" ht="147" customHeight="1" thickBot="1">
      <c r="A270" s="92" t="s">
        <v>792</v>
      </c>
      <c r="B270" s="108" t="s">
        <v>164</v>
      </c>
      <c r="C270" s="127" t="s">
        <v>895</v>
      </c>
      <c r="D270" s="262" t="s">
        <v>321</v>
      </c>
      <c r="E270" s="128">
        <v>2021</v>
      </c>
      <c r="F270" s="128">
        <v>0</v>
      </c>
      <c r="G270" s="128" t="e">
        <f>IF(Table683[[#This Row],[n]],1)*#REF!+IF(Table683[[#This Row],[Targets from Proposal]],1)+IF(Table683[[#This Row],[Targets from legal acts]],2)</f>
        <v>#REF!</v>
      </c>
      <c r="H270" s="128">
        <v>0</v>
      </c>
      <c r="I270" s="128">
        <v>0</v>
      </c>
      <c r="J270" s="128">
        <v>1</v>
      </c>
      <c r="K270" s="128" t="s">
        <v>1405</v>
      </c>
      <c r="L270" s="437" t="s">
        <v>900</v>
      </c>
      <c r="M270" s="290"/>
      <c r="N270" s="374"/>
      <c r="AB270" s="10"/>
    </row>
    <row r="271" spans="1:64" ht="147" customHeight="1">
      <c r="A271" s="92" t="s">
        <v>792</v>
      </c>
      <c r="B271" s="93" t="s">
        <v>164</v>
      </c>
      <c r="C271" s="118" t="s">
        <v>895</v>
      </c>
      <c r="D271" s="193" t="s">
        <v>321</v>
      </c>
      <c r="E271" s="119">
        <v>2021</v>
      </c>
      <c r="F271" s="119">
        <v>0</v>
      </c>
      <c r="G271" s="119" t="e">
        <f>IF(Table683[[#This Row],[n]],1)*#REF!+IF(Table683[[#This Row],[Targets from Proposal]],1)+IF(Table683[[#This Row],[Targets from legal acts]],2)</f>
        <v>#REF!</v>
      </c>
      <c r="H271" s="119">
        <v>0</v>
      </c>
      <c r="I271" s="119">
        <v>0</v>
      </c>
      <c r="J271" s="119">
        <v>1</v>
      </c>
      <c r="K271" s="119" t="s">
        <v>1406</v>
      </c>
      <c r="L271" s="430" t="s">
        <v>896</v>
      </c>
      <c r="M271" s="206"/>
      <c r="N271" s="371"/>
      <c r="AB271" s="10"/>
    </row>
    <row r="272" spans="1:64" ht="147" customHeight="1">
      <c r="A272" s="92" t="s">
        <v>792</v>
      </c>
      <c r="B272" s="93" t="s">
        <v>164</v>
      </c>
      <c r="C272" s="96" t="s">
        <v>891</v>
      </c>
      <c r="D272" s="149" t="s">
        <v>110</v>
      </c>
      <c r="E272" s="97">
        <v>2023</v>
      </c>
      <c r="F272" s="97"/>
      <c r="G272" s="97"/>
      <c r="H272" s="97"/>
      <c r="I272" s="97"/>
      <c r="J272" s="97"/>
      <c r="K272" s="97" t="s">
        <v>1407</v>
      </c>
      <c r="L272" s="390"/>
      <c r="M272" s="165"/>
      <c r="N272" s="356"/>
      <c r="AB272" s="10"/>
    </row>
    <row r="273" spans="1:64" ht="147" customHeight="1">
      <c r="A273" s="92" t="s">
        <v>792</v>
      </c>
      <c r="B273" s="100" t="s">
        <v>793</v>
      </c>
      <c r="C273" s="245" t="s">
        <v>794</v>
      </c>
      <c r="D273" s="195" t="s">
        <v>321</v>
      </c>
      <c r="E273" s="97">
        <v>2021</v>
      </c>
      <c r="F273" s="97">
        <v>0</v>
      </c>
      <c r="G273" s="97" t="e">
        <f>IF(Table683[[#This Row],[n]],1)*#REF!+IF(Table683[[#This Row],[Targets from Proposal]],1)+IF(Table683[[#This Row],[Targets from legal acts]],2)</f>
        <v>#REF!</v>
      </c>
      <c r="H273" s="97">
        <v>0</v>
      </c>
      <c r="I273" s="97">
        <v>0</v>
      </c>
      <c r="J273" s="97">
        <v>1</v>
      </c>
      <c r="K273" s="281" t="s">
        <v>1408</v>
      </c>
      <c r="L273" s="399" t="s">
        <v>2455</v>
      </c>
      <c r="M273" s="165" t="s">
        <v>2456</v>
      </c>
      <c r="N273" s="356" t="s">
        <v>2135</v>
      </c>
      <c r="AB273" s="10"/>
    </row>
    <row r="274" spans="1:64" ht="147" customHeight="1">
      <c r="A274" s="92" t="s">
        <v>792</v>
      </c>
      <c r="B274" s="100" t="s">
        <v>793</v>
      </c>
      <c r="C274" s="242" t="s">
        <v>794</v>
      </c>
      <c r="D274" s="255" t="s">
        <v>321</v>
      </c>
      <c r="E274" s="267">
        <v>2021</v>
      </c>
      <c r="F274" s="267">
        <v>0</v>
      </c>
      <c r="G274" s="267" t="e">
        <f>IF(Table683[[#This Row],[n]],1)*#REF!+IF(Table683[[#This Row],[Targets from Proposal]],1)+IF(Table683[[#This Row],[Targets from legal acts]],2)</f>
        <v>#REF!</v>
      </c>
      <c r="H274" s="267">
        <v>0</v>
      </c>
      <c r="I274" s="267">
        <v>0</v>
      </c>
      <c r="J274" s="267">
        <v>1</v>
      </c>
      <c r="K274" s="267" t="s">
        <v>1409</v>
      </c>
      <c r="L274" s="414" t="s">
        <v>890</v>
      </c>
      <c r="M274" s="293"/>
      <c r="N274" s="369"/>
      <c r="AB274" s="10"/>
    </row>
    <row r="275" spans="1:64" ht="147" customHeight="1" thickBot="1">
      <c r="A275" s="90" t="s">
        <v>1410</v>
      </c>
      <c r="B275" s="33" t="s">
        <v>599</v>
      </c>
      <c r="C275" s="247" t="s">
        <v>389</v>
      </c>
      <c r="D275" s="263" t="s">
        <v>101</v>
      </c>
      <c r="E275" s="268">
        <v>2022</v>
      </c>
      <c r="F275" s="268">
        <v>0</v>
      </c>
      <c r="G275" s="268" t="e">
        <f>IF(Table683[[#This Row],[n]],1)*#REF!+IF(Table683[[#This Row],[Targets from Proposal]],1)+IF(Table683[[#This Row],[Targets from legal acts]],2)</f>
        <v>#REF!</v>
      </c>
      <c r="H275" s="268">
        <v>0</v>
      </c>
      <c r="I275" s="268">
        <v>1</v>
      </c>
      <c r="J275" s="268">
        <v>1</v>
      </c>
      <c r="K275" s="268" t="s">
        <v>1411</v>
      </c>
      <c r="L275" s="438" t="s">
        <v>1412</v>
      </c>
      <c r="M275" s="329"/>
      <c r="N275" s="379"/>
      <c r="AB275" s="10"/>
    </row>
    <row r="276" spans="1:64" ht="147" customHeight="1">
      <c r="A276" s="90" t="s">
        <v>1410</v>
      </c>
      <c r="B276" s="20" t="s">
        <v>599</v>
      </c>
      <c r="C276" s="19" t="s">
        <v>389</v>
      </c>
      <c r="D276" s="147" t="s">
        <v>101</v>
      </c>
      <c r="E276" s="42">
        <v>2022</v>
      </c>
      <c r="F276" s="42">
        <v>0</v>
      </c>
      <c r="G276" s="42" t="e">
        <f>IF(Table683[[#This Row],[n]],1)*#REF!+IF(Table683[[#This Row],[Targets from Proposal]],1)+IF(Table683[[#This Row],[Targets from legal acts]],2)</f>
        <v>#REF!</v>
      </c>
      <c r="H276" s="42">
        <v>0</v>
      </c>
      <c r="I276" s="42">
        <v>1</v>
      </c>
      <c r="J276" s="42">
        <v>1</v>
      </c>
      <c r="K276" s="42" t="s">
        <v>1414</v>
      </c>
      <c r="L276" s="430" t="s">
        <v>1415</v>
      </c>
      <c r="M276" s="206"/>
      <c r="N276" s="354"/>
      <c r="AB276" s="10"/>
    </row>
    <row r="277" spans="1:64" ht="147" customHeight="1" thickBot="1">
      <c r="A277" s="91" t="s">
        <v>1410</v>
      </c>
      <c r="B277" s="60" t="s">
        <v>599</v>
      </c>
      <c r="C277" s="243" t="s">
        <v>389</v>
      </c>
      <c r="D277" s="256" t="s">
        <v>101</v>
      </c>
      <c r="E277" s="77">
        <v>2022</v>
      </c>
      <c r="F277" s="77">
        <v>0</v>
      </c>
      <c r="G277" s="77" t="e">
        <f>IF(Table683[[#This Row],[n]],1)*#REF!+IF(Table683[[#This Row],[Targets from Proposal]],1)+IF(Table683[[#This Row],[Targets from legal acts]],2)</f>
        <v>#REF!</v>
      </c>
      <c r="H277" s="77">
        <v>0</v>
      </c>
      <c r="I277" s="77">
        <v>1</v>
      </c>
      <c r="J277" s="77">
        <v>1</v>
      </c>
      <c r="K277" s="281" t="s">
        <v>1416</v>
      </c>
      <c r="L277" s="439" t="s">
        <v>1417</v>
      </c>
      <c r="M277" s="330"/>
      <c r="N277" s="380"/>
      <c r="AB277" s="10"/>
    </row>
    <row r="278" spans="1:64" ht="147" customHeight="1" thickTop="1" thickBot="1">
      <c r="A278" s="91" t="s">
        <v>1410</v>
      </c>
      <c r="B278" s="269"/>
      <c r="C278" s="224" t="s">
        <v>1420</v>
      </c>
      <c r="D278" s="142" t="s">
        <v>102</v>
      </c>
      <c r="E278" s="270">
        <v>2020</v>
      </c>
      <c r="F278" s="272">
        <v>1</v>
      </c>
      <c r="G278" s="272">
        <v>3</v>
      </c>
      <c r="H278" s="272">
        <v>1</v>
      </c>
      <c r="I278" s="272"/>
      <c r="J278" s="272">
        <v>1</v>
      </c>
      <c r="K278" s="272" t="s">
        <v>1421</v>
      </c>
      <c r="L278" s="398" t="s">
        <v>2459</v>
      </c>
      <c r="M278" s="286" t="s">
        <v>2460</v>
      </c>
      <c r="N278" s="342" t="s">
        <v>2132</v>
      </c>
      <c r="AB278" s="10"/>
    </row>
    <row r="279" spans="1:64" ht="147" customHeight="1" thickTop="1" thickBot="1">
      <c r="A279" s="91" t="s">
        <v>1410</v>
      </c>
      <c r="B279" s="269"/>
      <c r="C279" s="274" t="s">
        <v>1423</v>
      </c>
      <c r="D279" s="273" t="s">
        <v>101</v>
      </c>
      <c r="E279" s="270">
        <v>2008</v>
      </c>
      <c r="F279" s="272">
        <v>0</v>
      </c>
      <c r="G279" s="272">
        <v>3</v>
      </c>
      <c r="H279" s="272">
        <v>1</v>
      </c>
      <c r="I279" s="272">
        <v>0</v>
      </c>
      <c r="J279" s="272">
        <v>1</v>
      </c>
      <c r="K279" s="272" t="s">
        <v>1424</v>
      </c>
      <c r="L279" s="398" t="s">
        <v>1425</v>
      </c>
      <c r="M279" s="286" t="s">
        <v>2465</v>
      </c>
      <c r="N279" s="342" t="s">
        <v>2130</v>
      </c>
      <c r="AB279" s="10"/>
    </row>
    <row r="280" spans="1:64" ht="147" customHeight="1" thickTop="1">
      <c r="A280" s="90" t="s">
        <v>1410</v>
      </c>
      <c r="B280" s="20" t="s">
        <v>1426</v>
      </c>
      <c r="C280" s="34" t="s">
        <v>1427</v>
      </c>
      <c r="D280" s="139" t="s">
        <v>1428</v>
      </c>
      <c r="E280" s="37">
        <v>2022</v>
      </c>
      <c r="F280" s="37"/>
      <c r="G280" s="37"/>
      <c r="H280" s="37"/>
      <c r="I280" s="37"/>
      <c r="J280" s="37"/>
      <c r="K280" s="37" t="s">
        <v>1429</v>
      </c>
      <c r="L280" s="461" t="s">
        <v>2461</v>
      </c>
      <c r="M280" s="208" t="s">
        <v>2462</v>
      </c>
      <c r="N280" s="344" t="s">
        <v>2132</v>
      </c>
      <c r="AB280" s="10"/>
    </row>
    <row r="281" spans="1:64" ht="147" customHeight="1" thickBot="1">
      <c r="A281" s="90" t="s">
        <v>1410</v>
      </c>
      <c r="B281" s="33" t="s">
        <v>1426</v>
      </c>
      <c r="C281" s="85" t="s">
        <v>794</v>
      </c>
      <c r="D281" s="196" t="s">
        <v>321</v>
      </c>
      <c r="E281" s="56">
        <v>2021</v>
      </c>
      <c r="F281" s="56">
        <v>0</v>
      </c>
      <c r="G281" s="56" t="e">
        <f>IF(Table683[[#This Row],[n]],1)*#REF!+IF(Table683[[#This Row],[Targets from Proposal]],1)+IF(Table683[[#This Row],[Targets from legal acts]],2)</f>
        <v>#REF!</v>
      </c>
      <c r="H281" s="56">
        <v>0</v>
      </c>
      <c r="I281" s="56">
        <v>0</v>
      </c>
      <c r="J281" s="56"/>
      <c r="K281" s="56" t="s">
        <v>1430</v>
      </c>
      <c r="L281" s="431" t="s">
        <v>1431</v>
      </c>
      <c r="M281" s="171"/>
      <c r="N281" s="362"/>
      <c r="AB281" s="10"/>
    </row>
    <row r="282" spans="1:64" ht="147" customHeight="1">
      <c r="A282" s="90" t="s">
        <v>1410</v>
      </c>
      <c r="B282" s="20" t="s">
        <v>1432</v>
      </c>
      <c r="C282" s="67" t="s">
        <v>1433</v>
      </c>
      <c r="D282" s="138" t="s">
        <v>110</v>
      </c>
      <c r="E282" s="71">
        <v>2022</v>
      </c>
      <c r="F282" s="71"/>
      <c r="G282" s="37"/>
      <c r="H282" s="71"/>
      <c r="I282" s="71"/>
      <c r="J282" s="71"/>
      <c r="K282" s="71" t="s">
        <v>1434</v>
      </c>
      <c r="L282" s="464" t="s">
        <v>2463</v>
      </c>
      <c r="M282" s="210" t="s">
        <v>2464</v>
      </c>
      <c r="N282" s="343" t="s">
        <v>2132</v>
      </c>
      <c r="AB282" s="10"/>
    </row>
    <row r="283" spans="1:64" ht="147" customHeight="1" thickBot="1">
      <c r="A283" s="90" t="s">
        <v>1410</v>
      </c>
      <c r="B283" s="33" t="s">
        <v>1432</v>
      </c>
      <c r="C283" s="36" t="s">
        <v>1435</v>
      </c>
      <c r="D283" s="137" t="s">
        <v>101</v>
      </c>
      <c r="E283" s="56">
        <v>2022</v>
      </c>
      <c r="F283" s="56"/>
      <c r="G283" s="37"/>
      <c r="H283" s="56"/>
      <c r="I283" s="56"/>
      <c r="J283" s="56"/>
      <c r="K283" s="56" t="s">
        <v>1436</v>
      </c>
      <c r="L283" s="405" t="s">
        <v>2466</v>
      </c>
      <c r="M283" s="171" t="s">
        <v>2467</v>
      </c>
      <c r="N283" s="362" t="s">
        <v>2130</v>
      </c>
      <c r="AB283" s="10"/>
    </row>
    <row r="284" spans="1:64" ht="147" customHeight="1">
      <c r="A284" s="90" t="s">
        <v>1410</v>
      </c>
      <c r="B284" s="20" t="s">
        <v>793</v>
      </c>
      <c r="C284" s="86" t="s">
        <v>1437</v>
      </c>
      <c r="D284" s="197" t="s">
        <v>321</v>
      </c>
      <c r="E284" s="41">
        <v>2021</v>
      </c>
      <c r="F284" s="41">
        <v>0</v>
      </c>
      <c r="G284" s="41" t="e">
        <f>IF(Table683[[#This Row],[n]],1)*#REF!+IF(Table683[[#This Row],[Targets from Proposal]],1)+IF(Table683[[#This Row],[Targets from legal acts]],2)</f>
        <v>#REF!</v>
      </c>
      <c r="H284" s="41">
        <v>0</v>
      </c>
      <c r="I284" s="41">
        <v>0</v>
      </c>
      <c r="J284" s="41">
        <v>1</v>
      </c>
      <c r="K284" s="41" t="s">
        <v>1438</v>
      </c>
      <c r="L284" s="466" t="s">
        <v>2480</v>
      </c>
      <c r="M284" s="331" t="s">
        <v>2482</v>
      </c>
      <c r="N284" s="365" t="s">
        <v>2130</v>
      </c>
      <c r="AB284" s="10"/>
    </row>
    <row r="285" spans="1:64" ht="147" customHeight="1">
      <c r="A285" s="90" t="s">
        <v>1410</v>
      </c>
      <c r="B285" s="54" t="s">
        <v>793</v>
      </c>
      <c r="C285" s="86" t="s">
        <v>1437</v>
      </c>
      <c r="D285" s="198" t="s">
        <v>321</v>
      </c>
      <c r="E285" s="84">
        <v>2021</v>
      </c>
      <c r="F285" s="84">
        <v>0</v>
      </c>
      <c r="G285" s="84" t="e">
        <f>IF(Table683[[#This Row],[n]],1)*#REF!+IF(Table683[[#This Row],[Targets from Proposal]],1)+IF(Table683[[#This Row],[Targets from legal acts]],2)</f>
        <v>#REF!</v>
      </c>
      <c r="H285" s="84">
        <v>0</v>
      </c>
      <c r="I285" s="84">
        <v>0</v>
      </c>
      <c r="J285" s="84">
        <v>1</v>
      </c>
      <c r="K285" s="84" t="s">
        <v>1439</v>
      </c>
      <c r="L285" s="399" t="s">
        <v>2481</v>
      </c>
      <c r="M285" s="319" t="s">
        <v>2483</v>
      </c>
      <c r="N285" s="348" t="s">
        <v>2127</v>
      </c>
      <c r="AB285" s="10"/>
    </row>
    <row r="286" spans="1:64" ht="147" customHeight="1">
      <c r="A286" s="90" t="s">
        <v>1410</v>
      </c>
      <c r="B286" s="54" t="s">
        <v>793</v>
      </c>
      <c r="C286" s="86" t="s">
        <v>1437</v>
      </c>
      <c r="D286" s="172" t="s">
        <v>321</v>
      </c>
      <c r="E286" s="55">
        <v>2021</v>
      </c>
      <c r="F286" s="55"/>
      <c r="G286" s="55"/>
      <c r="H286" s="55"/>
      <c r="I286" s="55"/>
      <c r="J286" s="55"/>
      <c r="K286" s="55" t="s">
        <v>1440</v>
      </c>
      <c r="L286" s="424" t="s">
        <v>2171</v>
      </c>
      <c r="M286" s="332"/>
      <c r="N286" s="348"/>
      <c r="AB286" s="10"/>
    </row>
    <row r="287" spans="1:64" s="12" customFormat="1" ht="147" customHeight="1" thickBot="1">
      <c r="A287" s="90" t="s">
        <v>1410</v>
      </c>
      <c r="B287" s="54" t="s">
        <v>793</v>
      </c>
      <c r="C287" s="86" t="s">
        <v>1437</v>
      </c>
      <c r="D287" s="172" t="s">
        <v>321</v>
      </c>
      <c r="E287" s="55">
        <v>2021</v>
      </c>
      <c r="F287" s="55">
        <v>0</v>
      </c>
      <c r="G287" s="55" t="e">
        <f>IF(Table683[[#This Row],[n]],1)*#REF!+IF(Table683[[#This Row],[Targets from Proposal]],1)+IF(Table683[[#This Row],[Targets from legal acts]],2)</f>
        <v>#REF!</v>
      </c>
      <c r="H287" s="55">
        <v>0</v>
      </c>
      <c r="I287" s="55">
        <v>0</v>
      </c>
      <c r="J287" s="55">
        <v>1</v>
      </c>
      <c r="K287" s="55" t="s">
        <v>1441</v>
      </c>
      <c r="L287" s="399" t="s">
        <v>2470</v>
      </c>
      <c r="M287" s="165" t="s">
        <v>2471</v>
      </c>
      <c r="N287" s="348" t="s">
        <v>2130</v>
      </c>
      <c r="O287" s="10"/>
      <c r="P287" s="10"/>
      <c r="Q287" s="10"/>
      <c r="R287" s="10"/>
      <c r="S287" s="10"/>
      <c r="T287" s="10"/>
      <c r="U287" s="10"/>
      <c r="V287" s="10"/>
      <c r="W287" s="10"/>
      <c r="X287" s="10"/>
      <c r="Y287" s="10"/>
      <c r="Z287" s="10"/>
      <c r="AA287" s="10"/>
      <c r="AB287" s="10"/>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row>
    <row r="288" spans="1:64" ht="147" customHeight="1">
      <c r="A288" s="90" t="s">
        <v>1410</v>
      </c>
      <c r="B288" s="54" t="s">
        <v>793</v>
      </c>
      <c r="C288" s="86" t="s">
        <v>1437</v>
      </c>
      <c r="D288" s="172" t="s">
        <v>321</v>
      </c>
      <c r="E288" s="55">
        <v>2021</v>
      </c>
      <c r="F288" s="55">
        <v>0</v>
      </c>
      <c r="G288" s="55" t="e">
        <f>IF(Table683[[#This Row],[n]],1)*#REF!+IF(Table683[[#This Row],[Targets from Proposal]],1)+IF(Table683[[#This Row],[Targets from legal acts]],2)</f>
        <v>#REF!</v>
      </c>
      <c r="H288" s="55">
        <v>0</v>
      </c>
      <c r="I288" s="55">
        <v>0</v>
      </c>
      <c r="J288" s="55">
        <v>1</v>
      </c>
      <c r="K288" s="55" t="s">
        <v>1445</v>
      </c>
      <c r="L288" s="399" t="s">
        <v>2472</v>
      </c>
      <c r="M288" s="165" t="s">
        <v>2474</v>
      </c>
      <c r="N288" s="348" t="s">
        <v>2127</v>
      </c>
      <c r="AB288" s="10"/>
    </row>
    <row r="289" spans="1:28" ht="147" customHeight="1">
      <c r="A289" s="90" t="s">
        <v>1410</v>
      </c>
      <c r="B289" s="54" t="s">
        <v>793</v>
      </c>
      <c r="C289" s="86" t="s">
        <v>1437</v>
      </c>
      <c r="D289" s="172" t="s">
        <v>321</v>
      </c>
      <c r="E289" s="55">
        <v>2021</v>
      </c>
      <c r="F289" s="55">
        <v>0</v>
      </c>
      <c r="G289" s="55" t="e">
        <f>IF(Table683[[#This Row],[n]],1)*#REF!+IF(Table683[[#This Row],[Targets from Proposal]],1)+IF(Table683[[#This Row],[Targets from legal acts]],2)</f>
        <v>#REF!</v>
      </c>
      <c r="H289" s="55">
        <v>0</v>
      </c>
      <c r="I289" s="55">
        <v>0</v>
      </c>
      <c r="J289" s="55">
        <v>1</v>
      </c>
      <c r="K289" s="55" t="s">
        <v>1448</v>
      </c>
      <c r="L289" s="399" t="s">
        <v>2473</v>
      </c>
      <c r="M289" s="165" t="s">
        <v>2475</v>
      </c>
      <c r="N289" s="348" t="s">
        <v>2132</v>
      </c>
      <c r="AB289" s="10"/>
    </row>
    <row r="290" spans="1:28" ht="147" customHeight="1">
      <c r="A290" s="90" t="s">
        <v>1410</v>
      </c>
      <c r="B290" s="54" t="s">
        <v>793</v>
      </c>
      <c r="C290" s="86" t="s">
        <v>1437</v>
      </c>
      <c r="D290" s="172" t="s">
        <v>321</v>
      </c>
      <c r="E290" s="55">
        <v>2021</v>
      </c>
      <c r="F290" s="55">
        <v>0</v>
      </c>
      <c r="G290" s="55" t="e">
        <f>IF(Table683[[#This Row],[n]],1)*#REF!+IF(Table683[[#This Row],[Targets from Proposal]],1)+IF(Table683[[#This Row],[Targets from legal acts]],2)</f>
        <v>#REF!</v>
      </c>
      <c r="H290" s="55">
        <v>0</v>
      </c>
      <c r="I290" s="55">
        <v>0</v>
      </c>
      <c r="J290" s="55">
        <v>1</v>
      </c>
      <c r="K290" s="55" t="s">
        <v>1450</v>
      </c>
      <c r="L290" s="399" t="s">
        <v>2476</v>
      </c>
      <c r="M290" s="165" t="s">
        <v>2477</v>
      </c>
      <c r="N290" s="348" t="s">
        <v>2130</v>
      </c>
      <c r="AB290" s="10"/>
    </row>
    <row r="291" spans="1:28" ht="147" customHeight="1">
      <c r="A291" s="90" t="s">
        <v>1410</v>
      </c>
      <c r="B291" s="54" t="s">
        <v>793</v>
      </c>
      <c r="C291" s="86" t="s">
        <v>1437</v>
      </c>
      <c r="D291" s="172" t="s">
        <v>321</v>
      </c>
      <c r="E291" s="55">
        <v>2021</v>
      </c>
      <c r="F291" s="55">
        <v>0</v>
      </c>
      <c r="G291" s="55" t="e">
        <f>IF(Table683[[#This Row],[n]],1)*#REF!+IF(Table683[[#This Row],[Targets from Proposal]],1)+IF(Table683[[#This Row],[Targets from legal acts]],2)</f>
        <v>#REF!</v>
      </c>
      <c r="H291" s="55">
        <v>0</v>
      </c>
      <c r="I291" s="55">
        <v>0</v>
      </c>
      <c r="J291" s="55">
        <v>1</v>
      </c>
      <c r="K291" s="55" t="s">
        <v>1453</v>
      </c>
      <c r="L291" s="399" t="s">
        <v>2478</v>
      </c>
      <c r="M291" s="165" t="s">
        <v>2479</v>
      </c>
      <c r="N291" s="348" t="s">
        <v>2127</v>
      </c>
      <c r="AB291" s="10"/>
    </row>
    <row r="292" spans="1:28" ht="147" customHeight="1">
      <c r="A292" s="90" t="s">
        <v>1410</v>
      </c>
      <c r="B292" s="54" t="s">
        <v>793</v>
      </c>
      <c r="C292" s="86" t="s">
        <v>1437</v>
      </c>
      <c r="D292" s="177" t="s">
        <v>321</v>
      </c>
      <c r="E292" s="76">
        <v>2021</v>
      </c>
      <c r="F292" s="76">
        <v>0</v>
      </c>
      <c r="G292" s="76"/>
      <c r="H292" s="76"/>
      <c r="I292" s="76"/>
      <c r="J292" s="76"/>
      <c r="K292" s="76" t="s">
        <v>1457</v>
      </c>
      <c r="L292" s="440" t="s">
        <v>1458</v>
      </c>
      <c r="M292" s="333"/>
      <c r="N292" s="355"/>
      <c r="AB292" s="10"/>
    </row>
    <row r="293" spans="1:28" ht="147" customHeight="1">
      <c r="A293" s="90" t="s">
        <v>1410</v>
      </c>
      <c r="B293" s="54" t="s">
        <v>793</v>
      </c>
      <c r="C293" s="87" t="s">
        <v>794</v>
      </c>
      <c r="D293" s="199" t="s">
        <v>321</v>
      </c>
      <c r="E293" s="78">
        <v>2021</v>
      </c>
      <c r="F293" s="272">
        <v>0</v>
      </c>
      <c r="G293" s="78" t="e">
        <f>IF(Table683[[#This Row],[n]],1)*#REF!+IF(Table683[[#This Row],[Targets from Proposal]],1)+IF(Table683[[#This Row],[Targets from legal acts]],2)</f>
        <v>#REF!</v>
      </c>
      <c r="H293" s="78">
        <v>0</v>
      </c>
      <c r="I293" s="78">
        <v>0</v>
      </c>
      <c r="J293" s="78">
        <v>1</v>
      </c>
      <c r="K293" s="78" t="s">
        <v>1461</v>
      </c>
      <c r="L293" s="391" t="s">
        <v>2172</v>
      </c>
      <c r="M293" s="304"/>
      <c r="N293" s="342"/>
      <c r="AB293" s="10"/>
    </row>
    <row r="294" spans="1:28" ht="147" customHeight="1">
      <c r="A294" s="90" t="s">
        <v>1410</v>
      </c>
      <c r="B294" s="20" t="s">
        <v>793</v>
      </c>
      <c r="C294" s="22" t="s">
        <v>794</v>
      </c>
      <c r="D294" s="175" t="s">
        <v>321</v>
      </c>
      <c r="E294" s="73">
        <v>2021</v>
      </c>
      <c r="F294" s="73">
        <v>0</v>
      </c>
      <c r="G294" s="73" t="e">
        <f>IF(Table683[[#This Row],[n]],1)*#REF!+IF(Table683[[#This Row],[Targets from Proposal]],1)+IF(Table683[[#This Row],[Targets from legal acts]],2)</f>
        <v>#REF!</v>
      </c>
      <c r="H294" s="73">
        <v>0</v>
      </c>
      <c r="I294" s="73">
        <v>0</v>
      </c>
      <c r="J294" s="73">
        <v>1</v>
      </c>
      <c r="K294" s="73" t="s">
        <v>1462</v>
      </c>
      <c r="L294" s="408" t="s">
        <v>1463</v>
      </c>
      <c r="M294" s="49" t="s">
        <v>2484</v>
      </c>
      <c r="N294" s="347" t="s">
        <v>2127</v>
      </c>
      <c r="AB294" s="10"/>
    </row>
    <row r="295" spans="1:28" ht="147" customHeight="1">
      <c r="A295" s="90" t="s">
        <v>1410</v>
      </c>
      <c r="B295" s="54" t="s">
        <v>793</v>
      </c>
      <c r="C295" s="34" t="s">
        <v>857</v>
      </c>
      <c r="D295" s="178" t="s">
        <v>321</v>
      </c>
      <c r="E295" s="37">
        <v>2020</v>
      </c>
      <c r="F295" s="37">
        <v>0</v>
      </c>
      <c r="G295" s="37" t="e">
        <f>IF(Table683[[#This Row],[n]],1)*#REF!+IF(Table683[[#This Row],[Targets from Proposal]],1)+IF(Table683[[#This Row],[Targets from legal acts]],2)</f>
        <v>#REF!</v>
      </c>
      <c r="H295" s="37">
        <v>0</v>
      </c>
      <c r="I295" s="37">
        <v>0</v>
      </c>
      <c r="J295" s="37">
        <v>1</v>
      </c>
      <c r="K295" s="281" t="s">
        <v>1466</v>
      </c>
      <c r="L295" s="407" t="s">
        <v>2173</v>
      </c>
      <c r="M295" s="324"/>
      <c r="N295" s="344"/>
      <c r="AB295" s="10"/>
    </row>
    <row r="296" spans="1:28" ht="147" customHeight="1">
      <c r="A296" s="90" t="s">
        <v>1410</v>
      </c>
      <c r="B296" s="20" t="s">
        <v>793</v>
      </c>
      <c r="C296" s="224" t="s">
        <v>1467</v>
      </c>
      <c r="D296" s="142" t="s">
        <v>101</v>
      </c>
      <c r="E296" s="270">
        <v>2022</v>
      </c>
      <c r="F296" s="271">
        <v>0</v>
      </c>
      <c r="G296" s="271">
        <v>2</v>
      </c>
      <c r="H296" s="271">
        <v>0</v>
      </c>
      <c r="I296" s="271">
        <v>1</v>
      </c>
      <c r="J296" s="271">
        <v>1</v>
      </c>
      <c r="K296" s="271" t="s">
        <v>1468</v>
      </c>
      <c r="L296" s="430" t="s">
        <v>1469</v>
      </c>
      <c r="M296" s="294"/>
      <c r="N296" s="342"/>
      <c r="AB296" s="10"/>
    </row>
    <row r="297" spans="1:28" ht="147" customHeight="1">
      <c r="A297" s="90" t="s">
        <v>1410</v>
      </c>
      <c r="B297" s="20" t="s">
        <v>793</v>
      </c>
      <c r="C297" s="25" t="s">
        <v>389</v>
      </c>
      <c r="D297" s="142" t="s">
        <v>101</v>
      </c>
      <c r="E297" s="55">
        <v>2022</v>
      </c>
      <c r="F297" s="55">
        <v>0</v>
      </c>
      <c r="G297" s="55" t="e">
        <f>IF(Table683[[#This Row],[n]],1)*#REF!+IF(Table683[[#This Row],[Targets from Proposal]],1)+IF(Table683[[#This Row],[Targets from legal acts]],2)</f>
        <v>#REF!</v>
      </c>
      <c r="H297" s="55">
        <v>0</v>
      </c>
      <c r="I297" s="55">
        <v>1</v>
      </c>
      <c r="J297" s="55">
        <v>1</v>
      </c>
      <c r="K297" s="55" t="s">
        <v>1470</v>
      </c>
      <c r="L297" s="390" t="s">
        <v>2174</v>
      </c>
      <c r="M297" s="306"/>
      <c r="N297" s="348"/>
      <c r="AB297" s="10"/>
    </row>
    <row r="298" spans="1:28" ht="147" customHeight="1">
      <c r="A298" s="90" t="s">
        <v>1410</v>
      </c>
      <c r="B298" s="54" t="s">
        <v>793</v>
      </c>
      <c r="C298" s="25" t="s">
        <v>389</v>
      </c>
      <c r="D298" s="142" t="s">
        <v>101</v>
      </c>
      <c r="E298" s="55">
        <v>2022</v>
      </c>
      <c r="F298" s="55">
        <v>0</v>
      </c>
      <c r="G298" s="55" t="e">
        <f>IF(Table683[[#This Row],[n]],1)*#REF!+IF(Table683[[#This Row],[Targets from Proposal]],1)+IF(Table683[[#This Row],[Targets from legal acts]],2)</f>
        <v>#REF!</v>
      </c>
      <c r="H298" s="55">
        <v>0</v>
      </c>
      <c r="I298" s="55">
        <v>1</v>
      </c>
      <c r="J298" s="55">
        <v>1</v>
      </c>
      <c r="K298" s="55" t="s">
        <v>1471</v>
      </c>
      <c r="L298" s="390" t="s">
        <v>2175</v>
      </c>
      <c r="M298" s="306"/>
      <c r="N298" s="348"/>
      <c r="AB298" s="10"/>
    </row>
    <row r="299" spans="1:28" ht="147" customHeight="1">
      <c r="A299" s="90" t="s">
        <v>1410</v>
      </c>
      <c r="B299" s="54" t="s">
        <v>793</v>
      </c>
      <c r="C299" s="25" t="s">
        <v>1472</v>
      </c>
      <c r="D299" s="142" t="s">
        <v>101</v>
      </c>
      <c r="E299" s="55">
        <v>2022</v>
      </c>
      <c r="F299" s="55"/>
      <c r="G299" s="72"/>
      <c r="H299" s="55"/>
      <c r="I299" s="55"/>
      <c r="J299" s="55"/>
      <c r="K299" s="55" t="s">
        <v>1473</v>
      </c>
      <c r="L299" s="465" t="s">
        <v>2468</v>
      </c>
      <c r="M299" s="334" t="s">
        <v>2469</v>
      </c>
      <c r="N299" s="381" t="s">
        <v>2132</v>
      </c>
      <c r="AB299" s="10"/>
    </row>
    <row r="300" spans="1:28" ht="147" customHeight="1">
      <c r="C300" s="19"/>
      <c r="D300" s="164"/>
      <c r="E300" s="35"/>
      <c r="K300" s="42"/>
      <c r="L300" s="436"/>
      <c r="N300" s="382"/>
      <c r="AB300" s="10"/>
    </row>
    <row r="301" spans="1:28" ht="147" customHeight="1">
      <c r="D301" s="147"/>
      <c r="K301" s="42"/>
      <c r="L301" s="441"/>
      <c r="N301" s="383"/>
      <c r="AB301" s="10"/>
    </row>
    <row r="302" spans="1:28" ht="147" customHeight="1">
      <c r="D302" s="147"/>
      <c r="K302" s="42"/>
      <c r="L302" s="441"/>
      <c r="N302" s="383"/>
      <c r="AB302" s="10"/>
    </row>
    <row r="303" spans="1:28" ht="147" customHeight="1">
      <c r="D303" s="147"/>
      <c r="K303" s="42"/>
      <c r="L303" s="441"/>
      <c r="N303" s="383"/>
      <c r="AB303" s="10"/>
    </row>
    <row r="304" spans="1:28" ht="147" customHeight="1">
      <c r="C304" s="19"/>
      <c r="D304" s="164"/>
      <c r="E304" s="35"/>
      <c r="K304" s="42"/>
      <c r="L304" s="389"/>
      <c r="M304" s="59"/>
      <c r="N304" s="346"/>
      <c r="AB304" s="10"/>
    </row>
    <row r="305" spans="3:28" ht="147" customHeight="1">
      <c r="C305" s="19"/>
      <c r="D305" s="164"/>
      <c r="E305" s="35"/>
      <c r="K305" s="42"/>
      <c r="L305" s="389"/>
      <c r="M305" s="59"/>
      <c r="N305" s="346"/>
      <c r="AB305" s="10"/>
    </row>
    <row r="306" spans="3:28" ht="147" customHeight="1">
      <c r="D306" s="147"/>
      <c r="K306" s="42"/>
      <c r="L306" s="441"/>
      <c r="N306" s="383"/>
      <c r="AB306" s="10"/>
    </row>
    <row r="307" spans="3:28" ht="147" customHeight="1">
      <c r="D307" s="147"/>
      <c r="K307" s="42"/>
      <c r="L307" s="441"/>
      <c r="N307" s="383"/>
      <c r="AB307" s="10"/>
    </row>
    <row r="308" spans="3:28" ht="147" customHeight="1">
      <c r="D308" s="147"/>
      <c r="K308" s="42"/>
      <c r="L308" s="441"/>
      <c r="N308" s="383"/>
      <c r="AB308" s="10"/>
    </row>
    <row r="309" spans="3:28" ht="147" customHeight="1">
      <c r="D309" s="147"/>
      <c r="K309" s="42"/>
      <c r="L309" s="441"/>
      <c r="N309" s="383"/>
      <c r="AB309" s="10"/>
    </row>
    <row r="310" spans="3:28" ht="147" customHeight="1">
      <c r="F310" s="11"/>
      <c r="K310" s="276" t="s">
        <v>1474</v>
      </c>
      <c r="L310" s="442"/>
      <c r="N310" s="384"/>
    </row>
    <row r="311" spans="3:28" ht="147" customHeight="1">
      <c r="D311" s="200"/>
      <c r="K311" s="275">
        <v>258</v>
      </c>
      <c r="L311" s="443"/>
      <c r="M311" s="335"/>
      <c r="N311" s="385"/>
    </row>
    <row r="312" spans="3:28" ht="147" customHeight="1">
      <c r="F312" s="135"/>
      <c r="G312" s="135"/>
      <c r="H312" s="135"/>
      <c r="I312" s="135"/>
      <c r="L312" s="442"/>
      <c r="N312" s="386"/>
    </row>
    <row r="313" spans="3:28" ht="147" customHeight="1">
      <c r="D313" s="174" t="s">
        <v>1475</v>
      </c>
      <c r="E313" s="42" t="e">
        <f>SUM(#REF!)</f>
        <v>#REF!</v>
      </c>
      <c r="F313" s="135" t="e">
        <f>E313/$F$315</f>
        <v>#REF!</v>
      </c>
      <c r="G313" s="135"/>
      <c r="H313" s="135"/>
      <c r="I313" s="135"/>
    </row>
    <row r="315" spans="3:28" ht="147" customHeight="1">
      <c r="D315" s="174" t="s">
        <v>1476</v>
      </c>
      <c r="F315" s="42">
        <f>SUM(J3:J307)</f>
        <v>231</v>
      </c>
    </row>
    <row r="317" spans="3:28" ht="147" customHeight="1">
      <c r="D317" s="211" t="s">
        <v>243</v>
      </c>
      <c r="E317" s="212" t="s">
        <v>1477</v>
      </c>
      <c r="F317" s="213"/>
    </row>
    <row r="318" spans="3:28" ht="147" customHeight="1">
      <c r="D318" s="214" t="s">
        <v>1478</v>
      </c>
      <c r="E318" s="213">
        <f>E323</f>
        <v>78</v>
      </c>
      <c r="F318" s="215" t="e">
        <f>E318/$E$321</f>
        <v>#REF!</v>
      </c>
      <c r="G318" s="135"/>
      <c r="H318" s="135"/>
      <c r="I318" s="135"/>
    </row>
    <row r="319" spans="3:28" ht="147" customHeight="1">
      <c r="D319" s="214" t="s">
        <v>1479</v>
      </c>
      <c r="E319" s="213" t="e">
        <f>E313-E323</f>
        <v>#REF!</v>
      </c>
      <c r="F319" s="215" t="e">
        <f>E319/$E$321</f>
        <v>#REF!</v>
      </c>
    </row>
    <row r="320" spans="3:28" ht="147" customHeight="1">
      <c r="D320" s="214" t="s">
        <v>1480</v>
      </c>
      <c r="E320" s="213" t="e">
        <f>F315-E313</f>
        <v>#REF!</v>
      </c>
      <c r="F320" s="215" t="e">
        <f>E320/$E$321</f>
        <v>#REF!</v>
      </c>
    </row>
    <row r="321" spans="4:9" ht="147" customHeight="1">
      <c r="D321" s="211" t="s">
        <v>1481</v>
      </c>
      <c r="E321" s="213" t="e">
        <f>SUM(E318:E320)</f>
        <v>#REF!</v>
      </c>
      <c r="F321" s="215" t="e">
        <f>E321/$E$321</f>
        <v>#REF!</v>
      </c>
    </row>
    <row r="322" spans="4:9" ht="147" customHeight="1">
      <c r="H322" s="42" t="s">
        <v>1482</v>
      </c>
    </row>
    <row r="323" spans="4:9" ht="147" customHeight="1">
      <c r="D323" s="174" t="s">
        <v>1483</v>
      </c>
      <c r="E323" s="42">
        <f>SUM(H3:H301)</f>
        <v>78</v>
      </c>
      <c r="F323" s="135">
        <f>E323/$E$326</f>
        <v>0.33766233766233766</v>
      </c>
      <c r="H323" s="42">
        <f>E323</f>
        <v>78</v>
      </c>
      <c r="I323" s="135">
        <f>H323/E323</f>
        <v>1</v>
      </c>
    </row>
    <row r="324" spans="4:9" ht="147" customHeight="1">
      <c r="D324" s="174" t="s">
        <v>1484</v>
      </c>
      <c r="E324" s="42">
        <f>SUM(I3:I301)</f>
        <v>41</v>
      </c>
      <c r="F324" s="135">
        <f t="shared" ref="F324:F326" si="0">E324/$E$326</f>
        <v>0.1774891774891775</v>
      </c>
      <c r="H324" s="42" t="e">
        <f>SUMPRODUCT(I3:I301,#REF!)</f>
        <v>#REF!</v>
      </c>
      <c r="I324" s="223" t="e">
        <f>H324/E324</f>
        <v>#REF!</v>
      </c>
    </row>
    <row r="325" spans="4:9" ht="147" customHeight="1">
      <c r="D325" s="174" t="s">
        <v>1485</v>
      </c>
      <c r="E325" s="42">
        <f>F315-E323-E324</f>
        <v>112</v>
      </c>
      <c r="F325" s="135">
        <f t="shared" si="0"/>
        <v>0.48484848484848486</v>
      </c>
      <c r="H325" s="42" t="e">
        <f>E313-H324-H323</f>
        <v>#REF!</v>
      </c>
      <c r="I325" s="135" t="e">
        <f>H325/E325</f>
        <v>#REF!</v>
      </c>
    </row>
    <row r="326" spans="4:9" ht="147" customHeight="1">
      <c r="D326" s="174" t="s">
        <v>1481</v>
      </c>
      <c r="E326" s="42">
        <f>SUM(E323:E325)</f>
        <v>231</v>
      </c>
      <c r="F326" s="135">
        <f t="shared" si="0"/>
        <v>1</v>
      </c>
      <c r="H326" s="42" t="e">
        <f>SUM(H323:H325)</f>
        <v>#REF!</v>
      </c>
      <c r="I326" s="135" t="e">
        <f>H326/E326</f>
        <v>#REF!</v>
      </c>
    </row>
    <row r="328" spans="4:9" ht="147" customHeight="1">
      <c r="D328" s="236" t="s">
        <v>1486</v>
      </c>
      <c r="E328" s="237"/>
      <c r="F328" s="237"/>
    </row>
    <row r="329" spans="4:9" ht="147" customHeight="1">
      <c r="D329" s="236" t="s">
        <v>1483</v>
      </c>
      <c r="E329" s="237">
        <f>E323</f>
        <v>78</v>
      </c>
      <c r="F329" s="238" t="e">
        <f>E329/$E$332</f>
        <v>#REF!</v>
      </c>
    </row>
    <row r="330" spans="4:9" ht="147" customHeight="1">
      <c r="D330" s="236" t="s">
        <v>1484</v>
      </c>
      <c r="E330" s="237">
        <f>E324</f>
        <v>41</v>
      </c>
      <c r="F330" s="238" t="e">
        <f t="shared" ref="F330:F332" si="1">E330/$E$332</f>
        <v>#REF!</v>
      </c>
    </row>
    <row r="331" spans="4:9" ht="147" customHeight="1">
      <c r="D331" s="236" t="s">
        <v>1487</v>
      </c>
      <c r="E331" s="237" t="e">
        <f>H325</f>
        <v>#REF!</v>
      </c>
      <c r="F331" s="238" t="e">
        <f t="shared" si="1"/>
        <v>#REF!</v>
      </c>
    </row>
    <row r="332" spans="4:9" ht="147" customHeight="1">
      <c r="D332" s="236" t="s">
        <v>1488</v>
      </c>
      <c r="E332" s="237" t="e">
        <f>SUM(E329:E331)</f>
        <v>#REF!</v>
      </c>
      <c r="F332" s="238" t="e">
        <f t="shared" si="1"/>
        <v>#REF!</v>
      </c>
    </row>
  </sheetData>
  <mergeCells count="2">
    <mergeCell ref="C1:E1"/>
    <mergeCell ref="K1:L1"/>
  </mergeCells>
  <phoneticPr fontId="50" type="noConversion"/>
  <conditionalFormatting sqref="N28">
    <cfRule type="iconSet" priority="7">
      <iconSet iconSet="4TrafficLights">
        <cfvo type="percent" val="0"/>
        <cfvo type="num" val="1"/>
        <cfvo type="num" val="2"/>
        <cfvo type="num" val="3"/>
      </iconSet>
    </cfRule>
  </conditionalFormatting>
  <conditionalFormatting sqref="N150">
    <cfRule type="iconSet" priority="6">
      <iconSet iconSet="4TrafficLights">
        <cfvo type="percent" val="0"/>
        <cfvo type="num" val="1"/>
        <cfvo type="num" val="2"/>
        <cfvo type="num" val="3"/>
      </iconSet>
    </cfRule>
  </conditionalFormatting>
  <conditionalFormatting sqref="N149">
    <cfRule type="iconSet" priority="5">
      <iconSet iconSet="4TrafficLights">
        <cfvo type="percent" val="0"/>
        <cfvo type="num" val="1"/>
        <cfvo type="num" val="2"/>
        <cfvo type="num" val="3"/>
      </iconSet>
    </cfRule>
  </conditionalFormatting>
  <conditionalFormatting sqref="N3:N8 N12:N27 N71:N88 N110:N115 N29:N69 N92:N105 N118:N148 N151:N247 N249:N303">
    <cfRule type="iconSet" priority="93">
      <iconSet iconSet="4TrafficLights">
        <cfvo type="percent" val="0"/>
        <cfvo type="num" val="1"/>
        <cfvo type="num" val="2"/>
        <cfvo type="num" val="3"/>
      </iconSet>
    </cfRule>
  </conditionalFormatting>
  <conditionalFormatting sqref="N10">
    <cfRule type="iconSet" priority="102">
      <iconSet iconSet="4TrafficLights">
        <cfvo type="percent" val="0"/>
        <cfvo type="num" val="1"/>
        <cfvo type="num" val="2"/>
        <cfvo type="num" val="3"/>
      </iconSet>
    </cfRule>
  </conditionalFormatting>
  <conditionalFormatting sqref="N11">
    <cfRule type="iconSet" priority="103">
      <iconSet iconSet="4TrafficLights">
        <cfvo type="percent" val="0"/>
        <cfvo type="num" val="1"/>
        <cfvo type="num" val="2"/>
        <cfvo type="num" val="3"/>
      </iconSet>
    </cfRule>
  </conditionalFormatting>
  <conditionalFormatting sqref="N248">
    <cfRule type="iconSet" priority="104">
      <iconSet iconSet="4TrafficLights">
        <cfvo type="percent" val="0"/>
        <cfvo type="num" val="1"/>
        <cfvo type="num" val="2"/>
        <cfvo type="num" val="3"/>
      </iconSet>
    </cfRule>
  </conditionalFormatting>
  <conditionalFormatting sqref="N89:N91">
    <cfRule type="iconSet" priority="105">
      <iconSet iconSet="4TrafficLights">
        <cfvo type="percent" val="0"/>
        <cfvo type="num" val="1"/>
        <cfvo type="num" val="2"/>
        <cfvo type="num" val="3"/>
      </iconSet>
    </cfRule>
  </conditionalFormatting>
  <conditionalFormatting sqref="N106:N109">
    <cfRule type="iconSet" priority="106">
      <iconSet iconSet="4TrafficLights">
        <cfvo type="percent" val="0"/>
        <cfvo type="num" val="1"/>
        <cfvo type="num" val="2"/>
        <cfvo type="num" val="3"/>
      </iconSet>
    </cfRule>
  </conditionalFormatting>
  <conditionalFormatting sqref="N70">
    <cfRule type="iconSet" priority="107">
      <iconSet iconSet="4TrafficLights">
        <cfvo type="percent" val="0"/>
        <cfvo type="num" val="1"/>
        <cfvo type="num" val="2"/>
        <cfvo type="num" val="3"/>
      </iconSet>
    </cfRule>
  </conditionalFormatting>
  <conditionalFormatting sqref="N304">
    <cfRule type="iconSet" priority="108">
      <iconSet iconSet="4TrafficLights">
        <cfvo type="percent" val="0"/>
        <cfvo type="num" val="1"/>
        <cfvo type="num" val="2"/>
        <cfvo type="num" val="3"/>
      </iconSet>
    </cfRule>
  </conditionalFormatting>
  <conditionalFormatting sqref="N305">
    <cfRule type="iconSet" priority="109">
      <iconSet iconSet="4TrafficLights">
        <cfvo type="percent" val="0"/>
        <cfvo type="num" val="1"/>
        <cfvo type="num" val="2"/>
        <cfvo type="num" val="3"/>
      </iconSet>
    </cfRule>
  </conditionalFormatting>
  <conditionalFormatting sqref="N116">
    <cfRule type="iconSet" priority="110">
      <iconSet iconSet="4TrafficLights">
        <cfvo type="percent" val="0"/>
        <cfvo type="num" val="1"/>
        <cfvo type="num" val="2"/>
        <cfvo type="num" val="3"/>
      </iconSet>
    </cfRule>
  </conditionalFormatting>
  <conditionalFormatting sqref="N117">
    <cfRule type="iconSet" priority="111">
      <iconSet iconSet="4TrafficLights">
        <cfvo type="percent" val="0"/>
        <cfvo type="num" val="1"/>
        <cfvo type="num" val="2"/>
        <cfvo type="num" val="3"/>
      </iconSet>
    </cfRule>
  </conditionalFormatting>
  <conditionalFormatting sqref="N1:N1048576">
    <cfRule type="containsText" dxfId="20" priority="4" operator="containsText" text="orange">
      <formula>NOT(ISERROR(SEARCH("orange",N1)))</formula>
    </cfRule>
    <cfRule type="containsText" dxfId="19" priority="3" operator="containsText" text="red">
      <formula>NOT(ISERROR(SEARCH("red",N1)))</formula>
    </cfRule>
    <cfRule type="containsText" dxfId="18" priority="2" operator="containsText" text="green">
      <formula>NOT(ISERROR(SEARCH("green",N1)))</formula>
    </cfRule>
    <cfRule type="containsText" dxfId="17" priority="1" operator="containsText" text="grey">
      <formula>NOT(ISERROR(SEARCH("grey",N1)))</formula>
    </cfRule>
  </conditionalFormatting>
  <hyperlinks>
    <hyperlink ref="C3" r:id="rId1" xr:uid="{00000000-0004-0000-0E00-000000000000}"/>
    <hyperlink ref="C8" r:id="rId2" xr:uid="{00000000-0004-0000-0E00-000001000000}"/>
    <hyperlink ref="C7" r:id="rId3" xr:uid="{00000000-0004-0000-0E00-000002000000}"/>
    <hyperlink ref="C56" r:id="rId4" xr:uid="{00000000-0004-0000-0E00-000003000000}"/>
    <hyperlink ref="C57" r:id="rId5" xr:uid="{00000000-0004-0000-0E00-000004000000}"/>
    <hyperlink ref="C59" r:id="rId6" xr:uid="{00000000-0004-0000-0E00-000005000000}"/>
    <hyperlink ref="C16" r:id="rId7" xr:uid="{00000000-0004-0000-0E00-000006000000}"/>
    <hyperlink ref="C58" r:id="rId8" display="2022/869 on guidelines for trans-European energy infrastructure, amending Regulations (EC) No 715/2009, (EU) 2019/942 and (EU) 2019/943 and Directives 2009/73/EC and (EU) 2019/944, and repealing Regulation (EU) No 347/2013" xr:uid="{00000000-0004-0000-0E00-000007000000}"/>
    <hyperlink ref="C70" r:id="rId9" xr:uid="{00000000-0004-0000-0E00-000008000000}"/>
    <hyperlink ref="C71" r:id="rId10" xr:uid="{00000000-0004-0000-0E00-000009000000}"/>
    <hyperlink ref="C77" r:id="rId11" xr:uid="{00000000-0004-0000-0E00-00000A000000}"/>
    <hyperlink ref="C80" r:id="rId12" xr:uid="{00000000-0004-0000-0E00-00000B000000}"/>
    <hyperlink ref="C91" r:id="rId13" xr:uid="{00000000-0004-0000-0E00-00000C000000}"/>
    <hyperlink ref="C103" r:id="rId14" xr:uid="{00000000-0004-0000-0E00-00000E000000}"/>
    <hyperlink ref="C105" r:id="rId15" display="on waste electrical and electronic equipment (WEEE) (recast) (amended by Directive in 2018)" xr:uid="{00000000-0004-0000-0E00-00000F000000}"/>
    <hyperlink ref="C167" r:id="rId16" xr:uid="{00000000-0004-0000-0E00-000011000000}"/>
    <hyperlink ref="C172" r:id="rId17" xr:uid="{00000000-0004-0000-0E00-000012000000}"/>
    <hyperlink ref="C165" r:id="rId18" display="on Union guidelines for the development of the trans-European transport network and repealing Decision No 661/2010/EU" xr:uid="{00000000-0004-0000-0E00-000013000000}"/>
    <hyperlink ref="C151" r:id="rId19" xr:uid="{00000000-0004-0000-0E00-000014000000}"/>
    <hyperlink ref="C152" r:id="rId20" xr:uid="{00000000-0004-0000-0E00-000015000000}"/>
    <hyperlink ref="C157" r:id="rId21" display="on Union guidelines for the development of the trans-European transport network and repealing Decision No 661/2010/EU" xr:uid="{00000000-0004-0000-0E00-000016000000}"/>
    <hyperlink ref="C164" r:id="rId22" display="on type-approval of motor vehicles and engines and of systems, components and separate technical units intended for such vehicles, with respect to their emissions and battery durability (Euro 7) and repealing Regulations (EC) No 715/2007 and (EC) No 595/2" xr:uid="{00000000-0004-0000-0E00-000017000000}"/>
    <hyperlink ref="C159" r:id="rId23" xr:uid="{00000000-0004-0000-0E00-000018000000}"/>
    <hyperlink ref="C158" r:id="rId24" xr:uid="{00000000-0004-0000-0E00-000019000000}"/>
    <hyperlink ref="C213" r:id="rId25" xr:uid="{00000000-0004-0000-0E00-00001A000000}"/>
    <hyperlink ref="C268" r:id="rId26" xr:uid="{00000000-0004-0000-0E00-00001B000000}"/>
    <hyperlink ref="C280" r:id="rId27" xr:uid="{00000000-0004-0000-0E00-00001C000000}"/>
    <hyperlink ref="C294" r:id="rId28" xr:uid="{00000000-0004-0000-0E00-00001D000000}"/>
    <hyperlink ref="C283" r:id="rId29" xr:uid="{00000000-0004-0000-0E00-00001E000000}"/>
    <hyperlink ref="C282" r:id="rId30" xr:uid="{00000000-0004-0000-0E00-00001F000000}"/>
    <hyperlink ref="C173" r:id="rId31" xr:uid="{00000000-0004-0000-0E00-000020000000}"/>
    <hyperlink ref="C239" r:id="rId32" xr:uid="{00000000-0004-0000-0E00-000021000000}"/>
    <hyperlink ref="C236" r:id="rId33" xr:uid="{00000000-0004-0000-0E00-000022000000}"/>
    <hyperlink ref="C232" r:id="rId34" xr:uid="{00000000-0004-0000-0E00-000023000000}"/>
    <hyperlink ref="C176" r:id="rId35" xr:uid="{00000000-0004-0000-0E00-000024000000}"/>
    <hyperlink ref="C48" r:id="rId36" display="On the Energy Performance of Buildings" xr:uid="{00000000-0004-0000-0E00-000025000000}"/>
    <hyperlink ref="C13" r:id="rId37" display="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xr:uid="{00000000-0004-0000-0E00-000026000000}"/>
    <hyperlink ref="C65" r:id="rId38" xr:uid="{00000000-0004-0000-0E00-000027000000}"/>
    <hyperlink ref="C125" r:id="rId39" xr:uid="{00000000-0004-0000-0E00-000028000000}"/>
    <hyperlink ref="C265" r:id="rId40" xr:uid="{00000000-0004-0000-0E00-000029000000}"/>
    <hyperlink ref="C237" r:id="rId41" xr:uid="{00000000-0004-0000-0E00-00002A000000}"/>
    <hyperlink ref="C140" r:id="rId42" xr:uid="{00000000-0004-0000-0E00-00002B000000}"/>
    <hyperlink ref="C10" r:id="rId43" xr:uid="{00000000-0004-0000-0E00-00002C000000}"/>
    <hyperlink ref="C126" r:id="rId44" xr:uid="{00000000-0004-0000-0E00-00002D000000}"/>
    <hyperlink ref="C235" r:id="rId45" xr:uid="{00000000-0004-0000-0E00-00002E000000}"/>
    <hyperlink ref="C76" r:id="rId46" xr:uid="{00000000-0004-0000-0E00-000037000000}"/>
    <hyperlink ref="C72" r:id="rId47" xr:uid="{00000000-0004-0000-0E00-000038000000}"/>
    <hyperlink ref="C234" r:id="rId48" xr:uid="{00000000-0004-0000-0E00-000039000000}"/>
    <hyperlink ref="L128" r:id="rId49" display="GHG intensity reduction target in the sector (see Agreement Council - Parliament on 23.03.2023): -2% from 1 January 2025; -6% from 1 January 2030; -14.5% from 1 January 2035; -31% from 1 January 2040; -62% from 1 January 2045; -80% from 1 January 2050)" xr:uid="{00000000-0004-0000-0E00-00003A000000}"/>
    <hyperlink ref="L121" r:id="rId50" display="Starting from 2025, at least 2% of aviation fuels will be green, with this share increasing every five years: 6% in 2030, 20% in 2035, 34% in 2040, 42% in 2045 and 70% in 2050. Hydrogen and fuel produced from cooking oil or waste gases considered green (link agreement Council - Parliament on 25.04.2023)" xr:uid="{00000000-0004-0000-0E00-00003B000000}"/>
    <hyperlink ref="C12" r:id="rId51" xr:uid="{00000000-0004-0000-0E00-00003C000000}"/>
    <hyperlink ref="L40" r:id="rId52" xr:uid="{00000000-0004-0000-0E00-00003D000000}"/>
    <hyperlink ref="L41" r:id="rId53" display="Member States shall ensure that the total final energy consumption of all public bodies combined is reduced by at least 1,9 % each year, when compared to 2021 (art. 5.1 Directive)" xr:uid="{00000000-0004-0000-0E00-00003E000000}"/>
    <hyperlink ref="C118" r:id="rId54" xr:uid="{00000000-0004-0000-0E00-00003F000000}"/>
    <hyperlink ref="C211" r:id="rId55" xr:uid="{00000000-0004-0000-0E00-000040000000}"/>
    <hyperlink ref="C230" r:id="rId56" xr:uid="{00000000-0004-0000-0E00-000041000000}"/>
    <hyperlink ref="C240" r:id="rId57" xr:uid="{00000000-0004-0000-0E00-000042000000}"/>
    <hyperlink ref="C242" r:id="rId58" xr:uid="{00000000-0004-0000-0E00-000043000000}"/>
    <hyperlink ref="C241" r:id="rId59" display="https://food.ec.europa.eu/system/files/2023-07/prm_leg_future_reg_prm.pdf" xr:uid="{00000000-0004-0000-0E00-000044000000}"/>
    <hyperlink ref="C272" r:id="rId60" xr:uid="{00000000-0004-0000-0E00-000045000000}"/>
    <hyperlink ref="C88" r:id="rId61" xr:uid="{00000000-0004-0000-0E00-000046000000}"/>
    <hyperlink ref="C231" r:id="rId62" xr:uid="{00000000-0004-0000-0E00-000047000000}"/>
    <hyperlink ref="C40" r:id="rId63" xr:uid="{00000000-0004-0000-0E00-000052000000}"/>
    <hyperlink ref="C5" r:id="rId64" xr:uid="{00000000-0004-0000-0E00-000053000000}"/>
    <hyperlink ref="C45" r:id="rId65" xr:uid="{00000000-0004-0000-0E00-000054000000}"/>
    <hyperlink ref="C129" r:id="rId66" xr:uid="{00000000-0004-0000-0E00-000055000000}"/>
    <hyperlink ref="C284" r:id="rId67" xr:uid="{00000000-0004-0000-0E00-000056000000}"/>
    <hyperlink ref="C233" r:id="rId68" xr:uid="{00000000-0004-0000-0E00-000057000000}"/>
    <hyperlink ref="C238" r:id="rId69" xr:uid="{00000000-0004-0000-0E00-000058000000}"/>
    <hyperlink ref="C14" r:id="rId70" display="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xr:uid="{00000000-0004-0000-0E00-000059000000}"/>
    <hyperlink ref="C15" r:id="rId71" display="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xr:uid="{00000000-0004-0000-0E00-00005A000000}"/>
    <hyperlink ref="C39" r:id="rId72" xr:uid="{00000000-0004-0000-0E00-00005B000000}"/>
    <hyperlink ref="C41" r:id="rId73" xr:uid="{00000000-0004-0000-0E00-00005C000000}"/>
    <hyperlink ref="C42" r:id="rId74" xr:uid="{00000000-0004-0000-0E00-00005D000000}"/>
    <hyperlink ref="C43" r:id="rId75" xr:uid="{00000000-0004-0000-0E00-00005E000000}"/>
    <hyperlink ref="C44" r:id="rId76" xr:uid="{00000000-0004-0000-0E00-00005F000000}"/>
    <hyperlink ref="C264" r:id="rId77" xr:uid="{00000000-0004-0000-0E00-000060000000}"/>
    <hyperlink ref="C269" r:id="rId78" xr:uid="{00000000-0004-0000-0E00-000061000000}"/>
    <hyperlink ref="C270" r:id="rId79" xr:uid="{00000000-0004-0000-0E00-000062000000}"/>
    <hyperlink ref="C271" r:id="rId80" xr:uid="{00000000-0004-0000-0E00-000063000000}"/>
    <hyperlink ref="C266" r:id="rId81" xr:uid="{00000000-0004-0000-0E00-000064000000}"/>
    <hyperlink ref="C267" r:id="rId82" xr:uid="{00000000-0004-0000-0E00-000065000000}"/>
    <hyperlink ref="C273" r:id="rId83" xr:uid="{00000000-0004-0000-0E00-000066000000}"/>
    <hyperlink ref="C281" r:id="rId84" xr:uid="{00000000-0004-0000-0E00-000067000000}"/>
    <hyperlink ref="C295" r:id="rId85" xr:uid="{00000000-0004-0000-0E00-000068000000}"/>
    <hyperlink ref="C49" r:id="rId86" display="On the Energy Performance of Buildings" xr:uid="{00000000-0004-0000-0E00-000069000000}"/>
    <hyperlink ref="C50" r:id="rId87" display="On the Energy Performance of Buildings" xr:uid="{00000000-0004-0000-0E00-00006A000000}"/>
    <hyperlink ref="C51" r:id="rId88" display="On the Energy Performance of Buildings" xr:uid="{00000000-0004-0000-0E00-00006B000000}"/>
    <hyperlink ref="C52" r:id="rId89" display="On the Energy Performance of Buildings" xr:uid="{00000000-0004-0000-0E00-00006C000000}"/>
    <hyperlink ref="C55" r:id="rId90" display="On the Energy Performance of Buildings" xr:uid="{00000000-0004-0000-0E00-00006D000000}"/>
    <hyperlink ref="C174" r:id="rId91" xr:uid="{00000000-0004-0000-0E00-00006E000000}"/>
    <hyperlink ref="C175" r:id="rId92" xr:uid="{00000000-0004-0000-0E00-00006F000000}"/>
    <hyperlink ref="C274" r:id="rId93" xr:uid="{00000000-0004-0000-0E00-000070000000}"/>
    <hyperlink ref="C27" r:id="rId94" xr:uid="{00000000-0004-0000-0E00-000073000000}"/>
    <hyperlink ref="C46" r:id="rId95" xr:uid="{00000000-0004-0000-0E00-000074000000}"/>
    <hyperlink ref="C109" r:id="rId96" xr:uid="{00000000-0004-0000-0E00-000077000000}"/>
    <hyperlink ref="C132" r:id="rId97" location="d1e854-13-1" xr:uid="{00000000-0004-0000-0E00-000078000000}"/>
    <hyperlink ref="C57" r:id="rId98" location="d1e854-13-1" display="setting CO2 emission performance standards for new passenger cars and for new light commercial vehicles, and repealing Regulations (EC) No 443/2009 and (EU) No 510/2011" xr:uid="{00000000-0004-0000-0E00-000079000000}"/>
    <hyperlink ref="C138" r:id="rId99" xr:uid="{00000000-0004-0000-0E00-00007A000000}"/>
    <hyperlink ref="C60" r:id="rId100" xr:uid="{00000000-0004-0000-0E00-00007B000000}"/>
    <hyperlink ref="C61" r:id="rId101" xr:uid="{00000000-0004-0000-0E00-00007C000000}"/>
    <hyperlink ref="C123" r:id="rId102" xr:uid="{00000000-0004-0000-0E00-00007E000000}"/>
    <hyperlink ref="C28" r:id="rId103" xr:uid="{00000000-0004-0000-0E00-00007F000000}"/>
    <hyperlink ref="C29" r:id="rId104" xr:uid="{00000000-0004-0000-0E00-000080000000}"/>
    <hyperlink ref="C21" r:id="rId105" xr:uid="{00000000-0004-0000-0E00-000081000000}"/>
    <hyperlink ref="C30" r:id="rId106" xr:uid="{00000000-0004-0000-0E00-000082000000}"/>
    <hyperlink ref="C31" r:id="rId107" xr:uid="{00000000-0004-0000-0E00-000083000000}"/>
    <hyperlink ref="C32" r:id="rId108" xr:uid="{00000000-0004-0000-0E00-000084000000}"/>
    <hyperlink ref="C33" r:id="rId109" xr:uid="{00000000-0004-0000-0E00-000085000000}"/>
    <hyperlink ref="C34" r:id="rId110" xr:uid="{00000000-0004-0000-0E00-000086000000}"/>
    <hyperlink ref="C35" r:id="rId111" xr:uid="{00000000-0004-0000-0E00-000087000000}"/>
    <hyperlink ref="C124" r:id="rId112" xr:uid="{00000000-0004-0000-0E00-000088000000}"/>
    <hyperlink ref="C36" r:id="rId113" xr:uid="{00000000-0004-0000-0E00-000089000000}"/>
    <hyperlink ref="C18" r:id="rId114" xr:uid="{00000000-0004-0000-0E00-00008A000000}"/>
    <hyperlink ref="C275" r:id="rId115" xr:uid="{00000000-0004-0000-0E00-00008B000000}"/>
    <hyperlink ref="C276" r:id="rId116" xr:uid="{00000000-0004-0000-0E00-00008C000000}"/>
    <hyperlink ref="C277" r:id="rId117" xr:uid="{00000000-0004-0000-0E00-00008D000000}"/>
    <hyperlink ref="C298" r:id="rId118" xr:uid="{00000000-0004-0000-0E00-00008E000000}"/>
    <hyperlink ref="C38" r:id="rId119" xr:uid="{00000000-0004-0000-0E00-00008F000000}"/>
    <hyperlink ref="C299" r:id="rId120" display="amending Directive 2000/60/EC establishing a framework for Community action in the field of water policy, Directive 2006/118/EC on the protection of groundwater against_x000a_pollution and deterioration and Directive 2008/105/EC on environmental quality standards in the field of water policy" xr:uid="{00000000-0004-0000-0E00-000090000000}"/>
    <hyperlink ref="C127" r:id="rId121" display="Amending Council Directive 92/106/EEC as regards a support framework for intermodal transport of goods and Regulation (EU) 2020/1056 of the European Parliament and the Council as regards calculation of external costs savings and generation of aggregated data" xr:uid="{00000000-0004-0000-0E00-000091000000}"/>
    <hyperlink ref="C37" r:id="rId122" display="2022/869 on guidelines for trans-European energy infrastructure, amending Regulations (EC) No 715/2009, (EU) 2019/942 and (EU) 2019/943 and Directives 2009/73/EC and (EU) 2019/944, and repealing Regulation (EU) No 347/2013" xr:uid="{00000000-0004-0000-0E00-000092000000}"/>
    <hyperlink ref="C133" r:id="rId123" location="d1e854-13-1" xr:uid="{00000000-0004-0000-0E00-000093000000}"/>
    <hyperlink ref="C166" r:id="rId124" display="Amending Council Directive 92/106/EEC as regards a support framework for intermodal transport of goods and Regulation (EU) 2020/1056 of the European Parliament and the Council as regards calculation of external costs savings and generation of aggregated data" xr:uid="{00000000-0004-0000-0E00-000095000000}"/>
    <hyperlink ref="C286" r:id="rId125" xr:uid="{00000000-0004-0000-0E00-000096000000}"/>
    <hyperlink ref="C287" r:id="rId126" xr:uid="{00000000-0004-0000-0E00-000097000000}"/>
    <hyperlink ref="C288" r:id="rId127" xr:uid="{00000000-0004-0000-0E00-000098000000}"/>
    <hyperlink ref="C289" r:id="rId128" xr:uid="{00000000-0004-0000-0E00-000099000000}"/>
    <hyperlink ref="C290" r:id="rId129" xr:uid="{00000000-0004-0000-0E00-00009A000000}"/>
    <hyperlink ref="C291" r:id="rId130" xr:uid="{00000000-0004-0000-0E00-00009B000000}"/>
    <hyperlink ref="C292" r:id="rId131" xr:uid="{00000000-0004-0000-0E00-00009C000000}"/>
    <hyperlink ref="C214" r:id="rId132" xr:uid="{00000000-0004-0000-0E00-00009D000000}"/>
    <hyperlink ref="C215" r:id="rId133" xr:uid="{00000000-0004-0000-0E00-00009E000000}"/>
    <hyperlink ref="C216" r:id="rId134" xr:uid="{00000000-0004-0000-0E00-00009F000000}"/>
    <hyperlink ref="C217" r:id="rId135" xr:uid="{00000000-0004-0000-0E00-0000A0000000}"/>
    <hyperlink ref="C218" r:id="rId136" xr:uid="{00000000-0004-0000-0E00-0000A1000000}"/>
    <hyperlink ref="C219" r:id="rId137" xr:uid="{00000000-0004-0000-0E00-0000A2000000}"/>
    <hyperlink ref="C220" r:id="rId138" xr:uid="{00000000-0004-0000-0E00-0000A3000000}"/>
    <hyperlink ref="C221" r:id="rId139" xr:uid="{00000000-0004-0000-0E00-0000A4000000}"/>
    <hyperlink ref="C222" r:id="rId140" xr:uid="{00000000-0004-0000-0E00-0000A5000000}"/>
    <hyperlink ref="C223" r:id="rId141" xr:uid="{00000000-0004-0000-0E00-0000A6000000}"/>
    <hyperlink ref="C224" r:id="rId142" xr:uid="{00000000-0004-0000-0E00-0000A7000000}"/>
    <hyperlink ref="C225" r:id="rId143" xr:uid="{00000000-0004-0000-0E00-0000A8000000}"/>
    <hyperlink ref="C226" r:id="rId144" xr:uid="{00000000-0004-0000-0E00-0000A9000000}"/>
    <hyperlink ref="C227" r:id="rId145" xr:uid="{00000000-0004-0000-0E00-0000AA000000}"/>
    <hyperlink ref="C228" r:id="rId146" xr:uid="{00000000-0004-0000-0E00-0000AB000000}"/>
    <hyperlink ref="C229" r:id="rId147" xr:uid="{00000000-0004-0000-0E00-0000AC000000}"/>
    <hyperlink ref="C263" r:id="rId148" location=":~:text=The%20proposal%20combines%20an%20overarching,for%20specific%20habitats%20and%20species." xr:uid="{00000000-0004-0000-0E00-0000AD000000}"/>
    <hyperlink ref="C89" r:id="rId149" xr:uid="{00000000-0004-0000-0E00-0000AE000000}"/>
    <hyperlink ref="C119" r:id="rId150" xr:uid="{00000000-0004-0000-0E00-0000AF000000}"/>
    <hyperlink ref="C128" r:id="rId151" xr:uid="{00000000-0004-0000-0E00-0000B0000000}"/>
    <hyperlink ref="C6" r:id="rId152" xr:uid="{00000000-0004-0000-0E00-0000B1000000}"/>
    <hyperlink ref="C19" r:id="rId153" xr:uid="{00000000-0004-0000-0E00-0000B2000000}"/>
    <hyperlink ref="C17" r:id="rId154" xr:uid="{00000000-0004-0000-0E00-0000B3000000}"/>
    <hyperlink ref="C146" r:id="rId155" xr:uid="{00000000-0004-0000-0E00-0000BA000000}"/>
    <hyperlink ref="C147" r:id="rId156" xr:uid="{00000000-0004-0000-0E00-0000BB000000}"/>
    <hyperlink ref="C148" r:id="rId157" xr:uid="{00000000-0004-0000-0E00-0000BC000000}"/>
    <hyperlink ref="C145" r:id="rId158" xr:uid="{00000000-0004-0000-0E00-0000BD000000}"/>
    <hyperlink ref="C144" r:id="rId159" xr:uid="{00000000-0004-0000-0E00-0000BE000000}"/>
    <hyperlink ref="C143" r:id="rId160" xr:uid="{00000000-0004-0000-0E00-0000BF000000}"/>
    <hyperlink ref="C142" r:id="rId161" xr:uid="{00000000-0004-0000-0E00-0000C0000000}"/>
    <hyperlink ref="C141" r:id="rId162" xr:uid="{00000000-0004-0000-0E00-0000C1000000}"/>
    <hyperlink ref="C131" r:id="rId163" xr:uid="{00000000-0004-0000-0E00-0000C2000000}"/>
    <hyperlink ref="C120" r:id="rId164" xr:uid="{00000000-0004-0000-0E00-0000C3000000}"/>
    <hyperlink ref="C121" r:id="rId165" xr:uid="{00000000-0004-0000-0E00-0000C4000000}"/>
    <hyperlink ref="C122" r:id="rId166" xr:uid="{00000000-0004-0000-0E00-0000C5000000}"/>
    <hyperlink ref="C130" r:id="rId167" xr:uid="{00000000-0004-0000-0E00-0000C6000000}"/>
    <hyperlink ref="C243" r:id="rId168" xr:uid="{00000000-0004-0000-0E00-0000C7000000}"/>
    <hyperlink ref="C246:C263" r:id="rId169" display="On Nature Restoration" xr:uid="{00000000-0004-0000-0E00-0000C8000000}"/>
    <hyperlink ref="C136" r:id="rId170" xr:uid="{00000000-0004-0000-0E00-0000C9000000}"/>
    <hyperlink ref="C139" r:id="rId171" xr:uid="{00000000-0004-0000-0E00-0000CA000000}"/>
    <hyperlink ref="C9" r:id="rId172" xr:uid="{00000000-0004-0000-0E00-0000CB000000}"/>
    <hyperlink ref="C11" r:id="rId173" xr:uid="{00000000-0004-0000-0E00-0000CC000000}"/>
    <hyperlink ref="C79" r:id="rId174" xr:uid="{00000000-0004-0000-0E00-0000CD000000}"/>
    <hyperlink ref="C117" r:id="rId175" xr:uid="{00000000-0004-0000-0E00-0000CE000000}"/>
    <hyperlink ref="C278" r:id="rId176" xr:uid="{00000000-0004-0000-0E00-0000CF000000}"/>
    <hyperlink ref="C4" r:id="rId177" xr:uid="{00000000-0004-0000-0E00-0000D0000000}"/>
    <hyperlink ref="C54" r:id="rId178" display="On the Energy Performance of Buildings" xr:uid="{00000000-0004-0000-0E00-0000D1000000}"/>
    <hyperlink ref="C297" r:id="rId179" xr:uid="{00000000-0004-0000-0E00-0000D2000000}"/>
    <hyperlink ref="C296" r:id="rId180" xr:uid="{00000000-0004-0000-0E00-0000D3000000}"/>
    <hyperlink ref="C279" r:id="rId181" xr:uid="{00000000-0004-0000-0E00-0000D4000000}"/>
    <hyperlink ref="C150" r:id="rId182" xr:uid="{00000000-0004-0000-0E00-0000D5000000}"/>
    <hyperlink ref="C149" r:id="rId183" xr:uid="{00000000-0004-0000-0E00-0000D6000000}"/>
    <hyperlink ref="C293" r:id="rId184" xr:uid="{00000000-0004-0000-0E00-0000D7000000}"/>
    <hyperlink ref="C285" r:id="rId185" xr:uid="{00000000-0004-0000-0E00-0000D8000000}"/>
  </hyperlinks>
  <pageMargins left="0.7" right="0.7" top="0.75" bottom="0.75" header="0.3" footer="0.3"/>
  <pageSetup paperSize="9" orientation="portrait" r:id="rId186"/>
  <legacyDrawing r:id="rId187"/>
  <tableParts count="1">
    <tablePart r:id="rId18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7F25C-4B3E-5941-B81D-87A0D40FB3E2}">
  <dimension ref="A1"/>
  <sheetViews>
    <sheetView workbookViewId="0"/>
  </sheetViews>
  <sheetFormatPr baseColWidth="10"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ADF99-3CFE-C649-BBB0-49FDF33F9594}">
  <dimension ref="E1:J298"/>
  <sheetViews>
    <sheetView tabSelected="1" topLeftCell="F179" zoomScale="118" workbookViewId="0">
      <selection activeCell="G180" sqref="G180"/>
    </sheetView>
  </sheetViews>
  <sheetFormatPr baseColWidth="10" defaultRowHeight="230" customHeight="1"/>
  <cols>
    <col min="5" max="5" width="30.6640625" customWidth="1"/>
    <col min="6" max="6" width="48.5" customWidth="1"/>
    <col min="7" max="7" width="15" customWidth="1"/>
    <col min="8" max="8" width="48.6640625" customWidth="1"/>
    <col min="9" max="9" width="45.83203125" customWidth="1"/>
    <col min="10" max="10" width="15.33203125" customWidth="1"/>
  </cols>
  <sheetData>
    <row r="1" spans="5:10" ht="230" customHeight="1">
      <c r="E1" s="467" t="s">
        <v>236</v>
      </c>
      <c r="F1" s="467" t="s">
        <v>236</v>
      </c>
      <c r="G1" s="467" t="s">
        <v>989</v>
      </c>
      <c r="H1" s="467" t="s">
        <v>243</v>
      </c>
      <c r="I1" s="467" t="s">
        <v>2126</v>
      </c>
      <c r="J1" s="467" t="s">
        <v>237</v>
      </c>
    </row>
    <row r="2" spans="5:10" ht="230" customHeight="1">
      <c r="E2" s="468" t="s">
        <v>463</v>
      </c>
      <c r="F2" s="469" t="s">
        <v>463</v>
      </c>
      <c r="G2" s="470" t="s">
        <v>1051</v>
      </c>
      <c r="H2" s="468" t="s">
        <v>2180</v>
      </c>
      <c r="I2" s="468" t="s">
        <v>2181</v>
      </c>
      <c r="J2" s="470">
        <v>2021</v>
      </c>
    </row>
    <row r="3" spans="5:10" ht="230" customHeight="1">
      <c r="E3" s="468" t="s">
        <v>463</v>
      </c>
      <c r="F3" s="469" t="s">
        <v>463</v>
      </c>
      <c r="G3" s="470" t="s">
        <v>1052</v>
      </c>
      <c r="H3" s="468" t="s">
        <v>2176</v>
      </c>
      <c r="I3" s="468" t="s">
        <v>2177</v>
      </c>
      <c r="J3" s="470">
        <v>2021</v>
      </c>
    </row>
    <row r="4" spans="5:10" ht="230" customHeight="1">
      <c r="E4" s="468" t="s">
        <v>297</v>
      </c>
      <c r="F4" s="469" t="s">
        <v>297</v>
      </c>
      <c r="G4" s="470" t="s">
        <v>990</v>
      </c>
      <c r="H4" s="468" t="s">
        <v>991</v>
      </c>
      <c r="I4" s="468"/>
      <c r="J4" s="470">
        <v>2021</v>
      </c>
    </row>
    <row r="5" spans="5:10" ht="230" customHeight="1">
      <c r="E5" s="468" t="s">
        <v>376</v>
      </c>
      <c r="F5" s="469" t="s">
        <v>376</v>
      </c>
      <c r="G5" s="470" t="s">
        <v>1006</v>
      </c>
      <c r="H5" s="468" t="s">
        <v>2140</v>
      </c>
      <c r="I5" s="468" t="s">
        <v>2131</v>
      </c>
      <c r="J5" s="470">
        <v>2023</v>
      </c>
    </row>
    <row r="6" spans="5:10" ht="230" customHeight="1">
      <c r="E6" s="468" t="s">
        <v>358</v>
      </c>
      <c r="F6" s="469" t="s">
        <v>358</v>
      </c>
      <c r="G6" s="470" t="s">
        <v>1007</v>
      </c>
      <c r="H6" s="468" t="s">
        <v>2139</v>
      </c>
      <c r="I6" s="468" t="s">
        <v>2133</v>
      </c>
      <c r="J6" s="470">
        <v>2023</v>
      </c>
    </row>
    <row r="7" spans="5:10" ht="230" customHeight="1">
      <c r="E7" s="468" t="s">
        <v>335</v>
      </c>
      <c r="F7" s="469" t="s">
        <v>335</v>
      </c>
      <c r="G7" s="470" t="s">
        <v>1008</v>
      </c>
      <c r="H7" s="468" t="s">
        <v>2138</v>
      </c>
      <c r="I7" s="468" t="s">
        <v>2134</v>
      </c>
      <c r="J7" s="470">
        <v>2023</v>
      </c>
    </row>
    <row r="8" spans="5:10" ht="230" customHeight="1">
      <c r="E8" s="468" t="s">
        <v>335</v>
      </c>
      <c r="F8" s="469" t="s">
        <v>335</v>
      </c>
      <c r="G8" s="470" t="s">
        <v>1009</v>
      </c>
      <c r="H8" s="468" t="s">
        <v>2137</v>
      </c>
      <c r="I8" s="468" t="s">
        <v>2136</v>
      </c>
      <c r="J8" s="470">
        <v>2023</v>
      </c>
    </row>
    <row r="9" spans="5:10" ht="230" customHeight="1">
      <c r="E9" s="468" t="s">
        <v>335</v>
      </c>
      <c r="F9" s="469" t="s">
        <v>335</v>
      </c>
      <c r="G9" s="470" t="s">
        <v>1010</v>
      </c>
      <c r="H9" s="468" t="s">
        <v>336</v>
      </c>
      <c r="I9" s="468"/>
      <c r="J9" s="470">
        <v>2023</v>
      </c>
    </row>
    <row r="10" spans="5:10" ht="230" customHeight="1">
      <c r="E10" s="468" t="s">
        <v>324</v>
      </c>
      <c r="F10" s="469" t="s">
        <v>324</v>
      </c>
      <c r="G10" s="470" t="s">
        <v>1011</v>
      </c>
      <c r="H10" s="468" t="s">
        <v>2202</v>
      </c>
      <c r="I10" s="468" t="s">
        <v>2203</v>
      </c>
      <c r="J10" s="470">
        <v>2020</v>
      </c>
    </row>
    <row r="11" spans="5:10" ht="230" customHeight="1">
      <c r="E11" s="471" t="s">
        <v>316</v>
      </c>
      <c r="F11" s="469" t="s">
        <v>316</v>
      </c>
      <c r="G11" s="470" t="s">
        <v>1013</v>
      </c>
      <c r="H11" s="468" t="s">
        <v>317</v>
      </c>
      <c r="I11" s="468"/>
      <c r="J11" s="470">
        <v>2022</v>
      </c>
    </row>
    <row r="12" spans="5:10" ht="230" customHeight="1">
      <c r="E12" s="468" t="s">
        <v>297</v>
      </c>
      <c r="F12" s="469" t="s">
        <v>297</v>
      </c>
      <c r="G12" s="470" t="s">
        <v>992</v>
      </c>
      <c r="H12" s="468" t="s">
        <v>993</v>
      </c>
      <c r="I12" s="468"/>
      <c r="J12" s="470">
        <v>2021</v>
      </c>
    </row>
    <row r="13" spans="5:10" ht="230" customHeight="1">
      <c r="E13" s="468" t="s">
        <v>297</v>
      </c>
      <c r="F13" s="469" t="s">
        <v>297</v>
      </c>
      <c r="G13" s="470" t="s">
        <v>994</v>
      </c>
      <c r="H13" s="468" t="s">
        <v>2142</v>
      </c>
      <c r="I13" s="468" t="s">
        <v>2128</v>
      </c>
      <c r="J13" s="470">
        <v>2021</v>
      </c>
    </row>
    <row r="14" spans="5:10" ht="230" customHeight="1">
      <c r="E14" s="468" t="s">
        <v>365</v>
      </c>
      <c r="F14" s="469" t="s">
        <v>365</v>
      </c>
      <c r="G14" s="470" t="s">
        <v>996</v>
      </c>
      <c r="H14" s="468" t="s">
        <v>366</v>
      </c>
      <c r="I14" s="468"/>
      <c r="J14" s="470">
        <v>2021</v>
      </c>
    </row>
    <row r="15" spans="5:10" ht="230" customHeight="1">
      <c r="E15" s="468" t="s">
        <v>372</v>
      </c>
      <c r="F15" s="469" t="s">
        <v>372</v>
      </c>
      <c r="G15" s="470" t="s">
        <v>997</v>
      </c>
      <c r="H15" s="468" t="s">
        <v>998</v>
      </c>
      <c r="I15" s="468"/>
      <c r="J15" s="470">
        <v>2023</v>
      </c>
    </row>
    <row r="16" spans="5:10" ht="230" customHeight="1">
      <c r="E16" s="468" t="s">
        <v>374</v>
      </c>
      <c r="F16" s="469" t="s">
        <v>374</v>
      </c>
      <c r="G16" s="470" t="s">
        <v>999</v>
      </c>
      <c r="H16" s="468" t="s">
        <v>1000</v>
      </c>
      <c r="I16" s="468"/>
      <c r="J16" s="470">
        <v>2021</v>
      </c>
    </row>
    <row r="17" spans="5:10" ht="230" customHeight="1">
      <c r="E17" s="468" t="s">
        <v>320</v>
      </c>
      <c r="F17" s="469" t="s">
        <v>320</v>
      </c>
      <c r="G17" s="470" t="s">
        <v>1001</v>
      </c>
      <c r="H17" s="468" t="s">
        <v>2143</v>
      </c>
      <c r="I17" s="468" t="s">
        <v>2144</v>
      </c>
      <c r="J17" s="470">
        <v>2020</v>
      </c>
    </row>
    <row r="18" spans="5:10" ht="230" customHeight="1">
      <c r="E18" s="471" t="s">
        <v>389</v>
      </c>
      <c r="F18" s="469" t="s">
        <v>389</v>
      </c>
      <c r="G18" s="470" t="s">
        <v>1003</v>
      </c>
      <c r="H18" s="468" t="s">
        <v>2190</v>
      </c>
      <c r="I18" s="468" t="s">
        <v>2191</v>
      </c>
      <c r="J18" s="470">
        <v>2022</v>
      </c>
    </row>
    <row r="19" spans="5:10" ht="230" customHeight="1">
      <c r="E19" s="468" t="s">
        <v>376</v>
      </c>
      <c r="F19" s="469" t="s">
        <v>376</v>
      </c>
      <c r="G19" s="470" t="s">
        <v>1005</v>
      </c>
      <c r="H19" s="468" t="s">
        <v>2141</v>
      </c>
      <c r="I19" s="468" t="s">
        <v>2129</v>
      </c>
      <c r="J19" s="470">
        <v>2023</v>
      </c>
    </row>
    <row r="20" spans="5:10" ht="230" customHeight="1">
      <c r="E20" s="468" t="s">
        <v>405</v>
      </c>
      <c r="F20" s="469" t="s">
        <v>405</v>
      </c>
      <c r="G20" s="470" t="s">
        <v>1014</v>
      </c>
      <c r="H20" s="468" t="s">
        <v>2217</v>
      </c>
      <c r="I20" s="468" t="s">
        <v>2218</v>
      </c>
      <c r="J20" s="470">
        <v>2022</v>
      </c>
    </row>
    <row r="21" spans="5:10" ht="230" customHeight="1">
      <c r="E21" s="468" t="s">
        <v>396</v>
      </c>
      <c r="F21" s="469" t="s">
        <v>396</v>
      </c>
      <c r="G21" s="470" t="s">
        <v>1026</v>
      </c>
      <c r="H21" s="468" t="s">
        <v>2153</v>
      </c>
      <c r="I21" s="468" t="s">
        <v>2154</v>
      </c>
      <c r="J21" s="470">
        <v>2023</v>
      </c>
    </row>
    <row r="22" spans="5:10" ht="230" customHeight="1">
      <c r="E22" s="468" t="s">
        <v>396</v>
      </c>
      <c r="F22" s="469" t="s">
        <v>396</v>
      </c>
      <c r="G22" s="472" t="s">
        <v>1027</v>
      </c>
      <c r="H22" s="468" t="s">
        <v>2184</v>
      </c>
      <c r="I22" s="468" t="s">
        <v>2185</v>
      </c>
      <c r="J22" s="472">
        <v>2023</v>
      </c>
    </row>
    <row r="23" spans="5:10" ht="230" customHeight="1">
      <c r="E23" s="468" t="s">
        <v>396</v>
      </c>
      <c r="F23" s="469" t="s">
        <v>396</v>
      </c>
      <c r="G23" s="472" t="s">
        <v>1028</v>
      </c>
      <c r="H23" s="468" t="s">
        <v>555</v>
      </c>
      <c r="I23" s="468"/>
      <c r="J23" s="472">
        <v>2023</v>
      </c>
    </row>
    <row r="24" spans="5:10" ht="230" customHeight="1">
      <c r="E24" s="468" t="s">
        <v>396</v>
      </c>
      <c r="F24" s="469" t="s">
        <v>396</v>
      </c>
      <c r="G24" s="472" t="s">
        <v>1029</v>
      </c>
      <c r="H24" s="468" t="s">
        <v>2147</v>
      </c>
      <c r="I24" s="468" t="s">
        <v>2148</v>
      </c>
      <c r="J24" s="472">
        <v>2023</v>
      </c>
    </row>
    <row r="25" spans="5:10" ht="230" customHeight="1">
      <c r="E25" s="468" t="s">
        <v>396</v>
      </c>
      <c r="F25" s="469" t="s">
        <v>396</v>
      </c>
      <c r="G25" s="472" t="s">
        <v>1030</v>
      </c>
      <c r="H25" s="468" t="s">
        <v>2155</v>
      </c>
      <c r="I25" s="468" t="s">
        <v>2156</v>
      </c>
      <c r="J25" s="472">
        <v>2023</v>
      </c>
    </row>
    <row r="26" spans="5:10" ht="230" customHeight="1">
      <c r="E26" s="468" t="s">
        <v>396</v>
      </c>
      <c r="F26" s="469" t="s">
        <v>396</v>
      </c>
      <c r="G26" s="470" t="s">
        <v>1031</v>
      </c>
      <c r="H26" s="468" t="s">
        <v>2149</v>
      </c>
      <c r="I26" s="468" t="s">
        <v>2150</v>
      </c>
      <c r="J26" s="470">
        <v>2023</v>
      </c>
    </row>
    <row r="27" spans="5:10" ht="230" customHeight="1">
      <c r="E27" s="468" t="s">
        <v>396</v>
      </c>
      <c r="F27" s="469" t="s">
        <v>396</v>
      </c>
      <c r="G27" s="472" t="s">
        <v>1033</v>
      </c>
      <c r="H27" s="468" t="s">
        <v>2151</v>
      </c>
      <c r="I27" s="468" t="s">
        <v>2152</v>
      </c>
      <c r="J27" s="472">
        <v>2023</v>
      </c>
    </row>
    <row r="28" spans="5:10" ht="230" customHeight="1">
      <c r="E28" s="468" t="s">
        <v>396</v>
      </c>
      <c r="F28" s="469" t="s">
        <v>396</v>
      </c>
      <c r="G28" s="472" t="s">
        <v>1034</v>
      </c>
      <c r="H28" s="468" t="s">
        <v>2186</v>
      </c>
      <c r="I28" s="468" t="s">
        <v>2187</v>
      </c>
      <c r="J28" s="472">
        <v>2023</v>
      </c>
    </row>
    <row r="29" spans="5:10" ht="230" customHeight="1">
      <c r="E29" s="468" t="s">
        <v>396</v>
      </c>
      <c r="F29" s="469" t="s">
        <v>396</v>
      </c>
      <c r="G29" s="472" t="s">
        <v>1035</v>
      </c>
      <c r="H29" s="468" t="s">
        <v>2182</v>
      </c>
      <c r="I29" s="468" t="s">
        <v>2183</v>
      </c>
      <c r="J29" s="472">
        <v>2023</v>
      </c>
    </row>
    <row r="30" spans="5:10" ht="230" customHeight="1">
      <c r="E30" s="468" t="s">
        <v>591</v>
      </c>
      <c r="F30" s="469" t="s">
        <v>591</v>
      </c>
      <c r="G30" s="470" t="s">
        <v>1036</v>
      </c>
      <c r="H30" s="468" t="s">
        <v>592</v>
      </c>
      <c r="I30" s="468"/>
      <c r="J30" s="470">
        <v>2023</v>
      </c>
    </row>
    <row r="31" spans="5:10" ht="230" customHeight="1">
      <c r="E31" s="468" t="s">
        <v>150</v>
      </c>
      <c r="F31" s="469" t="s">
        <v>150</v>
      </c>
      <c r="G31" s="470" t="s">
        <v>1015</v>
      </c>
      <c r="H31" s="468" t="s">
        <v>2204</v>
      </c>
      <c r="I31" s="468" t="s">
        <v>2205</v>
      </c>
      <c r="J31" s="470">
        <v>2022</v>
      </c>
    </row>
    <row r="32" spans="5:10" ht="230" customHeight="1">
      <c r="E32" s="468" t="s">
        <v>511</v>
      </c>
      <c r="F32" s="469" t="s">
        <v>511</v>
      </c>
      <c r="G32" s="470" t="s">
        <v>1037</v>
      </c>
      <c r="H32" s="468" t="s">
        <v>595</v>
      </c>
      <c r="I32" s="468"/>
      <c r="J32" s="470">
        <v>2023</v>
      </c>
    </row>
    <row r="33" spans="5:10" ht="230" customHeight="1">
      <c r="E33" s="468" t="s">
        <v>511</v>
      </c>
      <c r="F33" s="469" t="s">
        <v>511</v>
      </c>
      <c r="G33" s="470" t="s">
        <v>1038</v>
      </c>
      <c r="H33" s="468" t="s">
        <v>2157</v>
      </c>
      <c r="I33" s="468" t="s">
        <v>2158</v>
      </c>
      <c r="J33" s="470">
        <v>2023</v>
      </c>
    </row>
    <row r="34" spans="5:10" ht="230" customHeight="1">
      <c r="E34" s="468" t="s">
        <v>511</v>
      </c>
      <c r="F34" s="469" t="s">
        <v>511</v>
      </c>
      <c r="G34" s="470" t="s">
        <v>1039</v>
      </c>
      <c r="H34" s="468" t="s">
        <v>2159</v>
      </c>
      <c r="I34" s="468" t="s">
        <v>2160</v>
      </c>
      <c r="J34" s="470">
        <v>2023</v>
      </c>
    </row>
    <row r="35" spans="5:10" ht="230" customHeight="1">
      <c r="E35" s="468" t="s">
        <v>511</v>
      </c>
      <c r="F35" s="469" t="s">
        <v>511</v>
      </c>
      <c r="G35" s="470" t="s">
        <v>1040</v>
      </c>
      <c r="H35" s="468" t="s">
        <v>2161</v>
      </c>
      <c r="I35" s="468" t="s">
        <v>2162</v>
      </c>
      <c r="J35" s="470">
        <v>2023</v>
      </c>
    </row>
    <row r="36" spans="5:10" ht="230" customHeight="1">
      <c r="E36" s="468" t="s">
        <v>511</v>
      </c>
      <c r="F36" s="469" t="s">
        <v>511</v>
      </c>
      <c r="G36" s="470" t="s">
        <v>1041</v>
      </c>
      <c r="H36" s="468" t="s">
        <v>2166</v>
      </c>
      <c r="I36" s="468" t="s">
        <v>2167</v>
      </c>
      <c r="J36" s="470">
        <v>2023</v>
      </c>
    </row>
    <row r="37" spans="5:10" ht="230" customHeight="1">
      <c r="E37" s="468" t="s">
        <v>324</v>
      </c>
      <c r="F37" s="469" t="s">
        <v>324</v>
      </c>
      <c r="G37" s="470" t="s">
        <v>1042</v>
      </c>
      <c r="H37" s="468" t="s">
        <v>2194</v>
      </c>
      <c r="I37" s="468" t="s">
        <v>2195</v>
      </c>
      <c r="J37" s="470">
        <v>2020</v>
      </c>
    </row>
    <row r="38" spans="5:10" ht="230" customHeight="1">
      <c r="E38" s="468" t="s">
        <v>324</v>
      </c>
      <c r="F38" s="469" t="s">
        <v>324</v>
      </c>
      <c r="G38" s="470" t="s">
        <v>1043</v>
      </c>
      <c r="H38" s="468" t="s">
        <v>2196</v>
      </c>
      <c r="I38" s="468" t="s">
        <v>2197</v>
      </c>
      <c r="J38" s="470">
        <v>2020</v>
      </c>
    </row>
    <row r="39" spans="5:10" ht="230" customHeight="1">
      <c r="E39" s="468" t="s">
        <v>463</v>
      </c>
      <c r="F39" s="469" t="s">
        <v>463</v>
      </c>
      <c r="G39" s="470" t="s">
        <v>1044</v>
      </c>
      <c r="H39" s="468" t="s">
        <v>2490</v>
      </c>
      <c r="I39" s="468"/>
      <c r="J39" s="470">
        <v>2021</v>
      </c>
    </row>
    <row r="40" spans="5:10" ht="230" customHeight="1">
      <c r="E40" s="468" t="s">
        <v>463</v>
      </c>
      <c r="F40" s="469" t="s">
        <v>463</v>
      </c>
      <c r="G40" s="470" t="s">
        <v>1045</v>
      </c>
      <c r="H40" s="468" t="s">
        <v>2200</v>
      </c>
      <c r="I40" s="468" t="s">
        <v>2201</v>
      </c>
      <c r="J40" s="470">
        <v>2021</v>
      </c>
    </row>
    <row r="41" spans="5:10" ht="230" customHeight="1">
      <c r="E41" s="468" t="s">
        <v>463</v>
      </c>
      <c r="F41" s="469" t="s">
        <v>463</v>
      </c>
      <c r="G41" s="470" t="s">
        <v>1046</v>
      </c>
      <c r="H41" s="468" t="s">
        <v>2178</v>
      </c>
      <c r="I41" s="468" t="s">
        <v>2179</v>
      </c>
      <c r="J41" s="470">
        <v>2021</v>
      </c>
    </row>
    <row r="42" spans="5:10" ht="230" customHeight="1">
      <c r="E42" s="468" t="s">
        <v>396</v>
      </c>
      <c r="F42" s="469" t="s">
        <v>396</v>
      </c>
      <c r="G42" s="470" t="s">
        <v>1016</v>
      </c>
      <c r="H42" s="468" t="s">
        <v>2188</v>
      </c>
      <c r="I42" s="468" t="s">
        <v>2189</v>
      </c>
      <c r="J42" s="472">
        <v>2023</v>
      </c>
    </row>
    <row r="43" spans="5:10" ht="230" customHeight="1">
      <c r="E43" s="468" t="s">
        <v>463</v>
      </c>
      <c r="F43" s="469" t="s">
        <v>463</v>
      </c>
      <c r="G43" s="470" t="s">
        <v>1047</v>
      </c>
      <c r="H43" s="468" t="s">
        <v>1048</v>
      </c>
      <c r="I43" s="468"/>
      <c r="J43" s="470">
        <v>2021</v>
      </c>
    </row>
    <row r="44" spans="5:10" ht="230" customHeight="1">
      <c r="E44" s="468" t="s">
        <v>463</v>
      </c>
      <c r="F44" s="469" t="s">
        <v>463</v>
      </c>
      <c r="G44" s="470" t="s">
        <v>1049</v>
      </c>
      <c r="H44" s="468" t="s">
        <v>477</v>
      </c>
      <c r="I44" s="468"/>
      <c r="J44" s="470">
        <v>2021</v>
      </c>
    </row>
    <row r="45" spans="5:10" ht="230" customHeight="1">
      <c r="E45" s="468" t="s">
        <v>463</v>
      </c>
      <c r="F45" s="469" t="s">
        <v>463</v>
      </c>
      <c r="G45" s="470" t="s">
        <v>1050</v>
      </c>
      <c r="H45" s="468" t="s">
        <v>475</v>
      </c>
      <c r="I45" s="468"/>
      <c r="J45" s="470">
        <v>2021</v>
      </c>
    </row>
    <row r="46" spans="5:10" ht="230" customHeight="1">
      <c r="E46" s="468" t="s">
        <v>463</v>
      </c>
      <c r="F46" s="469" t="s">
        <v>463</v>
      </c>
      <c r="G46" s="470" t="s">
        <v>1053</v>
      </c>
      <c r="H46" s="468" t="s">
        <v>2491</v>
      </c>
      <c r="I46" s="468"/>
      <c r="J46" s="470">
        <v>2021</v>
      </c>
    </row>
    <row r="47" spans="5:10" ht="230" customHeight="1">
      <c r="E47" s="468" t="s">
        <v>454</v>
      </c>
      <c r="F47" s="469" t="s">
        <v>454</v>
      </c>
      <c r="G47" s="470" t="s">
        <v>1054</v>
      </c>
      <c r="H47" s="473" t="s">
        <v>2492</v>
      </c>
      <c r="I47" s="474"/>
      <c r="J47" s="470">
        <v>2020</v>
      </c>
    </row>
    <row r="48" spans="5:10" ht="230" customHeight="1">
      <c r="E48" s="468" t="s">
        <v>427</v>
      </c>
      <c r="F48" s="469" t="s">
        <v>427</v>
      </c>
      <c r="G48" s="470" t="s">
        <v>1055</v>
      </c>
      <c r="H48" s="468" t="s">
        <v>2192</v>
      </c>
      <c r="I48" s="468" t="s">
        <v>2193</v>
      </c>
      <c r="J48" s="470">
        <v>2020</v>
      </c>
    </row>
    <row r="49" spans="5:10" ht="230" customHeight="1">
      <c r="E49" s="468" t="s">
        <v>410</v>
      </c>
      <c r="F49" s="469" t="s">
        <v>410</v>
      </c>
      <c r="G49" s="470" t="s">
        <v>1056</v>
      </c>
      <c r="H49" s="468" t="s">
        <v>2212</v>
      </c>
      <c r="I49" s="468" t="s">
        <v>2213</v>
      </c>
      <c r="J49" s="470">
        <v>2020</v>
      </c>
    </row>
    <row r="50" spans="5:10" ht="230" customHeight="1">
      <c r="E50" s="468" t="s">
        <v>410</v>
      </c>
      <c r="F50" s="469" t="s">
        <v>410</v>
      </c>
      <c r="G50" s="470" t="s">
        <v>1057</v>
      </c>
      <c r="H50" s="468" t="s">
        <v>2214</v>
      </c>
      <c r="I50" s="468" t="s">
        <v>2215</v>
      </c>
      <c r="J50" s="470">
        <v>2020</v>
      </c>
    </row>
    <row r="51" spans="5:10" ht="230" customHeight="1">
      <c r="E51" s="468" t="s">
        <v>405</v>
      </c>
      <c r="F51" s="469" t="s">
        <v>405</v>
      </c>
      <c r="G51" s="470" t="s">
        <v>1017</v>
      </c>
      <c r="H51" s="468" t="s">
        <v>2198</v>
      </c>
      <c r="I51" s="468" t="s">
        <v>2199</v>
      </c>
      <c r="J51" s="470">
        <v>2022</v>
      </c>
    </row>
    <row r="52" spans="5:10" ht="230" customHeight="1">
      <c r="E52" s="468" t="s">
        <v>405</v>
      </c>
      <c r="F52" s="469" t="s">
        <v>405</v>
      </c>
      <c r="G52" s="470" t="s">
        <v>1058</v>
      </c>
      <c r="H52" s="468" t="s">
        <v>2219</v>
      </c>
      <c r="I52" s="468" t="s">
        <v>2220</v>
      </c>
      <c r="J52" s="470">
        <v>2022</v>
      </c>
    </row>
    <row r="53" spans="5:10" ht="230" customHeight="1">
      <c r="E53" s="468" t="s">
        <v>452</v>
      </c>
      <c r="F53" s="469" t="s">
        <v>452</v>
      </c>
      <c r="G53" s="470" t="s">
        <v>2165</v>
      </c>
      <c r="H53" s="468" t="s">
        <v>2163</v>
      </c>
      <c r="I53" s="468" t="s">
        <v>2164</v>
      </c>
      <c r="J53" s="470">
        <v>2022</v>
      </c>
    </row>
    <row r="54" spans="5:10" ht="230" customHeight="1">
      <c r="E54" s="468" t="s">
        <v>150</v>
      </c>
      <c r="F54" s="469" t="s">
        <v>150</v>
      </c>
      <c r="G54" s="470" t="s">
        <v>1018</v>
      </c>
      <c r="H54" s="468" t="s">
        <v>2206</v>
      </c>
      <c r="I54" s="468" t="s">
        <v>2207</v>
      </c>
      <c r="J54" s="470">
        <v>2022</v>
      </c>
    </row>
    <row r="55" spans="5:10" ht="230" customHeight="1">
      <c r="E55" s="468" t="s">
        <v>150</v>
      </c>
      <c r="F55" s="469" t="s">
        <v>150</v>
      </c>
      <c r="G55" s="470" t="s">
        <v>1019</v>
      </c>
      <c r="H55" s="468" t="s">
        <v>2208</v>
      </c>
      <c r="I55" s="468" t="s">
        <v>2209</v>
      </c>
      <c r="J55" s="470">
        <v>2022</v>
      </c>
    </row>
    <row r="56" spans="5:10" ht="230" customHeight="1">
      <c r="E56" s="468" t="s">
        <v>150</v>
      </c>
      <c r="F56" s="469" t="s">
        <v>150</v>
      </c>
      <c r="G56" s="470" t="s">
        <v>1020</v>
      </c>
      <c r="H56" s="469" t="s">
        <v>2210</v>
      </c>
      <c r="I56" s="468" t="s">
        <v>2211</v>
      </c>
      <c r="J56" s="470">
        <v>2022</v>
      </c>
    </row>
    <row r="57" spans="5:10" ht="230" customHeight="1">
      <c r="E57" s="468" t="s">
        <v>150</v>
      </c>
      <c r="F57" s="469" t="s">
        <v>150</v>
      </c>
      <c r="G57" s="470" t="s">
        <v>1021</v>
      </c>
      <c r="H57" s="468" t="s">
        <v>545</v>
      </c>
      <c r="I57" s="468"/>
      <c r="J57" s="470">
        <v>2022</v>
      </c>
    </row>
    <row r="58" spans="5:10" ht="230" customHeight="1">
      <c r="E58" s="468" t="s">
        <v>396</v>
      </c>
      <c r="F58" s="469" t="s">
        <v>396</v>
      </c>
      <c r="G58" s="470" t="s">
        <v>1022</v>
      </c>
      <c r="H58" s="468" t="s">
        <v>2145</v>
      </c>
      <c r="I58" s="468" t="s">
        <v>2146</v>
      </c>
      <c r="J58" s="470">
        <v>2023</v>
      </c>
    </row>
    <row r="59" spans="5:10" ht="230" customHeight="1">
      <c r="E59" s="468" t="s">
        <v>774</v>
      </c>
      <c r="F59" s="469" t="s">
        <v>774</v>
      </c>
      <c r="G59" s="470" t="s">
        <v>1059</v>
      </c>
      <c r="H59" s="468" t="s">
        <v>2290</v>
      </c>
      <c r="I59" s="468" t="s">
        <v>2289</v>
      </c>
      <c r="J59" s="470">
        <v>2020</v>
      </c>
    </row>
    <row r="60" spans="5:10" ht="230" customHeight="1">
      <c r="E60" s="468" t="s">
        <v>745</v>
      </c>
      <c r="F60" s="469" t="s">
        <v>745</v>
      </c>
      <c r="G60" s="475" t="s">
        <v>1068</v>
      </c>
      <c r="H60" s="468" t="s">
        <v>750</v>
      </c>
      <c r="I60" s="468"/>
      <c r="J60" s="472">
        <v>2023</v>
      </c>
    </row>
    <row r="61" spans="5:10" ht="230" customHeight="1">
      <c r="E61" s="468" t="s">
        <v>745</v>
      </c>
      <c r="F61" s="469" t="s">
        <v>745</v>
      </c>
      <c r="G61" s="472" t="s">
        <v>1069</v>
      </c>
      <c r="H61" s="468" t="s">
        <v>2246</v>
      </c>
      <c r="I61" s="468" t="s">
        <v>2247</v>
      </c>
      <c r="J61" s="472">
        <v>2023</v>
      </c>
    </row>
    <row r="62" spans="5:10" ht="230" customHeight="1">
      <c r="E62" s="468" t="s">
        <v>742</v>
      </c>
      <c r="F62" s="469" t="s">
        <v>742</v>
      </c>
      <c r="G62" s="470" t="s">
        <v>1070</v>
      </c>
      <c r="H62" s="469" t="s">
        <v>2248</v>
      </c>
      <c r="I62" s="469" t="s">
        <v>2249</v>
      </c>
      <c r="J62" s="470">
        <v>2023</v>
      </c>
    </row>
    <row r="63" spans="5:10" ht="230" customHeight="1">
      <c r="E63" s="468" t="s">
        <v>741</v>
      </c>
      <c r="F63" s="469" t="s">
        <v>741</v>
      </c>
      <c r="G63" s="470" t="s">
        <v>1071</v>
      </c>
      <c r="H63" s="468" t="s">
        <v>2244</v>
      </c>
      <c r="I63" s="468" t="s">
        <v>2245</v>
      </c>
      <c r="J63" s="470">
        <v>2023</v>
      </c>
    </row>
    <row r="64" spans="5:10" ht="230" customHeight="1">
      <c r="E64" s="469"/>
      <c r="F64" s="469"/>
      <c r="G64" s="470" t="s">
        <v>1072</v>
      </c>
      <c r="H64" s="469"/>
      <c r="I64" s="469"/>
      <c r="J64" s="470"/>
    </row>
    <row r="65" spans="5:10" ht="230" customHeight="1">
      <c r="E65" s="468" t="s">
        <v>707</v>
      </c>
      <c r="F65" s="469" t="s">
        <v>707</v>
      </c>
      <c r="G65" s="476" t="s">
        <v>1073</v>
      </c>
      <c r="H65" s="469" t="s">
        <v>2275</v>
      </c>
      <c r="I65" s="469" t="s">
        <v>2223</v>
      </c>
      <c r="J65" s="472">
        <v>2023</v>
      </c>
    </row>
    <row r="66" spans="5:10" ht="230" customHeight="1">
      <c r="E66" s="468" t="s">
        <v>707</v>
      </c>
      <c r="F66" s="469" t="s">
        <v>707</v>
      </c>
      <c r="G66" s="470" t="s">
        <v>1074</v>
      </c>
      <c r="H66" s="468" t="s">
        <v>2224</v>
      </c>
      <c r="I66" s="468" t="s">
        <v>2225</v>
      </c>
      <c r="J66" s="470">
        <v>2023</v>
      </c>
    </row>
    <row r="67" spans="5:10" ht="230" customHeight="1">
      <c r="E67" s="468" t="s">
        <v>707</v>
      </c>
      <c r="F67" s="469" t="s">
        <v>707</v>
      </c>
      <c r="G67" s="472" t="s">
        <v>1075</v>
      </c>
      <c r="H67" s="468" t="s">
        <v>2226</v>
      </c>
      <c r="I67" s="468" t="s">
        <v>2227</v>
      </c>
      <c r="J67" s="472">
        <v>2023</v>
      </c>
    </row>
    <row r="68" spans="5:10" ht="230" customHeight="1">
      <c r="E68" s="468" t="s">
        <v>707</v>
      </c>
      <c r="F68" s="469" t="s">
        <v>707</v>
      </c>
      <c r="G68" s="472" t="s">
        <v>1076</v>
      </c>
      <c r="H68" s="468" t="s">
        <v>2228</v>
      </c>
      <c r="I68" s="468" t="s">
        <v>2229</v>
      </c>
      <c r="J68" s="472">
        <v>2023</v>
      </c>
    </row>
    <row r="69" spans="5:10" ht="230" customHeight="1">
      <c r="E69" s="468" t="s">
        <v>707</v>
      </c>
      <c r="F69" s="469" t="s">
        <v>707</v>
      </c>
      <c r="G69" s="472" t="s">
        <v>1077</v>
      </c>
      <c r="H69" s="468" t="s">
        <v>2230</v>
      </c>
      <c r="I69" s="468" t="s">
        <v>2231</v>
      </c>
      <c r="J69" s="472">
        <v>2023</v>
      </c>
    </row>
    <row r="70" spans="5:10" ht="230" customHeight="1">
      <c r="E70" s="468" t="s">
        <v>774</v>
      </c>
      <c r="F70" s="469" t="s">
        <v>774</v>
      </c>
      <c r="G70" s="470" t="s">
        <v>1060</v>
      </c>
      <c r="H70" s="468" t="s">
        <v>781</v>
      </c>
      <c r="I70" s="468"/>
      <c r="J70" s="470">
        <v>2020</v>
      </c>
    </row>
    <row r="71" spans="5:10" ht="230" customHeight="1">
      <c r="E71" s="468" t="s">
        <v>707</v>
      </c>
      <c r="F71" s="469" t="s">
        <v>707</v>
      </c>
      <c r="G71" s="472" t="s">
        <v>1078</v>
      </c>
      <c r="H71" s="468" t="s">
        <v>2232</v>
      </c>
      <c r="I71" s="477" t="s">
        <v>2233</v>
      </c>
      <c r="J71" s="472">
        <v>2023</v>
      </c>
    </row>
    <row r="72" spans="5:10" ht="230" customHeight="1">
      <c r="E72" s="468" t="s">
        <v>707</v>
      </c>
      <c r="F72" s="469" t="s">
        <v>707</v>
      </c>
      <c r="G72" s="472" t="s">
        <v>1079</v>
      </c>
      <c r="H72" s="468" t="s">
        <v>2234</v>
      </c>
      <c r="I72" s="477" t="s">
        <v>2235</v>
      </c>
      <c r="J72" s="472">
        <v>2023</v>
      </c>
    </row>
    <row r="73" spans="5:10" ht="230" customHeight="1">
      <c r="E73" s="468" t="s">
        <v>707</v>
      </c>
      <c r="F73" s="469" t="s">
        <v>707</v>
      </c>
      <c r="G73" s="470" t="s">
        <v>1080</v>
      </c>
      <c r="H73" s="468" t="s">
        <v>2236</v>
      </c>
      <c r="I73" s="468" t="s">
        <v>2237</v>
      </c>
      <c r="J73" s="470">
        <v>2023</v>
      </c>
    </row>
    <row r="74" spans="5:10" ht="230" customHeight="1">
      <c r="E74" s="468" t="s">
        <v>707</v>
      </c>
      <c r="F74" s="469" t="s">
        <v>707</v>
      </c>
      <c r="G74" s="470" t="s">
        <v>1081</v>
      </c>
      <c r="H74" s="468" t="s">
        <v>2238</v>
      </c>
      <c r="I74" s="468" t="s">
        <v>2239</v>
      </c>
      <c r="J74" s="470">
        <v>2023</v>
      </c>
    </row>
    <row r="75" spans="5:10" ht="230" customHeight="1">
      <c r="E75" s="468" t="s">
        <v>608</v>
      </c>
      <c r="F75" s="469" t="s">
        <v>608</v>
      </c>
      <c r="G75" s="470" t="s">
        <v>1082</v>
      </c>
      <c r="H75" s="468" t="s">
        <v>2272</v>
      </c>
      <c r="I75" s="468" t="s">
        <v>2274</v>
      </c>
      <c r="J75" s="470">
        <v>2023</v>
      </c>
    </row>
    <row r="76" spans="5:10" ht="230" customHeight="1">
      <c r="E76" s="468" t="s">
        <v>608</v>
      </c>
      <c r="F76" s="469" t="s">
        <v>608</v>
      </c>
      <c r="G76" s="478" t="s">
        <v>1083</v>
      </c>
      <c r="H76" s="468" t="s">
        <v>2273</v>
      </c>
      <c r="I76" s="468" t="s">
        <v>2274</v>
      </c>
      <c r="J76" s="472">
        <v>2023</v>
      </c>
    </row>
    <row r="77" spans="5:10" ht="230" customHeight="1">
      <c r="E77" s="468" t="s">
        <v>693</v>
      </c>
      <c r="F77" s="469" t="s">
        <v>693</v>
      </c>
      <c r="G77" s="472" t="s">
        <v>1084</v>
      </c>
      <c r="H77" s="468"/>
      <c r="I77" s="468"/>
      <c r="J77" s="472">
        <v>2023</v>
      </c>
    </row>
    <row r="78" spans="5:10" ht="230" customHeight="1">
      <c r="E78" s="468" t="s">
        <v>646</v>
      </c>
      <c r="F78" s="469" t="s">
        <v>646</v>
      </c>
      <c r="G78" s="470" t="s">
        <v>1085</v>
      </c>
      <c r="H78" s="468" t="s">
        <v>2250</v>
      </c>
      <c r="I78" s="468" t="s">
        <v>2251</v>
      </c>
      <c r="J78" s="470">
        <v>2022</v>
      </c>
    </row>
    <row r="79" spans="5:10" ht="230" customHeight="1">
      <c r="E79" s="468" t="s">
        <v>646</v>
      </c>
      <c r="F79" s="469" t="s">
        <v>646</v>
      </c>
      <c r="G79" s="470" t="s">
        <v>1086</v>
      </c>
      <c r="H79" s="468" t="s">
        <v>2270</v>
      </c>
      <c r="I79" s="468" t="s">
        <v>2271</v>
      </c>
      <c r="J79" s="470">
        <v>2022</v>
      </c>
    </row>
    <row r="80" spans="5:10" ht="230" customHeight="1">
      <c r="E80" s="468" t="s">
        <v>646</v>
      </c>
      <c r="F80" s="469" t="s">
        <v>646</v>
      </c>
      <c r="G80" s="470" t="s">
        <v>1087</v>
      </c>
      <c r="H80" s="468" t="s">
        <v>2252</v>
      </c>
      <c r="I80" s="468" t="s">
        <v>2253</v>
      </c>
      <c r="J80" s="470">
        <v>2022</v>
      </c>
    </row>
    <row r="81" spans="5:10" ht="230" customHeight="1">
      <c r="E81" s="468" t="s">
        <v>774</v>
      </c>
      <c r="F81" s="469" t="s">
        <v>774</v>
      </c>
      <c r="G81" s="472" t="s">
        <v>1061</v>
      </c>
      <c r="H81" s="468" t="s">
        <v>2291</v>
      </c>
      <c r="I81" s="468" t="s">
        <v>2292</v>
      </c>
      <c r="J81" s="472">
        <v>2020</v>
      </c>
    </row>
    <row r="82" spans="5:10" ht="230" customHeight="1">
      <c r="E82" s="468" t="s">
        <v>646</v>
      </c>
      <c r="F82" s="469" t="s">
        <v>646</v>
      </c>
      <c r="G82" s="470" t="s">
        <v>1088</v>
      </c>
      <c r="H82" s="468" t="s">
        <v>2254</v>
      </c>
      <c r="I82" s="468" t="s">
        <v>2255</v>
      </c>
      <c r="J82" s="470">
        <v>2022</v>
      </c>
    </row>
    <row r="83" spans="5:10" ht="230" customHeight="1">
      <c r="E83" s="468" t="s">
        <v>646</v>
      </c>
      <c r="F83" s="469" t="s">
        <v>646</v>
      </c>
      <c r="G83" s="478" t="s">
        <v>1089</v>
      </c>
      <c r="H83" s="468" t="s">
        <v>2256</v>
      </c>
      <c r="I83" s="468" t="s">
        <v>2257</v>
      </c>
      <c r="J83" s="470">
        <v>2022</v>
      </c>
    </row>
    <row r="84" spans="5:10" ht="230" customHeight="1">
      <c r="E84" s="468" t="s">
        <v>646</v>
      </c>
      <c r="F84" s="469" t="s">
        <v>646</v>
      </c>
      <c r="G84" s="470" t="s">
        <v>1090</v>
      </c>
      <c r="H84" s="468" t="s">
        <v>2258</v>
      </c>
      <c r="I84" s="468" t="s">
        <v>2259</v>
      </c>
      <c r="J84" s="470">
        <v>2022</v>
      </c>
    </row>
    <row r="85" spans="5:10" ht="230" customHeight="1">
      <c r="E85" s="468" t="s">
        <v>646</v>
      </c>
      <c r="F85" s="469" t="s">
        <v>646</v>
      </c>
      <c r="G85" s="470" t="s">
        <v>1091</v>
      </c>
      <c r="H85" s="468" t="s">
        <v>2260</v>
      </c>
      <c r="I85" s="468" t="s">
        <v>2261</v>
      </c>
      <c r="J85" s="470">
        <v>2022</v>
      </c>
    </row>
    <row r="86" spans="5:10" ht="230" customHeight="1">
      <c r="E86" s="468" t="s">
        <v>646</v>
      </c>
      <c r="F86" s="469" t="s">
        <v>646</v>
      </c>
      <c r="G86" s="470" t="s">
        <v>1092</v>
      </c>
      <c r="H86" s="468" t="s">
        <v>2262</v>
      </c>
      <c r="I86" s="468" t="s">
        <v>2263</v>
      </c>
      <c r="J86" s="470">
        <v>2022</v>
      </c>
    </row>
    <row r="87" spans="5:10" ht="230" customHeight="1">
      <c r="E87" s="468" t="s">
        <v>646</v>
      </c>
      <c r="F87" s="469" t="s">
        <v>646</v>
      </c>
      <c r="G87" s="478" t="s">
        <v>1093</v>
      </c>
      <c r="H87" s="468" t="s">
        <v>2264</v>
      </c>
      <c r="I87" s="468" t="s">
        <v>2265</v>
      </c>
      <c r="J87" s="470">
        <v>2022</v>
      </c>
    </row>
    <row r="88" spans="5:10" ht="230" customHeight="1">
      <c r="E88" s="468" t="s">
        <v>646</v>
      </c>
      <c r="F88" s="469" t="s">
        <v>646</v>
      </c>
      <c r="G88" s="470" t="s">
        <v>1094</v>
      </c>
      <c r="H88" s="468" t="s">
        <v>2266</v>
      </c>
      <c r="I88" s="468" t="s">
        <v>2267</v>
      </c>
      <c r="J88" s="470">
        <v>2022</v>
      </c>
    </row>
    <row r="89" spans="5:10" ht="230" customHeight="1">
      <c r="E89" s="468" t="s">
        <v>646</v>
      </c>
      <c r="F89" s="469" t="s">
        <v>646</v>
      </c>
      <c r="G89" s="470" t="s">
        <v>1095</v>
      </c>
      <c r="H89" s="468" t="s">
        <v>2268</v>
      </c>
      <c r="I89" s="468" t="s">
        <v>2269</v>
      </c>
      <c r="J89" s="470">
        <v>2022</v>
      </c>
    </row>
    <row r="90" spans="5:10" ht="230" customHeight="1">
      <c r="E90" s="468"/>
      <c r="F90" s="469"/>
      <c r="G90" s="470" t="s">
        <v>1096</v>
      </c>
      <c r="H90" s="468" t="s">
        <v>2276</v>
      </c>
      <c r="I90" s="468" t="s">
        <v>2277</v>
      </c>
      <c r="J90" s="470">
        <v>2022</v>
      </c>
    </row>
    <row r="91" spans="5:10" ht="230" customHeight="1">
      <c r="E91" s="468" t="s">
        <v>634</v>
      </c>
      <c r="F91" s="469" t="s">
        <v>634</v>
      </c>
      <c r="G91" s="470" t="s">
        <v>1097</v>
      </c>
      <c r="H91" s="468" t="s">
        <v>641</v>
      </c>
      <c r="I91" s="468"/>
      <c r="J91" s="470">
        <v>2019</v>
      </c>
    </row>
    <row r="92" spans="5:10" ht="230" customHeight="1">
      <c r="E92" s="468" t="s">
        <v>769</v>
      </c>
      <c r="F92" s="469" t="s">
        <v>769</v>
      </c>
      <c r="G92" s="472" t="s">
        <v>1062</v>
      </c>
      <c r="H92" s="468" t="s">
        <v>772</v>
      </c>
      <c r="I92" s="468"/>
      <c r="J92" s="472">
        <v>2022</v>
      </c>
    </row>
    <row r="93" spans="5:10" ht="230" customHeight="1">
      <c r="E93" s="468" t="s">
        <v>634</v>
      </c>
      <c r="F93" s="469" t="s">
        <v>634</v>
      </c>
      <c r="G93" s="470" t="s">
        <v>1098</v>
      </c>
      <c r="H93" s="468" t="s">
        <v>635</v>
      </c>
      <c r="I93" s="468"/>
      <c r="J93" s="470">
        <v>2019</v>
      </c>
    </row>
    <row r="94" spans="5:10" ht="230" customHeight="1">
      <c r="E94" s="468" t="s">
        <v>625</v>
      </c>
      <c r="F94" s="469" t="s">
        <v>625</v>
      </c>
      <c r="G94" s="470" t="s">
        <v>1099</v>
      </c>
      <c r="H94" s="479" t="s">
        <v>632</v>
      </c>
      <c r="I94" s="479"/>
      <c r="J94" s="470">
        <v>2012</v>
      </c>
    </row>
    <row r="95" spans="5:10" ht="230" customHeight="1">
      <c r="E95" s="468" t="s">
        <v>625</v>
      </c>
      <c r="F95" s="469" t="s">
        <v>625</v>
      </c>
      <c r="G95" s="470" t="s">
        <v>1100</v>
      </c>
      <c r="H95" s="479" t="s">
        <v>631</v>
      </c>
      <c r="I95" s="479"/>
      <c r="J95" s="470">
        <v>2012</v>
      </c>
    </row>
    <row r="96" spans="5:10" ht="230" customHeight="1">
      <c r="E96" s="468" t="s">
        <v>625</v>
      </c>
      <c r="F96" s="469" t="s">
        <v>625</v>
      </c>
      <c r="G96" s="470" t="s">
        <v>1101</v>
      </c>
      <c r="H96" s="479" t="s">
        <v>630</v>
      </c>
      <c r="I96" s="479"/>
      <c r="J96" s="470">
        <v>2012</v>
      </c>
    </row>
    <row r="97" spans="5:10" ht="230" customHeight="1">
      <c r="E97" s="468" t="s">
        <v>625</v>
      </c>
      <c r="F97" s="469" t="s">
        <v>625</v>
      </c>
      <c r="G97" s="470" t="s">
        <v>1102</v>
      </c>
      <c r="H97" s="479" t="s">
        <v>626</v>
      </c>
      <c r="I97" s="479"/>
      <c r="J97" s="470">
        <v>2012</v>
      </c>
    </row>
    <row r="98" spans="5:10" ht="230" customHeight="1">
      <c r="E98" s="468" t="s">
        <v>608</v>
      </c>
      <c r="F98" s="469" t="s">
        <v>608</v>
      </c>
      <c r="G98" s="470" t="s">
        <v>1103</v>
      </c>
      <c r="H98" s="468" t="s">
        <v>619</v>
      </c>
      <c r="I98" s="468"/>
      <c r="J98" s="470">
        <v>2018</v>
      </c>
    </row>
    <row r="99" spans="5:10" ht="230" customHeight="1">
      <c r="E99" s="468" t="s">
        <v>608</v>
      </c>
      <c r="F99" s="469" t="s">
        <v>608</v>
      </c>
      <c r="G99" s="470" t="s">
        <v>1104</v>
      </c>
      <c r="H99" s="479" t="s">
        <v>615</v>
      </c>
      <c r="I99" s="479"/>
      <c r="J99" s="470">
        <v>2018</v>
      </c>
    </row>
    <row r="100" spans="5:10" ht="230" customHeight="1">
      <c r="E100" s="468" t="s">
        <v>608</v>
      </c>
      <c r="F100" s="469" t="s">
        <v>608</v>
      </c>
      <c r="G100" s="478" t="s">
        <v>1105</v>
      </c>
      <c r="H100" s="468" t="s">
        <v>609</v>
      </c>
      <c r="I100" s="468"/>
      <c r="J100" s="470">
        <v>2018</v>
      </c>
    </row>
    <row r="101" spans="5:10" ht="230" customHeight="1">
      <c r="E101" s="468"/>
      <c r="F101" s="469"/>
      <c r="G101" s="470" t="s">
        <v>1106</v>
      </c>
      <c r="H101" s="468" t="s">
        <v>2278</v>
      </c>
      <c r="I101" s="468" t="s">
        <v>2281</v>
      </c>
      <c r="J101" s="470">
        <v>2018</v>
      </c>
    </row>
    <row r="102" spans="5:10" ht="230" customHeight="1">
      <c r="E102" s="468"/>
      <c r="F102" s="469"/>
      <c r="G102" s="478" t="s">
        <v>2279</v>
      </c>
      <c r="H102" s="468" t="s">
        <v>2282</v>
      </c>
      <c r="I102" s="468" t="s">
        <v>2283</v>
      </c>
      <c r="J102" s="472"/>
    </row>
    <row r="103" spans="5:10" ht="230" customHeight="1">
      <c r="E103" s="468" t="s">
        <v>769</v>
      </c>
      <c r="F103" s="469" t="s">
        <v>769</v>
      </c>
      <c r="G103" s="472" t="s">
        <v>1063</v>
      </c>
      <c r="H103" s="468" t="s">
        <v>770</v>
      </c>
      <c r="I103" s="468"/>
      <c r="J103" s="472">
        <v>2022</v>
      </c>
    </row>
    <row r="104" spans="5:10" ht="230" customHeight="1">
      <c r="E104" s="468"/>
      <c r="F104" s="469"/>
      <c r="G104" s="470" t="s">
        <v>2280</v>
      </c>
      <c r="H104" s="468" t="s">
        <v>2285</v>
      </c>
      <c r="I104" s="468" t="s">
        <v>2286</v>
      </c>
      <c r="J104" s="472"/>
    </row>
    <row r="105" spans="5:10" ht="230" customHeight="1">
      <c r="E105" s="468"/>
      <c r="F105" s="469"/>
      <c r="G105" s="470" t="s">
        <v>2284</v>
      </c>
      <c r="H105" s="468" t="s">
        <v>2287</v>
      </c>
      <c r="I105" s="468" t="s">
        <v>2288</v>
      </c>
      <c r="J105" s="472"/>
    </row>
    <row r="106" spans="5:10" ht="230" customHeight="1">
      <c r="E106" s="468"/>
      <c r="F106" s="469"/>
      <c r="G106" s="470" t="s">
        <v>2293</v>
      </c>
      <c r="H106" s="468" t="s">
        <v>2294</v>
      </c>
      <c r="I106" s="468" t="s">
        <v>2295</v>
      </c>
      <c r="J106" s="472"/>
    </row>
    <row r="107" spans="5:10" ht="230" customHeight="1">
      <c r="E107" s="468" t="s">
        <v>767</v>
      </c>
      <c r="F107" s="469" t="s">
        <v>767</v>
      </c>
      <c r="G107" s="470" t="s">
        <v>1064</v>
      </c>
      <c r="H107" s="468"/>
      <c r="I107" s="468"/>
      <c r="J107" s="470">
        <v>2021</v>
      </c>
    </row>
    <row r="108" spans="5:10" ht="230" customHeight="1">
      <c r="E108" s="468" t="s">
        <v>766</v>
      </c>
      <c r="F108" s="469" t="s">
        <v>766</v>
      </c>
      <c r="G108" s="470" t="s">
        <v>1065</v>
      </c>
      <c r="H108" s="468"/>
      <c r="I108" s="468"/>
      <c r="J108" s="470">
        <v>2020</v>
      </c>
    </row>
    <row r="109" spans="5:10" ht="230" customHeight="1">
      <c r="E109" s="468" t="s">
        <v>745</v>
      </c>
      <c r="F109" s="469" t="s">
        <v>745</v>
      </c>
      <c r="G109" s="470" t="s">
        <v>1066</v>
      </c>
      <c r="H109" s="468" t="s">
        <v>2240</v>
      </c>
      <c r="I109" s="468" t="s">
        <v>2241</v>
      </c>
      <c r="J109" s="470">
        <v>2023</v>
      </c>
    </row>
    <row r="110" spans="5:10" ht="230" customHeight="1">
      <c r="E110" s="468" t="s">
        <v>745</v>
      </c>
      <c r="F110" s="469" t="s">
        <v>745</v>
      </c>
      <c r="G110" s="472" t="s">
        <v>1067</v>
      </c>
      <c r="H110" s="468" t="s">
        <v>2242</v>
      </c>
      <c r="I110" s="468" t="s">
        <v>2243</v>
      </c>
      <c r="J110" s="472">
        <v>2023</v>
      </c>
    </row>
    <row r="111" spans="5:10" ht="230" customHeight="1">
      <c r="E111" s="468" t="s">
        <v>396</v>
      </c>
      <c r="F111" s="469" t="s">
        <v>396</v>
      </c>
      <c r="G111" s="470" t="s">
        <v>1024</v>
      </c>
      <c r="H111" s="468" t="s">
        <v>2305</v>
      </c>
      <c r="I111" s="468" t="s">
        <v>2306</v>
      </c>
      <c r="J111" s="472">
        <v>2022</v>
      </c>
    </row>
    <row r="112" spans="5:10" ht="230" customHeight="1">
      <c r="E112" s="468" t="s">
        <v>591</v>
      </c>
      <c r="F112" s="469" t="s">
        <v>591</v>
      </c>
      <c r="G112" s="478" t="s">
        <v>1132</v>
      </c>
      <c r="H112" s="468" t="s">
        <v>2336</v>
      </c>
      <c r="I112" s="468" t="s">
        <v>2337</v>
      </c>
      <c r="J112" s="470">
        <v>2023</v>
      </c>
    </row>
    <row r="113" spans="5:10" ht="230" customHeight="1">
      <c r="E113" s="468" t="s">
        <v>1136</v>
      </c>
      <c r="F113" s="469" t="s">
        <v>1136</v>
      </c>
      <c r="G113" s="470" t="s">
        <v>1137</v>
      </c>
      <c r="H113" s="468" t="s">
        <v>2330</v>
      </c>
      <c r="I113" s="468" t="s">
        <v>2331</v>
      </c>
      <c r="J113" s="472">
        <v>2023</v>
      </c>
    </row>
    <row r="114" spans="5:10" ht="230" customHeight="1">
      <c r="E114" s="468" t="s">
        <v>1110</v>
      </c>
      <c r="F114" s="469" t="s">
        <v>1110</v>
      </c>
      <c r="G114" s="470" t="s">
        <v>1139</v>
      </c>
      <c r="H114" s="468" t="s">
        <v>1140</v>
      </c>
      <c r="I114" s="468"/>
      <c r="J114" s="470">
        <v>2023</v>
      </c>
    </row>
    <row r="115" spans="5:10" ht="230" customHeight="1">
      <c r="E115" s="468" t="s">
        <v>1142</v>
      </c>
      <c r="F115" s="469" t="s">
        <v>1142</v>
      </c>
      <c r="G115" s="470" t="s">
        <v>1143</v>
      </c>
      <c r="H115" s="468" t="s">
        <v>2328</v>
      </c>
      <c r="I115" s="468" t="s">
        <v>2329</v>
      </c>
      <c r="J115" s="470">
        <v>2023</v>
      </c>
    </row>
    <row r="116" spans="5:10" ht="230" customHeight="1">
      <c r="E116" s="468" t="s">
        <v>1145</v>
      </c>
      <c r="F116" s="469" t="s">
        <v>1145</v>
      </c>
      <c r="G116" s="470" t="s">
        <v>1146</v>
      </c>
      <c r="H116" s="468" t="s">
        <v>1147</v>
      </c>
      <c r="I116" s="468"/>
      <c r="J116" s="470">
        <v>2023</v>
      </c>
    </row>
    <row r="117" spans="5:10" ht="230" customHeight="1">
      <c r="E117" s="468" t="s">
        <v>1142</v>
      </c>
      <c r="F117" s="469" t="s">
        <v>1142</v>
      </c>
      <c r="G117" s="470" t="s">
        <v>1149</v>
      </c>
      <c r="H117" s="468" t="s">
        <v>2326</v>
      </c>
      <c r="I117" s="468" t="s">
        <v>2327</v>
      </c>
      <c r="J117" s="470">
        <v>2023</v>
      </c>
    </row>
    <row r="118" spans="5:10" ht="230" customHeight="1">
      <c r="E118" s="477" t="s">
        <v>1152</v>
      </c>
      <c r="F118" s="469" t="s">
        <v>1152</v>
      </c>
      <c r="G118" s="472" t="s">
        <v>1153</v>
      </c>
      <c r="H118" s="468" t="s">
        <v>1154</v>
      </c>
      <c r="I118" s="468"/>
      <c r="J118" s="472">
        <v>2019</v>
      </c>
    </row>
    <row r="119" spans="5:10" ht="230" customHeight="1">
      <c r="E119" s="477" t="s">
        <v>1152</v>
      </c>
      <c r="F119" s="469" t="s">
        <v>1152</v>
      </c>
      <c r="G119" s="472" t="s">
        <v>1155</v>
      </c>
      <c r="H119" s="468" t="s">
        <v>1156</v>
      </c>
      <c r="I119" s="468"/>
      <c r="J119" s="472">
        <v>2019</v>
      </c>
    </row>
    <row r="120" spans="5:10" ht="230" customHeight="1">
      <c r="E120" s="477"/>
      <c r="F120" s="469"/>
      <c r="G120" s="472" t="s">
        <v>1157</v>
      </c>
      <c r="H120" s="468" t="s">
        <v>2303</v>
      </c>
      <c r="I120" s="477" t="s">
        <v>2304</v>
      </c>
      <c r="J120" s="472">
        <v>2019</v>
      </c>
    </row>
    <row r="121" spans="5:10" ht="230" customHeight="1">
      <c r="E121" s="468"/>
      <c r="F121" s="469"/>
      <c r="G121" s="470" t="s">
        <v>1159</v>
      </c>
      <c r="H121" s="468" t="s">
        <v>2313</v>
      </c>
      <c r="I121" s="468" t="s">
        <v>1591</v>
      </c>
      <c r="J121" s="470">
        <v>2022</v>
      </c>
    </row>
    <row r="122" spans="5:10" ht="230" customHeight="1">
      <c r="E122" s="468" t="s">
        <v>1107</v>
      </c>
      <c r="F122" s="469" t="s">
        <v>1107</v>
      </c>
      <c r="G122" s="470" t="s">
        <v>1108</v>
      </c>
      <c r="H122" s="479"/>
      <c r="I122" s="479"/>
      <c r="J122" s="470">
        <v>2023</v>
      </c>
    </row>
    <row r="123" spans="5:10" ht="230" customHeight="1">
      <c r="E123" s="468" t="s">
        <v>1160</v>
      </c>
      <c r="F123" s="469" t="s">
        <v>1160</v>
      </c>
      <c r="G123" s="470" t="s">
        <v>1161</v>
      </c>
      <c r="H123" s="468" t="s">
        <v>2221</v>
      </c>
      <c r="I123" s="468" t="s">
        <v>2222</v>
      </c>
      <c r="J123" s="470">
        <v>2020</v>
      </c>
    </row>
    <row r="124" spans="5:10" ht="230" customHeight="1">
      <c r="E124" s="468" t="s">
        <v>1160</v>
      </c>
      <c r="F124" s="469" t="s">
        <v>1160</v>
      </c>
      <c r="G124" s="470" t="s">
        <v>1163</v>
      </c>
      <c r="H124" s="480" t="s">
        <v>1164</v>
      </c>
      <c r="I124" s="481"/>
      <c r="J124" s="470">
        <v>2020</v>
      </c>
    </row>
    <row r="125" spans="5:10" ht="230" customHeight="1">
      <c r="E125" s="468" t="s">
        <v>1166</v>
      </c>
      <c r="F125" s="469" t="s">
        <v>1166</v>
      </c>
      <c r="G125" s="470" t="s">
        <v>1168</v>
      </c>
      <c r="H125" s="468" t="s">
        <v>1169</v>
      </c>
      <c r="I125" s="468"/>
      <c r="J125" s="470">
        <v>2021</v>
      </c>
    </row>
    <row r="126" spans="5:10" ht="230" customHeight="1">
      <c r="E126" s="468" t="s">
        <v>1166</v>
      </c>
      <c r="F126" s="469" t="s">
        <v>1166</v>
      </c>
      <c r="G126" s="470" t="s">
        <v>1172</v>
      </c>
      <c r="H126" s="468" t="s">
        <v>1173</v>
      </c>
      <c r="I126" s="468"/>
      <c r="J126" s="470">
        <v>2021</v>
      </c>
    </row>
    <row r="127" spans="5:10" ht="230" customHeight="1">
      <c r="E127" s="468" t="s">
        <v>1175</v>
      </c>
      <c r="F127" s="469" t="s">
        <v>1175</v>
      </c>
      <c r="G127" s="470" t="s">
        <v>1176</v>
      </c>
      <c r="H127" s="468"/>
      <c r="I127" s="468"/>
      <c r="J127" s="470">
        <v>2021</v>
      </c>
    </row>
    <row r="128" spans="5:10" ht="230" customHeight="1">
      <c r="E128" s="468" t="s">
        <v>1177</v>
      </c>
      <c r="F128" s="469" t="s">
        <v>1177</v>
      </c>
      <c r="G128" s="470" t="s">
        <v>1178</v>
      </c>
      <c r="H128" s="468" t="s">
        <v>2314</v>
      </c>
      <c r="I128" s="468" t="s">
        <v>2315</v>
      </c>
      <c r="J128" s="470">
        <v>2023</v>
      </c>
    </row>
    <row r="129" spans="5:10" ht="230" customHeight="1">
      <c r="E129" s="468" t="s">
        <v>1177</v>
      </c>
      <c r="F129" s="469" t="s">
        <v>1177</v>
      </c>
      <c r="G129" s="470" t="s">
        <v>1180</v>
      </c>
      <c r="H129" s="468" t="s">
        <v>2316</v>
      </c>
      <c r="I129" s="468" t="s">
        <v>2317</v>
      </c>
      <c r="J129" s="470">
        <v>2023</v>
      </c>
    </row>
    <row r="130" spans="5:10" ht="230" customHeight="1">
      <c r="E130" s="468" t="s">
        <v>1177</v>
      </c>
      <c r="F130" s="469" t="s">
        <v>1177</v>
      </c>
      <c r="G130" s="470" t="s">
        <v>1181</v>
      </c>
      <c r="H130" s="468" t="s">
        <v>2318</v>
      </c>
      <c r="I130" s="468" t="s">
        <v>2319</v>
      </c>
      <c r="J130" s="470">
        <v>2023</v>
      </c>
    </row>
    <row r="131" spans="5:10" ht="230" customHeight="1">
      <c r="E131" s="468" t="s">
        <v>1177</v>
      </c>
      <c r="F131" s="469" t="s">
        <v>1177</v>
      </c>
      <c r="G131" s="470" t="s">
        <v>1182</v>
      </c>
      <c r="H131" s="468" t="s">
        <v>2320</v>
      </c>
      <c r="I131" s="468" t="s">
        <v>2321</v>
      </c>
      <c r="J131" s="470">
        <v>2023</v>
      </c>
    </row>
    <row r="132" spans="5:10" ht="230" customHeight="1">
      <c r="E132" s="468" t="s">
        <v>1177</v>
      </c>
      <c r="F132" s="469" t="s">
        <v>1177</v>
      </c>
      <c r="G132" s="470" t="s">
        <v>1184</v>
      </c>
      <c r="H132" s="468" t="s">
        <v>2322</v>
      </c>
      <c r="I132" s="468" t="s">
        <v>1591</v>
      </c>
      <c r="J132" s="470">
        <v>2023</v>
      </c>
    </row>
    <row r="133" spans="5:10" ht="230" customHeight="1">
      <c r="E133" s="468" t="s">
        <v>1110</v>
      </c>
      <c r="F133" s="469" t="s">
        <v>1110</v>
      </c>
      <c r="G133" s="472" t="s">
        <v>1111</v>
      </c>
      <c r="H133" s="468" t="s">
        <v>2299</v>
      </c>
      <c r="I133" s="468" t="s">
        <v>2300</v>
      </c>
      <c r="J133" s="472">
        <v>2023</v>
      </c>
    </row>
    <row r="134" spans="5:10" ht="230" customHeight="1">
      <c r="E134" s="468" t="s">
        <v>1177</v>
      </c>
      <c r="F134" s="469" t="s">
        <v>1177</v>
      </c>
      <c r="G134" s="470" t="s">
        <v>1186</v>
      </c>
      <c r="H134" s="468" t="s">
        <v>2296</v>
      </c>
      <c r="I134" s="468" t="s">
        <v>2298</v>
      </c>
      <c r="J134" s="470">
        <v>2023</v>
      </c>
    </row>
    <row r="135" spans="5:10" ht="230" customHeight="1">
      <c r="E135" s="468" t="s">
        <v>1177</v>
      </c>
      <c r="F135" s="469" t="s">
        <v>1177</v>
      </c>
      <c r="G135" s="470" t="s">
        <v>1188</v>
      </c>
      <c r="H135" s="468" t="s">
        <v>2297</v>
      </c>
      <c r="I135" s="468" t="s">
        <v>2298</v>
      </c>
      <c r="J135" s="470">
        <v>2023</v>
      </c>
    </row>
    <row r="136" spans="5:10" ht="230" customHeight="1">
      <c r="E136" s="468" t="s">
        <v>1177</v>
      </c>
      <c r="F136" s="469" t="s">
        <v>1177</v>
      </c>
      <c r="G136" s="470" t="s">
        <v>1190</v>
      </c>
      <c r="H136" s="468" t="s">
        <v>2323</v>
      </c>
      <c r="I136" s="468" t="s">
        <v>1591</v>
      </c>
      <c r="J136" s="470">
        <v>2023</v>
      </c>
    </row>
    <row r="137" spans="5:10" ht="230" customHeight="1">
      <c r="E137" s="468" t="s">
        <v>1177</v>
      </c>
      <c r="F137" s="469" t="s">
        <v>1177</v>
      </c>
      <c r="G137" s="470" t="s">
        <v>1192</v>
      </c>
      <c r="H137" s="468" t="s">
        <v>2325</v>
      </c>
      <c r="I137" s="468" t="s">
        <v>1591</v>
      </c>
      <c r="J137" s="470">
        <v>2023</v>
      </c>
    </row>
    <row r="138" spans="5:10" ht="230" customHeight="1">
      <c r="E138" s="468" t="s">
        <v>1177</v>
      </c>
      <c r="F138" s="469" t="s">
        <v>1177</v>
      </c>
      <c r="G138" s="470" t="s">
        <v>1194</v>
      </c>
      <c r="H138" s="468" t="s">
        <v>2324</v>
      </c>
      <c r="I138" s="468" t="s">
        <v>1591</v>
      </c>
      <c r="J138" s="470">
        <v>2023</v>
      </c>
    </row>
    <row r="139" spans="5:10" ht="230" customHeight="1">
      <c r="E139" s="468" t="s">
        <v>1196</v>
      </c>
      <c r="F139" s="469" t="s">
        <v>1196</v>
      </c>
      <c r="G139" s="470" t="s">
        <v>1197</v>
      </c>
      <c r="H139" s="468"/>
      <c r="I139" s="468"/>
      <c r="J139" s="470">
        <v>2021</v>
      </c>
    </row>
    <row r="140" spans="5:10" ht="230" customHeight="1">
      <c r="E140" s="468" t="s">
        <v>1127</v>
      </c>
      <c r="F140" s="469" t="s">
        <v>1127</v>
      </c>
      <c r="G140" s="470" t="s">
        <v>1198</v>
      </c>
      <c r="H140" s="468" t="s">
        <v>1199</v>
      </c>
      <c r="I140" s="468"/>
      <c r="J140" s="470">
        <v>2020</v>
      </c>
    </row>
    <row r="141" spans="5:10" ht="230" customHeight="1">
      <c r="E141" s="468" t="s">
        <v>1127</v>
      </c>
      <c r="F141" s="469" t="s">
        <v>1127</v>
      </c>
      <c r="G141" s="470" t="s">
        <v>1202</v>
      </c>
      <c r="H141" s="468" t="s">
        <v>1203</v>
      </c>
      <c r="I141" s="468"/>
      <c r="J141" s="470">
        <v>2020</v>
      </c>
    </row>
    <row r="142" spans="5:10" ht="230" customHeight="1">
      <c r="E142" s="468" t="s">
        <v>1127</v>
      </c>
      <c r="F142" s="469" t="s">
        <v>1127</v>
      </c>
      <c r="G142" s="470" t="s">
        <v>1202</v>
      </c>
      <c r="H142" s="468" t="s">
        <v>1241</v>
      </c>
      <c r="I142" s="468"/>
      <c r="J142" s="470">
        <v>2020</v>
      </c>
    </row>
    <row r="143" spans="5:10" ht="230" customHeight="1">
      <c r="E143" s="468" t="s">
        <v>1127</v>
      </c>
      <c r="F143" s="469" t="s">
        <v>1127</v>
      </c>
      <c r="G143" s="470" t="s">
        <v>1206</v>
      </c>
      <c r="H143" s="468" t="s">
        <v>1207</v>
      </c>
      <c r="I143" s="468"/>
      <c r="J143" s="470">
        <v>2020</v>
      </c>
    </row>
    <row r="144" spans="5:10" ht="230" customHeight="1">
      <c r="E144" s="468" t="s">
        <v>1127</v>
      </c>
      <c r="F144" s="469" t="s">
        <v>1127</v>
      </c>
      <c r="G144" s="470" t="s">
        <v>1210</v>
      </c>
      <c r="H144" s="468" t="s">
        <v>1211</v>
      </c>
      <c r="I144" s="468"/>
      <c r="J144" s="470">
        <v>2020</v>
      </c>
    </row>
    <row r="145" spans="5:10" ht="230" customHeight="1">
      <c r="E145" s="468" t="s">
        <v>1110</v>
      </c>
      <c r="F145" s="469" t="s">
        <v>1110</v>
      </c>
      <c r="G145" s="472" t="s">
        <v>1114</v>
      </c>
      <c r="H145" s="468" t="s">
        <v>1115</v>
      </c>
      <c r="I145" s="468"/>
      <c r="J145" s="472">
        <v>2023</v>
      </c>
    </row>
    <row r="146" spans="5:10" ht="230" customHeight="1">
      <c r="E146" s="468" t="s">
        <v>1127</v>
      </c>
      <c r="F146" s="469" t="s">
        <v>1127</v>
      </c>
      <c r="G146" s="470" t="s">
        <v>1213</v>
      </c>
      <c r="H146" s="468" t="s">
        <v>1214</v>
      </c>
      <c r="I146" s="468"/>
      <c r="J146" s="470">
        <v>2020</v>
      </c>
    </row>
    <row r="147" spans="5:10" ht="230" customHeight="1">
      <c r="E147" s="468" t="s">
        <v>1216</v>
      </c>
      <c r="F147" s="469" t="s">
        <v>1216</v>
      </c>
      <c r="G147" s="470" t="s">
        <v>1217</v>
      </c>
      <c r="H147" s="468"/>
      <c r="I147" s="468"/>
      <c r="J147" s="470">
        <v>2013</v>
      </c>
    </row>
    <row r="148" spans="5:10" ht="230" customHeight="1">
      <c r="E148" s="468" t="s">
        <v>1219</v>
      </c>
      <c r="F148" s="469" t="s">
        <v>1219</v>
      </c>
      <c r="G148" s="470" t="s">
        <v>1220</v>
      </c>
      <c r="H148" s="468"/>
      <c r="I148" s="468"/>
      <c r="J148" s="470">
        <v>2021</v>
      </c>
    </row>
    <row r="149" spans="5:10" ht="230" customHeight="1">
      <c r="E149" s="468" t="s">
        <v>1127</v>
      </c>
      <c r="F149" s="469" t="s">
        <v>1127</v>
      </c>
      <c r="G149" s="470" t="s">
        <v>1221</v>
      </c>
      <c r="H149" s="468" t="s">
        <v>1222</v>
      </c>
      <c r="I149" s="468"/>
      <c r="J149" s="470">
        <v>2020</v>
      </c>
    </row>
    <row r="150" spans="5:10" ht="230" customHeight="1">
      <c r="E150" s="468" t="s">
        <v>1127</v>
      </c>
      <c r="F150" s="469" t="s">
        <v>1127</v>
      </c>
      <c r="G150" s="470" t="s">
        <v>1223</v>
      </c>
      <c r="H150" s="468" t="s">
        <v>1224</v>
      </c>
      <c r="I150" s="468"/>
      <c r="J150" s="470">
        <v>2020</v>
      </c>
    </row>
    <row r="151" spans="5:10" ht="230" customHeight="1">
      <c r="E151" s="468" t="s">
        <v>1127</v>
      </c>
      <c r="F151" s="469" t="s">
        <v>1127</v>
      </c>
      <c r="G151" s="470" t="s">
        <v>1226</v>
      </c>
      <c r="H151" s="468" t="s">
        <v>1227</v>
      </c>
      <c r="I151" s="468"/>
      <c r="J151" s="470">
        <v>2020</v>
      </c>
    </row>
    <row r="152" spans="5:10" ht="230" customHeight="1">
      <c r="E152" s="468" t="s">
        <v>1127</v>
      </c>
      <c r="F152" s="469" t="s">
        <v>1127</v>
      </c>
      <c r="G152" s="470" t="s">
        <v>1226</v>
      </c>
      <c r="H152" s="468" t="s">
        <v>1228</v>
      </c>
      <c r="I152" s="468"/>
      <c r="J152" s="470">
        <v>2020</v>
      </c>
    </row>
    <row r="153" spans="5:10" ht="230" customHeight="1">
      <c r="E153" s="468" t="s">
        <v>1127</v>
      </c>
      <c r="F153" s="469" t="s">
        <v>1127</v>
      </c>
      <c r="G153" s="470" t="s">
        <v>1229</v>
      </c>
      <c r="H153" s="468" t="s">
        <v>1230</v>
      </c>
      <c r="I153" s="468"/>
      <c r="J153" s="470">
        <v>2020</v>
      </c>
    </row>
    <row r="154" spans="5:10" ht="230" customHeight="1">
      <c r="E154" s="468" t="s">
        <v>1231</v>
      </c>
      <c r="F154" s="469" t="s">
        <v>1231</v>
      </c>
      <c r="G154" s="470" t="s">
        <v>1232</v>
      </c>
      <c r="H154" s="468" t="s">
        <v>1233</v>
      </c>
      <c r="I154" s="468"/>
      <c r="J154" s="470">
        <v>2022</v>
      </c>
    </row>
    <row r="155" spans="5:10" ht="230" customHeight="1">
      <c r="E155" s="468" t="s">
        <v>1216</v>
      </c>
      <c r="F155" s="469" t="s">
        <v>1216</v>
      </c>
      <c r="G155" s="470" t="s">
        <v>1234</v>
      </c>
      <c r="H155" s="468"/>
      <c r="I155" s="468"/>
      <c r="J155" s="470">
        <v>2013</v>
      </c>
    </row>
    <row r="156" spans="5:10" ht="230" customHeight="1">
      <c r="E156" s="468" t="s">
        <v>1136</v>
      </c>
      <c r="F156" s="469" t="s">
        <v>1136</v>
      </c>
      <c r="G156" s="470" t="s">
        <v>1236</v>
      </c>
      <c r="H156" s="468"/>
      <c r="I156" s="468"/>
      <c r="J156" s="470">
        <v>2023</v>
      </c>
    </row>
    <row r="157" spans="5:10" ht="230" customHeight="1">
      <c r="E157" s="468" t="s">
        <v>1116</v>
      </c>
      <c r="F157" s="469" t="s">
        <v>1116</v>
      </c>
      <c r="G157" s="476" t="s">
        <v>1117</v>
      </c>
      <c r="H157" s="468" t="s">
        <v>2309</v>
      </c>
      <c r="I157" s="468" t="s">
        <v>2310</v>
      </c>
      <c r="J157" s="470">
        <v>2021</v>
      </c>
    </row>
    <row r="158" spans="5:10" ht="230" customHeight="1">
      <c r="E158" s="468" t="s">
        <v>1127</v>
      </c>
      <c r="F158" s="469" t="s">
        <v>1127</v>
      </c>
      <c r="G158" s="470" t="s">
        <v>1237</v>
      </c>
      <c r="H158" s="468" t="s">
        <v>1238</v>
      </c>
      <c r="I158" s="468"/>
      <c r="J158" s="470">
        <v>2020</v>
      </c>
    </row>
    <row r="159" spans="5:10" ht="230" customHeight="1">
      <c r="E159" s="468" t="s">
        <v>1127</v>
      </c>
      <c r="F159" s="469" t="s">
        <v>1127</v>
      </c>
      <c r="G159" s="470" t="s">
        <v>1239</v>
      </c>
      <c r="H159" s="468" t="s">
        <v>1240</v>
      </c>
      <c r="I159" s="468"/>
      <c r="J159" s="470">
        <v>2020</v>
      </c>
    </row>
    <row r="160" spans="5:10" ht="230" customHeight="1">
      <c r="E160" s="468" t="s">
        <v>1127</v>
      </c>
      <c r="F160" s="469" t="s">
        <v>1127</v>
      </c>
      <c r="G160" s="470" t="s">
        <v>1242</v>
      </c>
      <c r="H160" s="468" t="s">
        <v>1243</v>
      </c>
      <c r="I160" s="468"/>
      <c r="J160" s="470">
        <v>2020</v>
      </c>
    </row>
    <row r="161" spans="5:10" ht="230" customHeight="1">
      <c r="E161" s="468" t="s">
        <v>1127</v>
      </c>
      <c r="F161" s="469" t="s">
        <v>1127</v>
      </c>
      <c r="G161" s="470" t="s">
        <v>1245</v>
      </c>
      <c r="H161" s="468" t="s">
        <v>1246</v>
      </c>
      <c r="I161" s="468"/>
      <c r="J161" s="470">
        <v>2020</v>
      </c>
    </row>
    <row r="162" spans="5:10" ht="230" customHeight="1">
      <c r="E162" s="468" t="s">
        <v>1247</v>
      </c>
      <c r="F162" s="469" t="s">
        <v>1247</v>
      </c>
      <c r="G162" s="470" t="s">
        <v>1248</v>
      </c>
      <c r="H162" s="468" t="s">
        <v>2334</v>
      </c>
      <c r="I162" s="468" t="s">
        <v>2335</v>
      </c>
      <c r="J162" s="470">
        <v>2021</v>
      </c>
    </row>
    <row r="163" spans="5:10" ht="230" customHeight="1">
      <c r="E163" s="468" t="s">
        <v>1250</v>
      </c>
      <c r="F163" s="469" t="s">
        <v>1250</v>
      </c>
      <c r="G163" s="470" t="s">
        <v>1251</v>
      </c>
      <c r="H163" s="468" t="s">
        <v>1252</v>
      </c>
      <c r="I163" s="468"/>
      <c r="J163" s="470">
        <v>2021</v>
      </c>
    </row>
    <row r="164" spans="5:10" ht="230" customHeight="1">
      <c r="E164" s="468" t="s">
        <v>1250</v>
      </c>
      <c r="F164" s="469" t="s">
        <v>1250</v>
      </c>
      <c r="G164" s="470" t="s">
        <v>1254</v>
      </c>
      <c r="H164" s="468" t="s">
        <v>1255</v>
      </c>
      <c r="I164" s="468"/>
      <c r="J164" s="470">
        <v>2021</v>
      </c>
    </row>
    <row r="165" spans="5:10" ht="230" customHeight="1">
      <c r="E165" s="468" t="s">
        <v>1250</v>
      </c>
      <c r="F165" s="469" t="s">
        <v>1250</v>
      </c>
      <c r="G165" s="470" t="s">
        <v>1256</v>
      </c>
      <c r="H165" s="468" t="s">
        <v>1257</v>
      </c>
      <c r="I165" s="468"/>
      <c r="J165" s="470">
        <v>2021</v>
      </c>
    </row>
    <row r="166" spans="5:10" ht="230" customHeight="1">
      <c r="E166" s="468" t="s">
        <v>1116</v>
      </c>
      <c r="F166" s="469" t="s">
        <v>1116</v>
      </c>
      <c r="G166" s="470" t="s">
        <v>1120</v>
      </c>
      <c r="H166" s="468" t="s">
        <v>2311</v>
      </c>
      <c r="I166" s="468" t="s">
        <v>2312</v>
      </c>
      <c r="J166" s="470">
        <v>2021</v>
      </c>
    </row>
    <row r="167" spans="5:10" ht="230" customHeight="1">
      <c r="E167" s="468" t="s">
        <v>396</v>
      </c>
      <c r="F167" s="469" t="s">
        <v>396</v>
      </c>
      <c r="G167" s="472" t="s">
        <v>1122</v>
      </c>
      <c r="H167" s="468" t="s">
        <v>2301</v>
      </c>
      <c r="I167" s="468" t="s">
        <v>2302</v>
      </c>
      <c r="J167" s="472">
        <v>2023</v>
      </c>
    </row>
    <row r="168" spans="5:10" ht="230" customHeight="1">
      <c r="E168" s="468" t="s">
        <v>396</v>
      </c>
      <c r="F168" s="469" t="s">
        <v>396</v>
      </c>
      <c r="G168" s="472" t="s">
        <v>1125</v>
      </c>
      <c r="H168" s="468" t="s">
        <v>2307</v>
      </c>
      <c r="I168" s="468" t="s">
        <v>2308</v>
      </c>
      <c r="J168" s="472">
        <v>2023</v>
      </c>
    </row>
    <row r="169" spans="5:10" ht="230" customHeight="1">
      <c r="E169" s="468" t="s">
        <v>1127</v>
      </c>
      <c r="F169" s="469" t="s">
        <v>1127</v>
      </c>
      <c r="G169" s="470" t="s">
        <v>1128</v>
      </c>
      <c r="H169" s="468" t="s">
        <v>2332</v>
      </c>
      <c r="I169" s="468" t="s">
        <v>2333</v>
      </c>
      <c r="J169" s="470">
        <v>2020</v>
      </c>
    </row>
    <row r="170" spans="5:10" ht="230" customHeight="1">
      <c r="E170" s="468" t="s">
        <v>1260</v>
      </c>
      <c r="F170" s="469" t="s">
        <v>1260</v>
      </c>
      <c r="G170" s="470" t="s">
        <v>1261</v>
      </c>
      <c r="H170" s="479"/>
      <c r="I170" s="479"/>
      <c r="J170" s="470">
        <v>2020</v>
      </c>
    </row>
    <row r="171" spans="5:10" ht="230" customHeight="1">
      <c r="E171" s="468" t="s">
        <v>1260</v>
      </c>
      <c r="F171" s="469" t="s">
        <v>1260</v>
      </c>
      <c r="G171" s="478" t="s">
        <v>1290</v>
      </c>
      <c r="H171" s="468" t="s">
        <v>2358</v>
      </c>
      <c r="I171" s="468" t="s">
        <v>2359</v>
      </c>
      <c r="J171" s="472">
        <v>2020</v>
      </c>
    </row>
    <row r="172" spans="5:10" ht="230" customHeight="1">
      <c r="E172" s="468" t="s">
        <v>1260</v>
      </c>
      <c r="F172" s="469" t="s">
        <v>1260</v>
      </c>
      <c r="G172" s="470" t="s">
        <v>1292</v>
      </c>
      <c r="H172" s="468" t="s">
        <v>2360</v>
      </c>
      <c r="I172" s="468" t="s">
        <v>2361</v>
      </c>
      <c r="J172" s="472">
        <v>2020</v>
      </c>
    </row>
    <row r="173" spans="5:10" ht="230" customHeight="1">
      <c r="E173" s="468" t="s">
        <v>1260</v>
      </c>
      <c r="F173" s="469" t="s">
        <v>1260</v>
      </c>
      <c r="G173" s="470" t="s">
        <v>1294</v>
      </c>
      <c r="H173" s="468" t="s">
        <v>2363</v>
      </c>
      <c r="I173" s="468" t="s">
        <v>2362</v>
      </c>
      <c r="J173" s="472">
        <v>2020</v>
      </c>
    </row>
    <row r="174" spans="5:10" ht="230" customHeight="1">
      <c r="E174" s="468" t="s">
        <v>1260</v>
      </c>
      <c r="F174" s="469" t="s">
        <v>1260</v>
      </c>
      <c r="G174" s="470" t="s">
        <v>1296</v>
      </c>
      <c r="H174" s="468" t="s">
        <v>2348</v>
      </c>
      <c r="I174" s="468" t="s">
        <v>2349</v>
      </c>
      <c r="J174" s="472">
        <v>2020</v>
      </c>
    </row>
    <row r="175" spans="5:10" ht="230" customHeight="1">
      <c r="E175" s="468" t="s">
        <v>1260</v>
      </c>
      <c r="F175" s="469" t="s">
        <v>1260</v>
      </c>
      <c r="G175" s="470" t="s">
        <v>1298</v>
      </c>
      <c r="H175" s="468" t="s">
        <v>2364</v>
      </c>
      <c r="I175" s="468" t="s">
        <v>1663</v>
      </c>
      <c r="J175" s="472">
        <v>2020</v>
      </c>
    </row>
    <row r="176" spans="5:10" ht="230" customHeight="1">
      <c r="E176" s="468" t="s">
        <v>1260</v>
      </c>
      <c r="F176" s="469" t="s">
        <v>1260</v>
      </c>
      <c r="G176" s="470" t="s">
        <v>1300</v>
      </c>
      <c r="H176" s="468" t="s">
        <v>2366</v>
      </c>
      <c r="I176" s="468" t="s">
        <v>2365</v>
      </c>
      <c r="J176" s="472">
        <v>2020</v>
      </c>
    </row>
    <row r="177" spans="5:10" ht="230" customHeight="1">
      <c r="E177" s="468" t="s">
        <v>1260</v>
      </c>
      <c r="F177" s="469" t="s">
        <v>1260</v>
      </c>
      <c r="G177" s="470" t="s">
        <v>1302</v>
      </c>
      <c r="H177" s="468" t="s">
        <v>2367</v>
      </c>
      <c r="I177" s="468" t="s">
        <v>2368</v>
      </c>
      <c r="J177" s="472">
        <v>2020</v>
      </c>
    </row>
    <row r="178" spans="5:10" ht="230" customHeight="1">
      <c r="E178" s="468" t="s">
        <v>1260</v>
      </c>
      <c r="F178" s="469" t="s">
        <v>1260</v>
      </c>
      <c r="G178" s="470" t="s">
        <v>1304</v>
      </c>
      <c r="H178" s="468" t="s">
        <v>2370</v>
      </c>
      <c r="I178" s="468" t="s">
        <v>2369</v>
      </c>
      <c r="J178" s="472">
        <v>2020</v>
      </c>
    </row>
    <row r="179" spans="5:10" ht="230" customHeight="1">
      <c r="E179" s="468" t="s">
        <v>1260</v>
      </c>
      <c r="F179" s="469" t="s">
        <v>1260</v>
      </c>
      <c r="G179" s="470" t="s">
        <v>1306</v>
      </c>
      <c r="H179" s="468" t="s">
        <v>2372</v>
      </c>
      <c r="I179" s="468" t="s">
        <v>2371</v>
      </c>
      <c r="J179" s="472">
        <v>2020</v>
      </c>
    </row>
    <row r="180" spans="5:10" ht="230" customHeight="1">
      <c r="E180" s="468" t="s">
        <v>1260</v>
      </c>
      <c r="F180" s="469" t="s">
        <v>1260</v>
      </c>
      <c r="G180" s="470" t="s">
        <v>1308</v>
      </c>
      <c r="H180" s="468" t="s">
        <v>2374</v>
      </c>
      <c r="I180" s="468" t="s">
        <v>2373</v>
      </c>
      <c r="J180" s="472">
        <v>2020</v>
      </c>
    </row>
    <row r="181" spans="5:10" ht="230" customHeight="1">
      <c r="E181" s="468" t="s">
        <v>1260</v>
      </c>
      <c r="F181" s="469" t="s">
        <v>1260</v>
      </c>
      <c r="G181" s="470" t="s">
        <v>1263</v>
      </c>
      <c r="H181" s="468" t="s">
        <v>2338</v>
      </c>
      <c r="I181" s="468" t="s">
        <v>2339</v>
      </c>
      <c r="J181" s="470">
        <v>2020</v>
      </c>
    </row>
    <row r="182" spans="5:10" ht="230" customHeight="1">
      <c r="E182" s="468" t="s">
        <v>1260</v>
      </c>
      <c r="F182" s="469" t="s">
        <v>1260</v>
      </c>
      <c r="G182" s="470" t="s">
        <v>1310</v>
      </c>
      <c r="H182" s="468" t="s">
        <v>2376</v>
      </c>
      <c r="I182" s="468" t="s">
        <v>2375</v>
      </c>
      <c r="J182" s="472">
        <v>2020</v>
      </c>
    </row>
    <row r="183" spans="5:10" ht="230" customHeight="1">
      <c r="E183" s="468" t="s">
        <v>1260</v>
      </c>
      <c r="F183" s="469" t="s">
        <v>1260</v>
      </c>
      <c r="G183" s="470" t="s">
        <v>1312</v>
      </c>
      <c r="H183" s="468" t="s">
        <v>2350</v>
      </c>
      <c r="I183" s="468" t="s">
        <v>2351</v>
      </c>
      <c r="J183" s="472">
        <v>2020</v>
      </c>
    </row>
    <row r="184" spans="5:10" ht="230" customHeight="1">
      <c r="E184" s="468" t="s">
        <v>1260</v>
      </c>
      <c r="F184" s="469" t="s">
        <v>1260</v>
      </c>
      <c r="G184" s="470" t="s">
        <v>1314</v>
      </c>
      <c r="H184" s="468" t="s">
        <v>2378</v>
      </c>
      <c r="I184" s="468" t="s">
        <v>2377</v>
      </c>
      <c r="J184" s="472">
        <v>2020</v>
      </c>
    </row>
    <row r="185" spans="5:10" ht="230" customHeight="1">
      <c r="E185" s="468" t="s">
        <v>1260</v>
      </c>
      <c r="F185" s="469" t="s">
        <v>1260</v>
      </c>
      <c r="G185" s="470" t="s">
        <v>1316</v>
      </c>
      <c r="H185" s="468" t="s">
        <v>2380</v>
      </c>
      <c r="I185" s="468" t="s">
        <v>2379</v>
      </c>
      <c r="J185" s="472">
        <v>2020</v>
      </c>
    </row>
    <row r="186" spans="5:10" ht="230" customHeight="1">
      <c r="E186" s="468" t="s">
        <v>1260</v>
      </c>
      <c r="F186" s="469" t="s">
        <v>1260</v>
      </c>
      <c r="G186" s="470" t="s">
        <v>1318</v>
      </c>
      <c r="H186" s="468" t="s">
        <v>2381</v>
      </c>
      <c r="I186" s="468" t="s">
        <v>1663</v>
      </c>
      <c r="J186" s="472">
        <v>2020</v>
      </c>
    </row>
    <row r="187" spans="5:10" ht="230" customHeight="1">
      <c r="E187" s="468" t="s">
        <v>1260</v>
      </c>
      <c r="F187" s="469" t="s">
        <v>1260</v>
      </c>
      <c r="G187" s="470" t="s">
        <v>1320</v>
      </c>
      <c r="H187" s="468" t="s">
        <v>2382</v>
      </c>
      <c r="I187" s="468" t="s">
        <v>1663</v>
      </c>
      <c r="J187" s="472">
        <v>2020</v>
      </c>
    </row>
    <row r="188" spans="5:10" ht="230" customHeight="1">
      <c r="E188" s="468" t="s">
        <v>1260</v>
      </c>
      <c r="F188" s="469" t="s">
        <v>1260</v>
      </c>
      <c r="G188" s="470" t="s">
        <v>1322</v>
      </c>
      <c r="H188" s="468" t="s">
        <v>1323</v>
      </c>
      <c r="I188" s="468"/>
      <c r="J188" s="472">
        <v>2020</v>
      </c>
    </row>
    <row r="189" spans="5:10" ht="230" customHeight="1">
      <c r="E189" s="468" t="s">
        <v>1260</v>
      </c>
      <c r="F189" s="469" t="s">
        <v>1260</v>
      </c>
      <c r="G189" s="470" t="s">
        <v>1324</v>
      </c>
      <c r="H189" s="468" t="s">
        <v>2383</v>
      </c>
      <c r="I189" s="468" t="s">
        <v>1663</v>
      </c>
      <c r="J189" s="472">
        <v>2020</v>
      </c>
    </row>
    <row r="190" spans="5:10" ht="230" customHeight="1">
      <c r="E190" s="468" t="s">
        <v>1260</v>
      </c>
      <c r="F190" s="469" t="s">
        <v>1260</v>
      </c>
      <c r="G190" s="470" t="s">
        <v>1326</v>
      </c>
      <c r="H190" s="468" t="s">
        <v>1327</v>
      </c>
      <c r="I190" s="468"/>
      <c r="J190" s="472">
        <v>2020</v>
      </c>
    </row>
    <row r="191" spans="5:10" ht="230" customHeight="1">
      <c r="E191" s="468" t="s">
        <v>1260</v>
      </c>
      <c r="F191" s="469" t="s">
        <v>1260</v>
      </c>
      <c r="G191" s="470" t="s">
        <v>1328</v>
      </c>
      <c r="H191" s="468" t="s">
        <v>2385</v>
      </c>
      <c r="I191" s="468" t="s">
        <v>2384</v>
      </c>
      <c r="J191" s="472">
        <v>2020</v>
      </c>
    </row>
    <row r="192" spans="5:10" ht="230" customHeight="1">
      <c r="E192" s="468" t="s">
        <v>1260</v>
      </c>
      <c r="F192" s="469" t="s">
        <v>1260</v>
      </c>
      <c r="G192" s="470" t="s">
        <v>1270</v>
      </c>
      <c r="H192" s="468" t="s">
        <v>2344</v>
      </c>
      <c r="I192" s="468" t="s">
        <v>2345</v>
      </c>
      <c r="J192" s="470">
        <v>2020</v>
      </c>
    </row>
    <row r="193" spans="5:10" ht="230" customHeight="1">
      <c r="E193" s="468" t="s">
        <v>1260</v>
      </c>
      <c r="F193" s="469" t="s">
        <v>1260</v>
      </c>
      <c r="G193" s="470" t="s">
        <v>1330</v>
      </c>
      <c r="H193" s="468" t="s">
        <v>2386</v>
      </c>
      <c r="I193" s="468" t="s">
        <v>2387</v>
      </c>
      <c r="J193" s="472">
        <v>2020</v>
      </c>
    </row>
    <row r="194" spans="5:10" ht="230" customHeight="1">
      <c r="E194" s="468" t="s">
        <v>1260</v>
      </c>
      <c r="F194" s="469" t="s">
        <v>1260</v>
      </c>
      <c r="G194" s="470" t="s">
        <v>1332</v>
      </c>
      <c r="H194" s="468" t="s">
        <v>2388</v>
      </c>
      <c r="I194" s="468" t="s">
        <v>1663</v>
      </c>
      <c r="J194" s="472">
        <v>2020</v>
      </c>
    </row>
    <row r="195" spans="5:10" ht="230" customHeight="1">
      <c r="E195" s="468" t="s">
        <v>1260</v>
      </c>
      <c r="F195" s="469" t="s">
        <v>1260</v>
      </c>
      <c r="G195" s="470" t="s">
        <v>1334</v>
      </c>
      <c r="H195" s="468" t="s">
        <v>2394</v>
      </c>
      <c r="I195" s="468" t="s">
        <v>2393</v>
      </c>
      <c r="J195" s="472">
        <v>2020</v>
      </c>
    </row>
    <row r="196" spans="5:10" ht="230" customHeight="1">
      <c r="E196" s="468" t="s">
        <v>1260</v>
      </c>
      <c r="F196" s="469" t="s">
        <v>1260</v>
      </c>
      <c r="G196" s="470" t="s">
        <v>1336</v>
      </c>
      <c r="H196" s="468" t="s">
        <v>2389</v>
      </c>
      <c r="I196" s="468" t="s">
        <v>2390</v>
      </c>
      <c r="J196" s="472">
        <v>2020</v>
      </c>
    </row>
    <row r="197" spans="5:10" ht="230" customHeight="1">
      <c r="E197" s="468" t="s">
        <v>1260</v>
      </c>
      <c r="F197" s="469" t="s">
        <v>1260</v>
      </c>
      <c r="G197" s="470" t="s">
        <v>1338</v>
      </c>
      <c r="H197" s="468" t="s">
        <v>2392</v>
      </c>
      <c r="I197" s="468" t="s">
        <v>2391</v>
      </c>
      <c r="J197" s="472">
        <v>2020</v>
      </c>
    </row>
    <row r="198" spans="5:10" ht="230" customHeight="1">
      <c r="E198" s="468" t="s">
        <v>1260</v>
      </c>
      <c r="F198" s="469" t="s">
        <v>1260</v>
      </c>
      <c r="G198" s="470" t="s">
        <v>1340</v>
      </c>
      <c r="H198" s="468" t="s">
        <v>2396</v>
      </c>
      <c r="I198" s="468" t="s">
        <v>2395</v>
      </c>
      <c r="J198" s="472">
        <v>2020</v>
      </c>
    </row>
    <row r="199" spans="5:10" ht="230" customHeight="1">
      <c r="E199" s="468" t="s">
        <v>892</v>
      </c>
      <c r="F199" s="469" t="s">
        <v>892</v>
      </c>
      <c r="G199" s="470" t="s">
        <v>1342</v>
      </c>
      <c r="H199" s="479"/>
      <c r="I199" s="479"/>
      <c r="J199" s="470">
        <v>2023</v>
      </c>
    </row>
    <row r="200" spans="5:10" ht="230" customHeight="1">
      <c r="E200" s="468" t="s">
        <v>1343</v>
      </c>
      <c r="F200" s="469" t="s">
        <v>1343</v>
      </c>
      <c r="G200" s="470" t="s">
        <v>1344</v>
      </c>
      <c r="H200" s="479"/>
      <c r="I200" s="479"/>
      <c r="J200" s="470">
        <v>2023</v>
      </c>
    </row>
    <row r="201" spans="5:10" ht="230" customHeight="1">
      <c r="E201" s="468" t="s">
        <v>1260</v>
      </c>
      <c r="F201" s="469" t="s">
        <v>1260</v>
      </c>
      <c r="G201" s="470" t="s">
        <v>1275</v>
      </c>
      <c r="H201" s="468" t="s">
        <v>2342</v>
      </c>
      <c r="I201" s="468" t="s">
        <v>2343</v>
      </c>
      <c r="J201" s="470">
        <v>2020</v>
      </c>
    </row>
    <row r="202" spans="5:10" ht="230" customHeight="1">
      <c r="E202" s="468" t="s">
        <v>1260</v>
      </c>
      <c r="F202" s="469" t="s">
        <v>1260</v>
      </c>
      <c r="G202" s="470" t="s">
        <v>1278</v>
      </c>
      <c r="H202" s="468" t="s">
        <v>2340</v>
      </c>
      <c r="I202" s="468" t="s">
        <v>2341</v>
      </c>
      <c r="J202" s="470">
        <v>2020</v>
      </c>
    </row>
    <row r="203" spans="5:10" ht="230" customHeight="1">
      <c r="E203" s="468" t="s">
        <v>1260</v>
      </c>
      <c r="F203" s="469" t="s">
        <v>1260</v>
      </c>
      <c r="G203" s="470" t="s">
        <v>1280</v>
      </c>
      <c r="H203" s="468" t="s">
        <v>2356</v>
      </c>
      <c r="I203" s="468" t="s">
        <v>2357</v>
      </c>
      <c r="J203" s="470">
        <v>2020</v>
      </c>
    </row>
    <row r="204" spans="5:10" ht="230" customHeight="1">
      <c r="E204" s="468" t="s">
        <v>1260</v>
      </c>
      <c r="F204" s="469" t="s">
        <v>1260</v>
      </c>
      <c r="G204" s="470" t="s">
        <v>1285</v>
      </c>
      <c r="H204" s="468" t="s">
        <v>2352</v>
      </c>
      <c r="I204" s="468" t="s">
        <v>2353</v>
      </c>
      <c r="J204" s="472">
        <v>2020</v>
      </c>
    </row>
    <row r="205" spans="5:10" ht="230" customHeight="1">
      <c r="E205" s="468" t="s">
        <v>1260</v>
      </c>
      <c r="F205" s="469" t="s">
        <v>1260</v>
      </c>
      <c r="G205" s="470" t="s">
        <v>1287</v>
      </c>
      <c r="H205" s="468" t="s">
        <v>2354</v>
      </c>
      <c r="I205" s="468" t="s">
        <v>2355</v>
      </c>
      <c r="J205" s="472">
        <v>2020</v>
      </c>
    </row>
    <row r="206" spans="5:10" ht="230" customHeight="1">
      <c r="E206" s="468" t="s">
        <v>1260</v>
      </c>
      <c r="F206" s="469" t="s">
        <v>1260</v>
      </c>
      <c r="G206" s="470" t="s">
        <v>1289</v>
      </c>
      <c r="H206" s="468" t="s">
        <v>2346</v>
      </c>
      <c r="I206" s="468" t="s">
        <v>2347</v>
      </c>
      <c r="J206" s="472">
        <v>2020</v>
      </c>
    </row>
    <row r="207" spans="5:10" ht="230" customHeight="1">
      <c r="E207" s="468" t="s">
        <v>857</v>
      </c>
      <c r="F207" s="469" t="s">
        <v>857</v>
      </c>
      <c r="G207" s="470" t="s">
        <v>1345</v>
      </c>
      <c r="H207" s="468" t="s">
        <v>2439</v>
      </c>
      <c r="I207" s="468" t="s">
        <v>2437</v>
      </c>
      <c r="J207" s="470">
        <v>2020</v>
      </c>
    </row>
    <row r="208" spans="5:10" ht="230" customHeight="1">
      <c r="E208" s="468" t="s">
        <v>857</v>
      </c>
      <c r="F208" s="469" t="s">
        <v>857</v>
      </c>
      <c r="G208" s="470" t="s">
        <v>1353</v>
      </c>
      <c r="H208" s="468" t="s">
        <v>2443</v>
      </c>
      <c r="I208" s="468" t="s">
        <v>2444</v>
      </c>
      <c r="J208" s="470">
        <v>2020</v>
      </c>
    </row>
    <row r="209" spans="5:10" ht="230" customHeight="1">
      <c r="E209" s="468" t="s">
        <v>857</v>
      </c>
      <c r="F209" s="469" t="s">
        <v>857</v>
      </c>
      <c r="G209" s="470" t="s">
        <v>1354</v>
      </c>
      <c r="H209" s="468" t="s">
        <v>965</v>
      </c>
      <c r="I209" s="468" t="s">
        <v>2446</v>
      </c>
      <c r="J209" s="470">
        <v>2020</v>
      </c>
    </row>
    <row r="210" spans="5:10" ht="230" customHeight="1">
      <c r="E210" s="468" t="s">
        <v>857</v>
      </c>
      <c r="F210" s="469" t="s">
        <v>857</v>
      </c>
      <c r="G210" s="470" t="s">
        <v>1355</v>
      </c>
      <c r="H210" s="468" t="s">
        <v>963</v>
      </c>
      <c r="I210" s="468"/>
      <c r="J210" s="470">
        <v>2020</v>
      </c>
    </row>
    <row r="211" spans="5:10" ht="230" customHeight="1">
      <c r="E211" s="468" t="s">
        <v>857</v>
      </c>
      <c r="F211" s="469" t="s">
        <v>857</v>
      </c>
      <c r="G211" s="470" t="s">
        <v>1356</v>
      </c>
      <c r="H211" s="468" t="s">
        <v>960</v>
      </c>
      <c r="I211" s="468" t="s">
        <v>2446</v>
      </c>
      <c r="J211" s="470">
        <v>2020</v>
      </c>
    </row>
    <row r="212" spans="5:10" ht="230" customHeight="1">
      <c r="E212" s="468" t="s">
        <v>857</v>
      </c>
      <c r="F212" s="469" t="s">
        <v>857</v>
      </c>
      <c r="G212" s="470" t="s">
        <v>1357</v>
      </c>
      <c r="H212" s="468" t="s">
        <v>2451</v>
      </c>
      <c r="I212" s="468" t="s">
        <v>2452</v>
      </c>
      <c r="J212" s="470">
        <v>2020</v>
      </c>
    </row>
    <row r="213" spans="5:10" ht="230" customHeight="1">
      <c r="E213" s="468" t="s">
        <v>857</v>
      </c>
      <c r="F213" s="469" t="s">
        <v>857</v>
      </c>
      <c r="G213" s="470" t="s">
        <v>1358</v>
      </c>
      <c r="H213" s="468" t="s">
        <v>2449</v>
      </c>
      <c r="I213" s="468" t="s">
        <v>2450</v>
      </c>
      <c r="J213" s="470">
        <v>2020</v>
      </c>
    </row>
    <row r="214" spans="5:10" ht="230" customHeight="1">
      <c r="E214" s="468" t="s">
        <v>857</v>
      </c>
      <c r="F214" s="469" t="s">
        <v>857</v>
      </c>
      <c r="G214" s="470" t="s">
        <v>1359</v>
      </c>
      <c r="H214" s="468" t="s">
        <v>2453</v>
      </c>
      <c r="I214" s="468" t="s">
        <v>2454</v>
      </c>
      <c r="J214" s="470">
        <v>2020</v>
      </c>
    </row>
    <row r="215" spans="5:10" ht="230" customHeight="1">
      <c r="E215" s="468" t="s">
        <v>857</v>
      </c>
      <c r="F215" s="469" t="s">
        <v>857</v>
      </c>
      <c r="G215" s="470" t="s">
        <v>1360</v>
      </c>
      <c r="H215" s="468" t="s">
        <v>957</v>
      </c>
      <c r="I215" s="468"/>
      <c r="J215" s="470">
        <v>2020</v>
      </c>
    </row>
    <row r="216" spans="5:10" ht="230" customHeight="1">
      <c r="E216" s="468" t="s">
        <v>857</v>
      </c>
      <c r="F216" s="469" t="s">
        <v>857</v>
      </c>
      <c r="G216" s="470" t="s">
        <v>1361</v>
      </c>
      <c r="H216" s="468" t="s">
        <v>953</v>
      </c>
      <c r="I216" s="468"/>
      <c r="J216" s="470">
        <v>2020</v>
      </c>
    </row>
    <row r="217" spans="5:10" ht="230" customHeight="1">
      <c r="E217" s="468" t="s">
        <v>892</v>
      </c>
      <c r="F217" s="469" t="s">
        <v>892</v>
      </c>
      <c r="G217" s="470" t="s">
        <v>1362</v>
      </c>
      <c r="H217" s="479"/>
      <c r="I217" s="479"/>
      <c r="J217" s="470">
        <v>2023</v>
      </c>
    </row>
    <row r="218" spans="5:10" ht="230" customHeight="1">
      <c r="E218" s="468" t="s">
        <v>857</v>
      </c>
      <c r="F218" s="469" t="s">
        <v>857</v>
      </c>
      <c r="G218" s="470" t="s">
        <v>1346</v>
      </c>
      <c r="H218" s="468" t="s">
        <v>974</v>
      </c>
      <c r="I218" s="468" t="s">
        <v>2438</v>
      </c>
      <c r="J218" s="470">
        <v>2020</v>
      </c>
    </row>
    <row r="219" spans="5:10" ht="230" customHeight="1">
      <c r="E219" s="468" t="s">
        <v>951</v>
      </c>
      <c r="F219" s="469" t="s">
        <v>951</v>
      </c>
      <c r="G219" s="470" t="s">
        <v>1363</v>
      </c>
      <c r="H219" s="479"/>
      <c r="I219" s="479"/>
      <c r="J219" s="470">
        <v>2023</v>
      </c>
    </row>
    <row r="220" spans="5:10" ht="230" customHeight="1">
      <c r="E220" s="468" t="s">
        <v>794</v>
      </c>
      <c r="F220" s="469" t="s">
        <v>794</v>
      </c>
      <c r="G220" s="470" t="s">
        <v>1364</v>
      </c>
      <c r="H220" s="468" t="s">
        <v>948</v>
      </c>
      <c r="I220" s="468"/>
      <c r="J220" s="470">
        <v>2021</v>
      </c>
    </row>
    <row r="221" spans="5:10" ht="230" customHeight="1">
      <c r="E221" s="468" t="s">
        <v>794</v>
      </c>
      <c r="F221" s="469" t="s">
        <v>794</v>
      </c>
      <c r="G221" s="470" t="s">
        <v>1365</v>
      </c>
      <c r="H221" s="479"/>
      <c r="I221" s="479"/>
      <c r="J221" s="470">
        <v>2021</v>
      </c>
    </row>
    <row r="222" spans="5:10" ht="230" customHeight="1">
      <c r="E222" s="468" t="s">
        <v>857</v>
      </c>
      <c r="F222" s="469" t="s">
        <v>857</v>
      </c>
      <c r="G222" s="472" t="s">
        <v>1366</v>
      </c>
      <c r="H222" s="479"/>
      <c r="I222" s="479"/>
      <c r="J222" s="472">
        <v>2020</v>
      </c>
    </row>
    <row r="223" spans="5:10" ht="230" customHeight="1">
      <c r="E223" s="468" t="s">
        <v>946</v>
      </c>
      <c r="F223" s="469" t="s">
        <v>946</v>
      </c>
      <c r="G223" s="470" t="s">
        <v>1367</v>
      </c>
      <c r="H223" s="479"/>
      <c r="I223" s="479"/>
      <c r="J223" s="470">
        <v>2022</v>
      </c>
    </row>
    <row r="224" spans="5:10" ht="230" customHeight="1">
      <c r="E224" s="468" t="s">
        <v>945</v>
      </c>
      <c r="F224" s="469" t="s">
        <v>945</v>
      </c>
      <c r="G224" s="470" t="s">
        <v>1368</v>
      </c>
      <c r="H224" s="468"/>
      <c r="I224" s="468"/>
      <c r="J224" s="470">
        <v>2023</v>
      </c>
    </row>
    <row r="225" spans="5:10" ht="230" customHeight="1">
      <c r="E225" s="468" t="s">
        <v>852</v>
      </c>
      <c r="F225" s="469" t="s">
        <v>852</v>
      </c>
      <c r="G225" s="470" t="s">
        <v>1369</v>
      </c>
      <c r="H225" s="468" t="s">
        <v>1370</v>
      </c>
      <c r="I225" s="468"/>
      <c r="J225" s="470">
        <v>2019</v>
      </c>
    </row>
    <row r="226" spans="5:10" ht="230" customHeight="1">
      <c r="E226" s="468" t="s">
        <v>852</v>
      </c>
      <c r="F226" s="469" t="s">
        <v>852</v>
      </c>
      <c r="G226" s="470" t="s">
        <v>1371</v>
      </c>
      <c r="H226" s="468" t="s">
        <v>944</v>
      </c>
      <c r="I226" s="468"/>
      <c r="J226" s="470">
        <v>2019</v>
      </c>
    </row>
    <row r="227" spans="5:10" ht="230" customHeight="1">
      <c r="E227" s="468" t="s">
        <v>846</v>
      </c>
      <c r="F227" s="469" t="s">
        <v>846</v>
      </c>
      <c r="G227" s="470" t="s">
        <v>1372</v>
      </c>
      <c r="H227" s="468" t="s">
        <v>2457</v>
      </c>
      <c r="I227" s="468" t="s">
        <v>2458</v>
      </c>
      <c r="J227" s="470">
        <v>2023</v>
      </c>
    </row>
    <row r="228" spans="5:10" ht="230" customHeight="1">
      <c r="E228" s="468" t="s">
        <v>892</v>
      </c>
      <c r="F228" s="469" t="s">
        <v>892</v>
      </c>
      <c r="G228" s="470" t="s">
        <v>1373</v>
      </c>
      <c r="H228" s="479"/>
      <c r="I228" s="479"/>
      <c r="J228" s="470">
        <v>2023</v>
      </c>
    </row>
    <row r="229" spans="5:10" ht="230" customHeight="1">
      <c r="E229" s="468" t="s">
        <v>857</v>
      </c>
      <c r="F229" s="469" t="s">
        <v>857</v>
      </c>
      <c r="G229" s="470" t="s">
        <v>1347</v>
      </c>
      <c r="H229" s="468" t="s">
        <v>887</v>
      </c>
      <c r="I229" s="468" t="s">
        <v>2440</v>
      </c>
      <c r="J229" s="470">
        <v>2020</v>
      </c>
    </row>
    <row r="230" spans="5:10" ht="230" customHeight="1">
      <c r="E230" s="468" t="s">
        <v>943</v>
      </c>
      <c r="F230" s="469" t="s">
        <v>943</v>
      </c>
      <c r="G230" s="470" t="s">
        <v>1374</v>
      </c>
      <c r="H230" s="468"/>
      <c r="I230" s="468"/>
      <c r="J230" s="470">
        <v>2023</v>
      </c>
    </row>
    <row r="231" spans="5:10" ht="230" customHeight="1">
      <c r="E231" s="468" t="s">
        <v>891</v>
      </c>
      <c r="F231" s="469" t="s">
        <v>891</v>
      </c>
      <c r="G231" s="470" t="s">
        <v>1375</v>
      </c>
      <c r="H231" s="468"/>
      <c r="I231" s="468"/>
      <c r="J231" s="470">
        <v>2023</v>
      </c>
    </row>
    <row r="232" spans="5:10" ht="230" customHeight="1">
      <c r="E232" s="468" t="s">
        <v>803</v>
      </c>
      <c r="F232" s="469" t="s">
        <v>803</v>
      </c>
      <c r="G232" s="470" t="s">
        <v>1377</v>
      </c>
      <c r="H232" s="468" t="s">
        <v>2397</v>
      </c>
      <c r="I232" s="468" t="s">
        <v>2398</v>
      </c>
      <c r="J232" s="470">
        <v>2023</v>
      </c>
    </row>
    <row r="233" spans="5:10" ht="230" customHeight="1">
      <c r="E233" s="468" t="s">
        <v>803</v>
      </c>
      <c r="F233" s="469" t="s">
        <v>803</v>
      </c>
      <c r="G233" s="470" t="s">
        <v>1378</v>
      </c>
      <c r="H233" s="468" t="s">
        <v>2399</v>
      </c>
      <c r="I233" s="468" t="s">
        <v>2400</v>
      </c>
      <c r="J233" s="470">
        <v>2023</v>
      </c>
    </row>
    <row r="234" spans="5:10" ht="230" customHeight="1">
      <c r="E234" s="468" t="s">
        <v>803</v>
      </c>
      <c r="F234" s="469" t="s">
        <v>803</v>
      </c>
      <c r="G234" s="470" t="s">
        <v>1379</v>
      </c>
      <c r="H234" s="468" t="s">
        <v>2401</v>
      </c>
      <c r="I234" s="468" t="s">
        <v>2402</v>
      </c>
      <c r="J234" s="470">
        <v>2023</v>
      </c>
    </row>
    <row r="235" spans="5:10" ht="230" customHeight="1">
      <c r="E235" s="468" t="s">
        <v>803</v>
      </c>
      <c r="F235" s="469" t="s">
        <v>803</v>
      </c>
      <c r="G235" s="470" t="s">
        <v>1381</v>
      </c>
      <c r="H235" s="468" t="s">
        <v>2403</v>
      </c>
      <c r="I235" s="468" t="s">
        <v>2404</v>
      </c>
      <c r="J235" s="470">
        <v>2023</v>
      </c>
    </row>
    <row r="236" spans="5:10" ht="230" customHeight="1">
      <c r="E236" s="468" t="s">
        <v>803</v>
      </c>
      <c r="F236" s="469" t="s">
        <v>803</v>
      </c>
      <c r="G236" s="470" t="s">
        <v>1382</v>
      </c>
      <c r="H236" s="468" t="s">
        <v>2405</v>
      </c>
      <c r="I236" s="468" t="s">
        <v>2406</v>
      </c>
      <c r="J236" s="470">
        <v>2023</v>
      </c>
    </row>
    <row r="237" spans="5:10" ht="230" customHeight="1">
      <c r="E237" s="468" t="s">
        <v>803</v>
      </c>
      <c r="F237" s="469" t="s">
        <v>803</v>
      </c>
      <c r="G237" s="470" t="s">
        <v>1383</v>
      </c>
      <c r="H237" s="468" t="s">
        <v>2407</v>
      </c>
      <c r="I237" s="468" t="s">
        <v>2408</v>
      </c>
      <c r="J237" s="470">
        <v>2023</v>
      </c>
    </row>
    <row r="238" spans="5:10" ht="230" customHeight="1">
      <c r="E238" s="468" t="s">
        <v>803</v>
      </c>
      <c r="F238" s="469" t="s">
        <v>803</v>
      </c>
      <c r="G238" s="470" t="s">
        <v>1384</v>
      </c>
      <c r="H238" s="468" t="s">
        <v>2409</v>
      </c>
      <c r="I238" s="468" t="s">
        <v>2410</v>
      </c>
      <c r="J238" s="470">
        <v>2023</v>
      </c>
    </row>
    <row r="239" spans="5:10" ht="230" customHeight="1">
      <c r="E239" s="468" t="s">
        <v>803</v>
      </c>
      <c r="F239" s="469" t="s">
        <v>803</v>
      </c>
      <c r="G239" s="470" t="s">
        <v>1385</v>
      </c>
      <c r="H239" s="469" t="s">
        <v>2495</v>
      </c>
      <c r="I239" s="469" t="s">
        <v>2419</v>
      </c>
      <c r="J239" s="470">
        <v>2023</v>
      </c>
    </row>
    <row r="240" spans="5:10" ht="230" customHeight="1">
      <c r="E240" s="468" t="s">
        <v>857</v>
      </c>
      <c r="F240" s="469" t="s">
        <v>857</v>
      </c>
      <c r="G240" s="470" t="s">
        <v>1348</v>
      </c>
      <c r="H240" s="468" t="s">
        <v>2441</v>
      </c>
      <c r="I240" s="468" t="s">
        <v>2442</v>
      </c>
      <c r="J240" s="470">
        <v>2020</v>
      </c>
    </row>
    <row r="241" spans="5:10" ht="230" customHeight="1">
      <c r="E241" s="468" t="s">
        <v>803</v>
      </c>
      <c r="F241" s="469" t="s">
        <v>803</v>
      </c>
      <c r="G241" s="470" t="s">
        <v>1386</v>
      </c>
      <c r="H241" s="469" t="s">
        <v>2496</v>
      </c>
      <c r="I241" s="469" t="s">
        <v>2420</v>
      </c>
      <c r="J241" s="470">
        <v>2023</v>
      </c>
    </row>
    <row r="242" spans="5:10" ht="230" customHeight="1">
      <c r="E242" s="468" t="s">
        <v>803</v>
      </c>
      <c r="F242" s="469" t="s">
        <v>803</v>
      </c>
      <c r="G242" s="470" t="s">
        <v>1387</v>
      </c>
      <c r="H242" s="468" t="s">
        <v>2497</v>
      </c>
      <c r="I242" s="468" t="s">
        <v>2421</v>
      </c>
      <c r="J242" s="470">
        <v>2023</v>
      </c>
    </row>
    <row r="243" spans="5:10" ht="230" customHeight="1">
      <c r="E243" s="468" t="s">
        <v>803</v>
      </c>
      <c r="F243" s="469" t="s">
        <v>803</v>
      </c>
      <c r="G243" s="470" t="s">
        <v>1388</v>
      </c>
      <c r="H243" s="468" t="s">
        <v>2411</v>
      </c>
      <c r="I243" s="468" t="s">
        <v>2412</v>
      </c>
      <c r="J243" s="470">
        <v>2023</v>
      </c>
    </row>
    <row r="244" spans="5:10" ht="230" customHeight="1">
      <c r="E244" s="468" t="s">
        <v>803</v>
      </c>
      <c r="F244" s="469" t="s">
        <v>803</v>
      </c>
      <c r="G244" s="470" t="s">
        <v>1389</v>
      </c>
      <c r="H244" s="468" t="s">
        <v>2498</v>
      </c>
      <c r="I244" s="468" t="s">
        <v>968</v>
      </c>
      <c r="J244" s="470">
        <v>2023</v>
      </c>
    </row>
    <row r="245" spans="5:10" ht="230" customHeight="1">
      <c r="E245" s="468" t="s">
        <v>803</v>
      </c>
      <c r="F245" s="469" t="s">
        <v>803</v>
      </c>
      <c r="G245" s="470" t="s">
        <v>1390</v>
      </c>
      <c r="H245" s="468" t="s">
        <v>2413</v>
      </c>
      <c r="I245" s="468" t="s">
        <v>2414</v>
      </c>
      <c r="J245" s="470">
        <v>2023</v>
      </c>
    </row>
    <row r="246" spans="5:10" ht="230" customHeight="1">
      <c r="E246" s="468" t="s">
        <v>803</v>
      </c>
      <c r="F246" s="469" t="s">
        <v>803</v>
      </c>
      <c r="G246" s="470" t="s">
        <v>1391</v>
      </c>
      <c r="H246" s="468" t="s">
        <v>2415</v>
      </c>
      <c r="I246" s="468" t="s">
        <v>2416</v>
      </c>
      <c r="J246" s="470">
        <v>2023</v>
      </c>
    </row>
    <row r="247" spans="5:10" ht="230" customHeight="1">
      <c r="E247" s="468" t="s">
        <v>803</v>
      </c>
      <c r="F247" s="469" t="s">
        <v>803</v>
      </c>
      <c r="G247" s="470" t="s">
        <v>1392</v>
      </c>
      <c r="H247" s="468" t="s">
        <v>2417</v>
      </c>
      <c r="I247" s="468" t="s">
        <v>2418</v>
      </c>
      <c r="J247" s="470">
        <v>2023</v>
      </c>
    </row>
    <row r="248" spans="5:10" ht="230" customHeight="1">
      <c r="E248" s="468" t="s">
        <v>803</v>
      </c>
      <c r="F248" s="469" t="s">
        <v>803</v>
      </c>
      <c r="G248" s="470" t="s">
        <v>1393</v>
      </c>
      <c r="H248" s="469" t="s">
        <v>2499</v>
      </c>
      <c r="I248" s="469" t="s">
        <v>2432</v>
      </c>
      <c r="J248" s="470">
        <v>2023</v>
      </c>
    </row>
    <row r="249" spans="5:10" ht="230" customHeight="1">
      <c r="E249" s="468" t="s">
        <v>803</v>
      </c>
      <c r="F249" s="469" t="s">
        <v>803</v>
      </c>
      <c r="G249" s="470" t="s">
        <v>1394</v>
      </c>
      <c r="H249" s="468" t="s">
        <v>2500</v>
      </c>
      <c r="I249" s="468" t="s">
        <v>2434</v>
      </c>
      <c r="J249" s="470">
        <v>2023</v>
      </c>
    </row>
    <row r="250" spans="5:10" ht="230" customHeight="1">
      <c r="E250" s="468" t="s">
        <v>803</v>
      </c>
      <c r="F250" s="469" t="s">
        <v>803</v>
      </c>
      <c r="G250" s="470" t="s">
        <v>1395</v>
      </c>
      <c r="H250" s="468" t="s">
        <v>2501</v>
      </c>
      <c r="I250" s="468" t="s">
        <v>2436</v>
      </c>
      <c r="J250" s="470">
        <v>2023</v>
      </c>
    </row>
    <row r="251" spans="5:10" ht="230" customHeight="1">
      <c r="E251" s="468" t="s">
        <v>857</v>
      </c>
      <c r="F251" s="469" t="s">
        <v>857</v>
      </c>
      <c r="G251" s="470" t="s">
        <v>1349</v>
      </c>
      <c r="H251" s="468" t="s">
        <v>972</v>
      </c>
      <c r="I251" s="468"/>
      <c r="J251" s="470">
        <v>2020</v>
      </c>
    </row>
    <row r="252" spans="5:10" ht="230" customHeight="1">
      <c r="E252" s="468" t="s">
        <v>803</v>
      </c>
      <c r="F252" s="469" t="s">
        <v>803</v>
      </c>
      <c r="G252" s="478" t="s">
        <v>1396</v>
      </c>
      <c r="H252" s="468" t="s">
        <v>2502</v>
      </c>
      <c r="I252" s="468" t="s">
        <v>2430</v>
      </c>
      <c r="J252" s="472">
        <v>2023</v>
      </c>
    </row>
    <row r="253" spans="5:10" ht="230" customHeight="1">
      <c r="E253" s="468" t="s">
        <v>803</v>
      </c>
      <c r="F253" s="469" t="s">
        <v>803</v>
      </c>
      <c r="G253" s="470" t="s">
        <v>1397</v>
      </c>
      <c r="H253" s="468" t="s">
        <v>2503</v>
      </c>
      <c r="I253" s="477" t="s">
        <v>2426</v>
      </c>
      <c r="J253" s="472">
        <v>2023</v>
      </c>
    </row>
    <row r="254" spans="5:10" ht="230" customHeight="1">
      <c r="E254" s="468" t="s">
        <v>803</v>
      </c>
      <c r="F254" s="469" t="s">
        <v>803</v>
      </c>
      <c r="G254" s="470" t="s">
        <v>1398</v>
      </c>
      <c r="H254" s="468" t="s">
        <v>2504</v>
      </c>
      <c r="I254" s="477" t="s">
        <v>2428</v>
      </c>
      <c r="J254" s="470">
        <v>2023</v>
      </c>
    </row>
    <row r="255" spans="5:10" ht="230" customHeight="1">
      <c r="E255" s="468" t="s">
        <v>915</v>
      </c>
      <c r="F255" s="469" t="s">
        <v>915</v>
      </c>
      <c r="G255" s="470" t="s">
        <v>1399</v>
      </c>
      <c r="H255" s="468"/>
      <c r="I255" s="468"/>
      <c r="J255" s="470">
        <v>2022</v>
      </c>
    </row>
    <row r="256" spans="5:10" ht="230" customHeight="1">
      <c r="E256" s="468" t="s">
        <v>895</v>
      </c>
      <c r="F256" s="469" t="s">
        <v>895</v>
      </c>
      <c r="G256" s="470" t="s">
        <v>1400</v>
      </c>
      <c r="H256" s="468" t="s">
        <v>911</v>
      </c>
      <c r="I256" s="468"/>
      <c r="J256" s="470">
        <v>2021</v>
      </c>
    </row>
    <row r="257" spans="5:10" ht="230" customHeight="1">
      <c r="E257" s="468" t="s">
        <v>895</v>
      </c>
      <c r="F257" s="469" t="s">
        <v>895</v>
      </c>
      <c r="G257" s="470" t="s">
        <v>1401</v>
      </c>
      <c r="H257" s="468" t="s">
        <v>910</v>
      </c>
      <c r="I257" s="468"/>
      <c r="J257" s="470">
        <v>2021</v>
      </c>
    </row>
    <row r="258" spans="5:10" ht="230" customHeight="1">
      <c r="E258" s="468" t="s">
        <v>895</v>
      </c>
      <c r="F258" s="469" t="s">
        <v>895</v>
      </c>
      <c r="G258" s="470" t="s">
        <v>1402</v>
      </c>
      <c r="H258" s="468" t="s">
        <v>909</v>
      </c>
      <c r="I258" s="468"/>
      <c r="J258" s="470">
        <v>2021</v>
      </c>
    </row>
    <row r="259" spans="5:10" ht="230" customHeight="1">
      <c r="E259" s="468" t="s">
        <v>895</v>
      </c>
      <c r="F259" s="469" t="s">
        <v>895</v>
      </c>
      <c r="G259" s="470" t="s">
        <v>1403</v>
      </c>
      <c r="H259" s="468" t="s">
        <v>904</v>
      </c>
      <c r="I259" s="468"/>
      <c r="J259" s="470">
        <v>2021</v>
      </c>
    </row>
    <row r="260" spans="5:10" ht="230" customHeight="1">
      <c r="E260" s="468" t="s">
        <v>895</v>
      </c>
      <c r="F260" s="469" t="s">
        <v>895</v>
      </c>
      <c r="G260" s="470" t="s">
        <v>1404</v>
      </c>
      <c r="H260" s="468" t="s">
        <v>902</v>
      </c>
      <c r="I260" s="468"/>
      <c r="J260" s="470">
        <v>2021</v>
      </c>
    </row>
    <row r="261" spans="5:10" ht="230" customHeight="1">
      <c r="E261" s="468" t="s">
        <v>895</v>
      </c>
      <c r="F261" s="469" t="s">
        <v>895</v>
      </c>
      <c r="G261" s="470" t="s">
        <v>1405</v>
      </c>
      <c r="H261" s="468" t="s">
        <v>900</v>
      </c>
      <c r="I261" s="468"/>
      <c r="J261" s="470">
        <v>2021</v>
      </c>
    </row>
    <row r="262" spans="5:10" ht="230" customHeight="1">
      <c r="E262" s="468" t="s">
        <v>895</v>
      </c>
      <c r="F262" s="469" t="s">
        <v>895</v>
      </c>
      <c r="G262" s="470" t="s">
        <v>1406</v>
      </c>
      <c r="H262" s="468" t="s">
        <v>896</v>
      </c>
      <c r="I262" s="468"/>
      <c r="J262" s="470">
        <v>2021</v>
      </c>
    </row>
    <row r="263" spans="5:10" ht="230" customHeight="1">
      <c r="E263" s="468" t="s">
        <v>891</v>
      </c>
      <c r="F263" s="469" t="s">
        <v>891</v>
      </c>
      <c r="G263" s="470" t="s">
        <v>1407</v>
      </c>
      <c r="H263" s="468"/>
      <c r="I263" s="468"/>
      <c r="J263" s="470">
        <v>2023</v>
      </c>
    </row>
    <row r="264" spans="5:10" ht="230" customHeight="1">
      <c r="E264" s="468" t="s">
        <v>794</v>
      </c>
      <c r="F264" s="469" t="s">
        <v>794</v>
      </c>
      <c r="G264" s="478" t="s">
        <v>1408</v>
      </c>
      <c r="H264" s="468" t="s">
        <v>2455</v>
      </c>
      <c r="I264" s="468" t="s">
        <v>2456</v>
      </c>
      <c r="J264" s="470">
        <v>2021</v>
      </c>
    </row>
    <row r="265" spans="5:10" ht="230" customHeight="1">
      <c r="E265" s="468" t="s">
        <v>794</v>
      </c>
      <c r="F265" s="469" t="s">
        <v>794</v>
      </c>
      <c r="G265" s="470" t="s">
        <v>1409</v>
      </c>
      <c r="H265" s="468" t="s">
        <v>890</v>
      </c>
      <c r="I265" s="468"/>
      <c r="J265" s="470">
        <v>2021</v>
      </c>
    </row>
    <row r="266" spans="5:10" ht="230" customHeight="1">
      <c r="E266" s="468" t="s">
        <v>857</v>
      </c>
      <c r="F266" s="469" t="s">
        <v>857</v>
      </c>
      <c r="G266" s="470" t="s">
        <v>1350</v>
      </c>
      <c r="H266" s="468" t="s">
        <v>970</v>
      </c>
      <c r="I266" s="482" t="s">
        <v>2446</v>
      </c>
      <c r="J266" s="470">
        <v>2020</v>
      </c>
    </row>
    <row r="267" spans="5:10" ht="230" customHeight="1">
      <c r="E267" s="468" t="s">
        <v>857</v>
      </c>
      <c r="F267" s="469" t="s">
        <v>857</v>
      </c>
      <c r="G267" s="470" t="s">
        <v>1351</v>
      </c>
      <c r="H267" s="468" t="s">
        <v>2493</v>
      </c>
      <c r="I267" s="468" t="s">
        <v>2446</v>
      </c>
      <c r="J267" s="470">
        <v>2020</v>
      </c>
    </row>
    <row r="268" spans="5:10" ht="230" customHeight="1">
      <c r="E268" s="468" t="s">
        <v>857</v>
      </c>
      <c r="F268" s="469" t="s">
        <v>857</v>
      </c>
      <c r="G268" s="470" t="s">
        <v>1352</v>
      </c>
      <c r="H268" s="468" t="s">
        <v>2494</v>
      </c>
      <c r="I268" s="468" t="s">
        <v>2448</v>
      </c>
      <c r="J268" s="470">
        <v>2020</v>
      </c>
    </row>
    <row r="269" spans="5:10" ht="230" customHeight="1">
      <c r="E269" s="468" t="s">
        <v>389</v>
      </c>
      <c r="F269" s="469" t="s">
        <v>389</v>
      </c>
      <c r="G269" s="470" t="s">
        <v>1411</v>
      </c>
      <c r="H269" s="468" t="s">
        <v>1412</v>
      </c>
      <c r="I269" s="468"/>
      <c r="J269" s="470">
        <v>2022</v>
      </c>
    </row>
    <row r="270" spans="5:10" ht="230" customHeight="1">
      <c r="E270" s="468" t="s">
        <v>1437</v>
      </c>
      <c r="F270" s="469" t="s">
        <v>1437</v>
      </c>
      <c r="G270" s="472" t="s">
        <v>1438</v>
      </c>
      <c r="H270" s="468" t="s">
        <v>2480</v>
      </c>
      <c r="I270" s="468" t="s">
        <v>2482</v>
      </c>
      <c r="J270" s="472">
        <v>2021</v>
      </c>
    </row>
    <row r="271" spans="5:10" ht="230" customHeight="1">
      <c r="E271" s="468" t="s">
        <v>1437</v>
      </c>
      <c r="F271" s="469" t="s">
        <v>1437</v>
      </c>
      <c r="G271" s="470" t="s">
        <v>1439</v>
      </c>
      <c r="H271" s="468" t="s">
        <v>2481</v>
      </c>
      <c r="I271" s="468" t="s">
        <v>2483</v>
      </c>
      <c r="J271" s="470">
        <v>2021</v>
      </c>
    </row>
    <row r="272" spans="5:10" ht="230" customHeight="1">
      <c r="E272" s="468" t="s">
        <v>1437</v>
      </c>
      <c r="F272" s="469" t="s">
        <v>1437</v>
      </c>
      <c r="G272" s="470" t="s">
        <v>1440</v>
      </c>
      <c r="H272" s="479" t="s">
        <v>2505</v>
      </c>
      <c r="I272" s="479"/>
      <c r="J272" s="470">
        <v>2021</v>
      </c>
    </row>
    <row r="273" spans="5:10" ht="230" customHeight="1">
      <c r="E273" s="468" t="s">
        <v>1437</v>
      </c>
      <c r="F273" s="469" t="s">
        <v>1437</v>
      </c>
      <c r="G273" s="470" t="s">
        <v>1441</v>
      </c>
      <c r="H273" s="468" t="s">
        <v>2470</v>
      </c>
      <c r="I273" s="468" t="s">
        <v>2471</v>
      </c>
      <c r="J273" s="470">
        <v>2021</v>
      </c>
    </row>
    <row r="274" spans="5:10" ht="230" customHeight="1">
      <c r="E274" s="468" t="s">
        <v>1437</v>
      </c>
      <c r="F274" s="469" t="s">
        <v>1437</v>
      </c>
      <c r="G274" s="470" t="s">
        <v>1445</v>
      </c>
      <c r="H274" s="468" t="s">
        <v>2472</v>
      </c>
      <c r="I274" s="468" t="s">
        <v>2474</v>
      </c>
      <c r="J274" s="470">
        <v>2021</v>
      </c>
    </row>
    <row r="275" spans="5:10" ht="230" customHeight="1">
      <c r="E275" s="468" t="s">
        <v>1437</v>
      </c>
      <c r="F275" s="469" t="s">
        <v>1437</v>
      </c>
      <c r="G275" s="470" t="s">
        <v>1448</v>
      </c>
      <c r="H275" s="468" t="s">
        <v>2473</v>
      </c>
      <c r="I275" s="468" t="s">
        <v>2475</v>
      </c>
      <c r="J275" s="470">
        <v>2021</v>
      </c>
    </row>
    <row r="276" spans="5:10" ht="230" customHeight="1">
      <c r="E276" s="468" t="s">
        <v>1437</v>
      </c>
      <c r="F276" s="469" t="s">
        <v>1437</v>
      </c>
      <c r="G276" s="470" t="s">
        <v>1450</v>
      </c>
      <c r="H276" s="468" t="s">
        <v>2476</v>
      </c>
      <c r="I276" s="468" t="s">
        <v>2477</v>
      </c>
      <c r="J276" s="470">
        <v>2021</v>
      </c>
    </row>
    <row r="277" spans="5:10" ht="230" customHeight="1">
      <c r="E277" s="468" t="s">
        <v>1437</v>
      </c>
      <c r="F277" s="469" t="s">
        <v>1437</v>
      </c>
      <c r="G277" s="470" t="s">
        <v>1453</v>
      </c>
      <c r="H277" s="468" t="s">
        <v>2478</v>
      </c>
      <c r="I277" s="468" t="s">
        <v>2479</v>
      </c>
      <c r="J277" s="470">
        <v>2021</v>
      </c>
    </row>
    <row r="278" spans="5:10" ht="230" customHeight="1">
      <c r="E278" s="468" t="s">
        <v>1437</v>
      </c>
      <c r="F278" s="469" t="s">
        <v>1437</v>
      </c>
      <c r="G278" s="470" t="s">
        <v>1457</v>
      </c>
      <c r="H278" s="479" t="s">
        <v>1458</v>
      </c>
      <c r="I278" s="479"/>
      <c r="J278" s="470">
        <v>2021</v>
      </c>
    </row>
    <row r="279" spans="5:10" ht="230" customHeight="1">
      <c r="E279" s="468" t="s">
        <v>794</v>
      </c>
      <c r="F279" s="469" t="s">
        <v>794</v>
      </c>
      <c r="G279" s="470" t="s">
        <v>1461</v>
      </c>
      <c r="H279" s="468" t="s">
        <v>2506</v>
      </c>
      <c r="I279" s="468"/>
      <c r="J279" s="470">
        <v>2021</v>
      </c>
    </row>
    <row r="280" spans="5:10" ht="230" customHeight="1">
      <c r="E280" s="468" t="s">
        <v>389</v>
      </c>
      <c r="F280" s="469" t="s">
        <v>389</v>
      </c>
      <c r="G280" s="470" t="s">
        <v>1414</v>
      </c>
      <c r="H280" s="468" t="s">
        <v>1415</v>
      </c>
      <c r="I280" s="468"/>
      <c r="J280" s="470">
        <v>2022</v>
      </c>
    </row>
    <row r="281" spans="5:10" ht="230" customHeight="1">
      <c r="E281" s="468" t="s">
        <v>794</v>
      </c>
      <c r="F281" s="469" t="s">
        <v>794</v>
      </c>
      <c r="G281" s="470" t="s">
        <v>1462</v>
      </c>
      <c r="H281" s="468" t="s">
        <v>1463</v>
      </c>
      <c r="I281" s="468" t="s">
        <v>2484</v>
      </c>
      <c r="J281" s="470">
        <v>2021</v>
      </c>
    </row>
    <row r="282" spans="5:10" ht="230" customHeight="1">
      <c r="E282" s="468" t="s">
        <v>857</v>
      </c>
      <c r="F282" s="469" t="s">
        <v>857</v>
      </c>
      <c r="G282" s="478" t="s">
        <v>1466</v>
      </c>
      <c r="H282" s="468" t="s">
        <v>2507</v>
      </c>
      <c r="I282" s="468"/>
      <c r="J282" s="470">
        <v>2020</v>
      </c>
    </row>
    <row r="283" spans="5:10" ht="230" customHeight="1">
      <c r="E283" s="471" t="s">
        <v>1467</v>
      </c>
      <c r="F283" s="469" t="s">
        <v>1467</v>
      </c>
      <c r="G283" s="470" t="s">
        <v>1468</v>
      </c>
      <c r="H283" s="468" t="s">
        <v>1469</v>
      </c>
      <c r="I283" s="468"/>
      <c r="J283" s="472">
        <v>2022</v>
      </c>
    </row>
    <row r="284" spans="5:10" ht="230" customHeight="1">
      <c r="E284" s="468" t="s">
        <v>389</v>
      </c>
      <c r="F284" s="469" t="s">
        <v>389</v>
      </c>
      <c r="G284" s="470" t="s">
        <v>1470</v>
      </c>
      <c r="H284" s="468" t="s">
        <v>2508</v>
      </c>
      <c r="I284" s="477"/>
      <c r="J284" s="470">
        <v>2022</v>
      </c>
    </row>
    <row r="285" spans="5:10" ht="230" customHeight="1">
      <c r="E285" s="468" t="s">
        <v>389</v>
      </c>
      <c r="F285" s="469" t="s">
        <v>389</v>
      </c>
      <c r="G285" s="470" t="s">
        <v>1471</v>
      </c>
      <c r="H285" s="468" t="s">
        <v>2509</v>
      </c>
      <c r="I285" s="477"/>
      <c r="J285" s="470">
        <v>2022</v>
      </c>
    </row>
    <row r="286" spans="5:10" ht="230" customHeight="1">
      <c r="E286" s="468" t="s">
        <v>1472</v>
      </c>
      <c r="F286" s="469" t="s">
        <v>1472</v>
      </c>
      <c r="G286" s="470" t="s">
        <v>1473</v>
      </c>
      <c r="H286" s="469" t="s">
        <v>2468</v>
      </c>
      <c r="I286" s="469" t="s">
        <v>2469</v>
      </c>
      <c r="J286" s="470">
        <v>2022</v>
      </c>
    </row>
    <row r="287" spans="5:10" ht="230" customHeight="1">
      <c r="E287" s="468" t="s">
        <v>389</v>
      </c>
      <c r="F287" s="469" t="s">
        <v>389</v>
      </c>
      <c r="G287" s="478" t="s">
        <v>1416</v>
      </c>
      <c r="H287" s="468" t="s">
        <v>1417</v>
      </c>
      <c r="I287" s="468"/>
      <c r="J287" s="470">
        <v>2022</v>
      </c>
    </row>
    <row r="288" spans="5:10" ht="230" customHeight="1">
      <c r="E288" s="471" t="s">
        <v>1420</v>
      </c>
      <c r="F288" s="469" t="s">
        <v>1420</v>
      </c>
      <c r="G288" s="470" t="s">
        <v>1421</v>
      </c>
      <c r="H288" s="468" t="s">
        <v>2459</v>
      </c>
      <c r="I288" s="468" t="s">
        <v>2460</v>
      </c>
      <c r="J288" s="472">
        <v>2020</v>
      </c>
    </row>
    <row r="289" spans="5:10" ht="230" customHeight="1">
      <c r="E289" s="471" t="s">
        <v>1423</v>
      </c>
      <c r="F289" s="469" t="s">
        <v>1423</v>
      </c>
      <c r="G289" s="470" t="s">
        <v>1424</v>
      </c>
      <c r="H289" s="468" t="s">
        <v>1425</v>
      </c>
      <c r="I289" s="468" t="s">
        <v>2465</v>
      </c>
      <c r="J289" s="472">
        <v>2008</v>
      </c>
    </row>
    <row r="290" spans="5:10" ht="230" customHeight="1">
      <c r="E290" s="468" t="s">
        <v>1427</v>
      </c>
      <c r="F290" s="469" t="s">
        <v>1427</v>
      </c>
      <c r="G290" s="470" t="s">
        <v>1429</v>
      </c>
      <c r="H290" s="468" t="s">
        <v>2461</v>
      </c>
      <c r="I290" s="468" t="s">
        <v>2462</v>
      </c>
      <c r="J290" s="470">
        <v>2022</v>
      </c>
    </row>
    <row r="291" spans="5:10" ht="230" customHeight="1">
      <c r="E291" s="468" t="s">
        <v>794</v>
      </c>
      <c r="F291" s="469" t="s">
        <v>794</v>
      </c>
      <c r="G291" s="470" t="s">
        <v>1430</v>
      </c>
      <c r="H291" s="468" t="s">
        <v>1431</v>
      </c>
      <c r="I291" s="468"/>
      <c r="J291" s="470">
        <v>2021</v>
      </c>
    </row>
    <row r="292" spans="5:10" ht="230" customHeight="1">
      <c r="E292" s="468" t="s">
        <v>1433</v>
      </c>
      <c r="F292" s="469" t="s">
        <v>1433</v>
      </c>
      <c r="G292" s="470" t="s">
        <v>1434</v>
      </c>
      <c r="H292" s="468" t="s">
        <v>2463</v>
      </c>
      <c r="I292" s="468" t="s">
        <v>2464</v>
      </c>
      <c r="J292" s="470">
        <v>2022</v>
      </c>
    </row>
    <row r="293" spans="5:10" ht="230" customHeight="1">
      <c r="E293" s="468" t="s">
        <v>1435</v>
      </c>
      <c r="F293" s="469" t="s">
        <v>1435</v>
      </c>
      <c r="G293" s="470" t="s">
        <v>1436</v>
      </c>
      <c r="H293" s="468" t="s">
        <v>2466</v>
      </c>
      <c r="I293" s="468" t="s">
        <v>2467</v>
      </c>
      <c r="J293" s="470">
        <v>2022</v>
      </c>
    </row>
    <row r="294" spans="5:10" ht="230" customHeight="1">
      <c r="E294" s="468" t="s">
        <v>436</v>
      </c>
      <c r="F294" s="469" t="s">
        <v>436</v>
      </c>
      <c r="G294" s="472"/>
      <c r="H294" s="468"/>
      <c r="I294" s="468"/>
      <c r="J294" s="470">
        <v>2022</v>
      </c>
    </row>
    <row r="295" spans="5:10" ht="230" customHeight="1">
      <c r="E295" s="468" t="s">
        <v>586</v>
      </c>
      <c r="F295" s="469" t="s">
        <v>586</v>
      </c>
      <c r="G295" s="472"/>
      <c r="H295" s="468"/>
      <c r="I295" s="468"/>
      <c r="J295" s="472">
        <v>2023</v>
      </c>
    </row>
    <row r="296" spans="5:10" ht="230" customHeight="1">
      <c r="E296" s="468" t="s">
        <v>436</v>
      </c>
      <c r="F296" s="469" t="s">
        <v>436</v>
      </c>
      <c r="G296" s="470"/>
      <c r="H296" s="468"/>
      <c r="I296" s="468"/>
      <c r="J296" s="470">
        <v>2022</v>
      </c>
    </row>
    <row r="297" spans="5:10" ht="230" customHeight="1">
      <c r="E297" s="468" t="s">
        <v>425</v>
      </c>
      <c r="F297" s="469" t="s">
        <v>425</v>
      </c>
      <c r="G297" s="472"/>
      <c r="H297" s="468"/>
      <c r="I297" s="468"/>
      <c r="J297" s="472">
        <v>2023</v>
      </c>
    </row>
    <row r="298" spans="5:10" ht="230" customHeight="1">
      <c r="E298" s="468" t="s">
        <v>423</v>
      </c>
      <c r="F298" s="469" t="s">
        <v>423</v>
      </c>
      <c r="G298" s="472"/>
      <c r="H298" s="468"/>
      <c r="I298" s="468"/>
      <c r="J298" s="472">
        <v>2023</v>
      </c>
    </row>
  </sheetData>
  <sortState xmlns:xlrd2="http://schemas.microsoft.com/office/spreadsheetml/2017/richdata2" ref="E2:J298">
    <sortCondition ref="G2:G298"/>
  </sortState>
  <hyperlinks>
    <hyperlink ref="E4" r:id="rId1" xr:uid="{CAA56131-26EE-8E4F-BB58-A4CE7AE1C81F}"/>
    <hyperlink ref="E16" r:id="rId2" xr:uid="{1180AF1A-59A4-B242-8E8E-9E55288F00E7}"/>
    <hyperlink ref="E15" r:id="rId3" xr:uid="{BA6F8E0C-CC83-664D-A367-49859D2921AF}"/>
    <hyperlink ref="E47" r:id="rId4" xr:uid="{A276816E-5114-0B47-B7BD-66F77849D1C4}"/>
    <hyperlink ref="E53" r:id="rId5" location="d1e854-13-1" display="setting CO2 emission performance standards for new passenger cars and for new light commercial vehicles, and repealing Regulations (EC) No 443/2009 and (EU) No 510/2011" xr:uid="{6187C84F-4EF3-3B40-B908-00B259F279A5}"/>
    <hyperlink ref="E48" r:id="rId6" xr:uid="{E11BE96D-22F5-E240-978C-8D89A5382834}"/>
    <hyperlink ref="E10" r:id="rId7" xr:uid="{1F63A3BD-93FB-1544-B627-D2F83D81A812}"/>
    <hyperlink ref="E296" r:id="rId8" display="2022/869 on guidelines for trans-European energy infrastructure, amending Regulations (EC) No 715/2009, (EU) 2019/942 and (EU) 2019/943 and Directives 2009/73/EC and (EU) 2019/944, and repealing Regulation (EU) No 347/2013" xr:uid="{324C3357-A9F9-F84A-9A4B-B8CEFE3EEF60}"/>
    <hyperlink ref="E107" r:id="rId9" xr:uid="{7DB45F96-A819-AC49-A07B-3BFFC475DA15}"/>
    <hyperlink ref="E108" r:id="rId10" xr:uid="{9265C192-BD26-E14C-94B6-DF13679E15A9}"/>
    <hyperlink ref="E63" r:id="rId11" xr:uid="{62C73EDB-EFAB-CD4E-BE64-07C7E7C895D1}"/>
    <hyperlink ref="E66" r:id="rId12" xr:uid="{84E456DC-F465-C543-8CF6-BDD9B9C7690F}"/>
    <hyperlink ref="E78" r:id="rId13" xr:uid="{2725842D-C492-1248-A043-A64CCE668532}"/>
    <hyperlink ref="E91" r:id="rId14" xr:uid="{09D672BC-B4B4-FD4B-9651-543A4D5E342A}"/>
    <hyperlink ref="E94" r:id="rId15" display="on waste electrical and electronic equipment (WEEE) (recast) (amended by Directive in 2018)" xr:uid="{C3DB9C39-14DA-704D-A30C-6A2B80C3B299}"/>
    <hyperlink ref="E158" r:id="rId16" xr:uid="{1CC771AC-0E9A-6040-AEC5-F157228EAF17}"/>
    <hyperlink ref="E162" r:id="rId17" xr:uid="{C0D360A9-D5B1-F742-9A07-9FA7B2E05523}"/>
    <hyperlink ref="E155" r:id="rId18" display="on Union guidelines for the development of the trans-European transport network and repealing Decision No 661/2010/EU" xr:uid="{64716183-4265-A94C-AF5A-861541B624F9}"/>
    <hyperlink ref="E139" r:id="rId19" xr:uid="{8C977D67-5150-1945-8665-61EEB970D729}"/>
    <hyperlink ref="E140" r:id="rId20" xr:uid="{277457BE-0CE0-404C-A9DF-9A57196F27FB}"/>
    <hyperlink ref="E147" r:id="rId21" display="on Union guidelines for the development of the trans-European transport network and repealing Decision No 661/2010/EU" xr:uid="{98A51799-E760-C046-9FD3-57C99BB9041E}"/>
    <hyperlink ref="E154" r:id="rId22" display="on type-approval of motor vehicles and engines and of systems, components and separate technical units intended for such vehicles, with respect to their emissions and battery durability (Euro 7) and repealing Regulations (EC) No 715/2007 and (EC) No 595/2" xr:uid="{11199E36-0B92-674C-B5D0-B08DE201EA46}"/>
    <hyperlink ref="E149" r:id="rId23" xr:uid="{CAC63A50-FD17-0F46-B82D-FA4FB1490579}"/>
    <hyperlink ref="E148" r:id="rId24" xr:uid="{B438987C-1816-3F46-A66E-C27F9E963774}"/>
    <hyperlink ref="E207" r:id="rId25" xr:uid="{F288AA31-FF43-1148-B85F-904964BA5A83}"/>
    <hyperlink ref="E259" r:id="rId26" xr:uid="{FB72F822-79FC-F14E-9EB4-99E9943DCB2B}"/>
    <hyperlink ref="E290" r:id="rId27" xr:uid="{6B05E2E5-6B52-2548-BBD7-3C2385745960}"/>
    <hyperlink ref="E281" r:id="rId28" xr:uid="{2FB2DB35-F262-D041-AB2F-F7AE1A528A47}"/>
    <hyperlink ref="E293" r:id="rId29" xr:uid="{133E64F9-F1F7-F247-88E7-6A5FA208995F}"/>
    <hyperlink ref="E292" r:id="rId30" xr:uid="{1E88367A-9C00-064D-8129-9938D887CFAF}"/>
    <hyperlink ref="E163" r:id="rId31" xr:uid="{129D767A-1ED1-E44F-9646-E0CE5F1DABA5}"/>
    <hyperlink ref="E227" r:id="rId32" xr:uid="{AB8E1552-6809-A142-86AC-15BFA929964C}"/>
    <hyperlink ref="E224" r:id="rId33" xr:uid="{9F740617-B19A-604D-925E-1CB2B234606B}"/>
    <hyperlink ref="E220" r:id="rId34" xr:uid="{634D0388-0AC6-504F-89C0-B52BE6CEFCAF}"/>
    <hyperlink ref="E170" r:id="rId35" xr:uid="{E081F50A-C11A-FC45-B1FB-CF859EDD3F15}"/>
    <hyperlink ref="E40" r:id="rId36" display="On the Energy Performance of Buildings" xr:uid="{D847944A-E9BB-DF47-BC77-2CB217CD2DF2}"/>
    <hyperlink ref="E7" r:id="rId37" display="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xr:uid="{62CBA7FF-8F4B-934F-BF7C-C7729F3A835E}"/>
    <hyperlink ref="E59" r:id="rId38" xr:uid="{17DA8267-7B20-7549-B685-F32AA53A9360}"/>
    <hyperlink ref="E169" r:id="rId39" xr:uid="{9D63997B-4C74-C34A-B53C-02EA9F5DD64B}"/>
    <hyperlink ref="E256" r:id="rId40" xr:uid="{52BDFE59-DC88-504E-A6B1-C1C330A54BAB}"/>
    <hyperlink ref="E225" r:id="rId41" xr:uid="{C073779A-0581-8C4E-98FF-52A8FEC8B931}"/>
    <hyperlink ref="E127" r:id="rId42" xr:uid="{2177988A-45A2-274E-816E-98EB2F95B1FD}"/>
    <hyperlink ref="E19" r:id="rId43" xr:uid="{DCF10C38-038E-8944-9C81-CEFEB6FE44D9}"/>
    <hyperlink ref="E112" r:id="rId44" xr:uid="{5EDE2F0C-8B13-304C-9E7E-F1BE9FFFB011}"/>
    <hyperlink ref="E223" r:id="rId45" xr:uid="{253A9647-80CB-B545-8C44-CC00DAD86246}"/>
    <hyperlink ref="E62" r:id="rId46" xr:uid="{D363099F-A819-E246-AE1B-3ADE30CEB227}"/>
    <hyperlink ref="E109" r:id="rId47" xr:uid="{1CB82387-744F-3E4E-ADE6-5920106BCFEB}"/>
    <hyperlink ref="E222" r:id="rId48" xr:uid="{AB4E888E-43FB-1541-8CF0-196EE5313A29}"/>
    <hyperlink ref="H114" r:id="rId49" display="GHG intensity reduction target in the sector (see Agreement Council - Parliament on 23.03.2023): -2% from 1 January 2025; -6% from 1 January 2030; -14.5% from 1 January 2035; -31% from 1 January 2040; -62% from 1 January 2045; -80% from 1 January 2050)" xr:uid="{F04D4BA9-FFBB-5541-B4A7-1361EB0E0B89}"/>
    <hyperlink ref="H157" r:id="rId50" display="Starting from 2025, at least 2% of aviation fuels will be green, with this share increasing every five years: 6% in 2030, 20% in 2035, 34% in 2040, 42% in 2045 and 70% in 2050. Hydrogen and fuel produced from cooking oil or waste gases considered green (link agreement Council - Parliament on 25.04.2023)" xr:uid="{1F26B2A5-0F32-444C-B911-253C8E7F0686}"/>
    <hyperlink ref="E6" r:id="rId51" xr:uid="{A95D4E5A-8A3B-CE4D-A4DF-E94C4971DB0F}"/>
    <hyperlink ref="H32" r:id="rId52" xr:uid="{5BF86DC0-02ED-F54B-BDF6-83D8BDA02CA0}"/>
    <hyperlink ref="H33" r:id="rId53" display="Member States shall ensure that the total final energy consumption of all public bodies combined is reduced by at least 1,9 % each year, when compared to 2021 (art. 5.1 Directive)" xr:uid="{E0BA5BE8-FF45-7B4F-A38A-35DB1A5FFC18}"/>
    <hyperlink ref="E122" r:id="rId54" xr:uid="{AC56BB9F-533E-4E41-9D91-2085E0213281}"/>
    <hyperlink ref="E199" r:id="rId55" xr:uid="{347892AA-A25D-EB4E-986A-B0A026D9FBD8}"/>
    <hyperlink ref="E217" r:id="rId56" xr:uid="{7FB3BD71-2128-3C49-959C-36DF9BF06E27}"/>
    <hyperlink ref="E228" r:id="rId57" xr:uid="{D347097B-0BE0-3B40-B5CD-FE9A4E66F0B7}"/>
    <hyperlink ref="E231" r:id="rId58" xr:uid="{6E636827-F3D7-FD4D-B860-B5158C4BCEB5}"/>
    <hyperlink ref="E230" r:id="rId59" display="https://food.ec.europa.eu/system/files/2023-07/prm_leg_future_reg_prm.pdf" xr:uid="{AF82E3DB-A037-1B4C-BD7D-2A866C0C3056}"/>
    <hyperlink ref="E263" r:id="rId60" xr:uid="{E1CDBBF1-0F57-FF47-A86A-52EFF99946A7}"/>
    <hyperlink ref="E75" r:id="rId61" xr:uid="{08AE1805-A7AE-E440-9445-BC64D937F3A9}"/>
    <hyperlink ref="E219" r:id="rId62" xr:uid="{42AE7AB8-2F15-A043-A8FB-09608D915F84}"/>
    <hyperlink ref="E32" r:id="rId63" xr:uid="{2BCBD0A1-A3DF-6A45-BDF2-CB757C4DFF42}"/>
    <hyperlink ref="E13" r:id="rId64" xr:uid="{5E900182-879C-6343-9AF4-06E361F0079C}"/>
    <hyperlink ref="E37" r:id="rId65" xr:uid="{0C93EE65-BB0A-0041-A958-867A7C52052F}"/>
    <hyperlink ref="E115" r:id="rId66" xr:uid="{9672A517-B618-F540-BEB0-9914354780EE}"/>
    <hyperlink ref="E270" r:id="rId67" xr:uid="{357AE13D-80B4-4E40-94C2-714C0AC572F1}"/>
    <hyperlink ref="E221" r:id="rId68" xr:uid="{A14ED026-DBF4-0243-AD6F-565A70CEBC6D}"/>
    <hyperlink ref="E226" r:id="rId69" xr:uid="{9082B745-6CB5-9A49-99CE-2409C258B05C}"/>
    <hyperlink ref="E8" r:id="rId70" display="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xr:uid="{40ADE8CC-3541-8C41-B97D-76602FF04DA8}"/>
    <hyperlink ref="E9" r:id="rId71" display="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xr:uid="{F5BF0EAC-46CC-C24A-818C-A5D680CBA0BF}"/>
    <hyperlink ref="E30" r:id="rId72" xr:uid="{065A8238-5C9E-1548-A324-ED549865F93D}"/>
    <hyperlink ref="E33" r:id="rId73" xr:uid="{946BAF5B-A852-3649-801E-82B561102274}"/>
    <hyperlink ref="E34" r:id="rId74" xr:uid="{B09E05F3-8B8B-FC4F-9A62-DDFA85F177C0}"/>
    <hyperlink ref="E35" r:id="rId75" xr:uid="{5848E00C-4AA4-704A-A1C9-AB3541833950}"/>
    <hyperlink ref="E36" r:id="rId76" xr:uid="{66FD2F7B-E1FA-BA4B-A8A1-FBF8CC25BE6A}"/>
    <hyperlink ref="E255" r:id="rId77" xr:uid="{1289A6AB-EEE9-6541-9A5E-6E0E84C2C2D8}"/>
    <hyperlink ref="E260" r:id="rId78" xr:uid="{11DB0D80-E7E3-BF4A-BF96-6AD6AC8B00E4}"/>
    <hyperlink ref="E261" r:id="rId79" xr:uid="{57C92A2B-C290-944E-B034-E883D1B8413E}"/>
    <hyperlink ref="E262" r:id="rId80" xr:uid="{6A7889F8-9DF3-FE4C-89EC-DF09C6C61D27}"/>
    <hyperlink ref="E257" r:id="rId81" xr:uid="{4BB02A85-41E9-AF4D-AE00-B28B311B1D94}"/>
    <hyperlink ref="E258" r:id="rId82" xr:uid="{14123397-AFC5-1F47-8C53-6C0ADB4923FE}"/>
    <hyperlink ref="E264" r:id="rId83" xr:uid="{CB801A2D-E5AC-BC4E-B1AE-33EB0B87C785}"/>
    <hyperlink ref="E291" r:id="rId84" xr:uid="{E159C9ED-4100-954D-B742-1D87228B0446}"/>
    <hyperlink ref="E282" r:id="rId85" xr:uid="{F7CD96EF-DC13-994C-8F16-398644FC5432}"/>
    <hyperlink ref="E41" r:id="rId86" display="On the Energy Performance of Buildings" xr:uid="{FCF412AB-EC66-1A4C-BBFD-7E95E6DBC867}"/>
    <hyperlink ref="E43" r:id="rId87" display="On the Energy Performance of Buildings" xr:uid="{C61064CC-B836-DE4F-9DD8-1D49BCAD7946}"/>
    <hyperlink ref="E44" r:id="rId88" display="On the Energy Performance of Buildings" xr:uid="{84209DE2-D12A-814A-910C-4EBD7E999EE9}"/>
    <hyperlink ref="E45" r:id="rId89" display="On the Energy Performance of Buildings" xr:uid="{BCBCDA92-C0F4-4446-97AA-D3AEC6CF80D4}"/>
    <hyperlink ref="E46" r:id="rId90" display="On the Energy Performance of Buildings" xr:uid="{D7445762-92C0-4E45-BA0A-799C25616DC4}"/>
    <hyperlink ref="E164" r:id="rId91" xr:uid="{83F01352-19BB-FD41-9DC7-FD4B933FD149}"/>
    <hyperlink ref="E165" r:id="rId92" xr:uid="{274F115B-EEA0-6E4C-9678-DB724DB08B6F}"/>
    <hyperlink ref="E265" r:id="rId93" xr:uid="{B58787C2-A2BD-9C44-9F02-2E0F46DB6F01}"/>
    <hyperlink ref="E58" r:id="rId94" xr:uid="{E3DC89CD-C9D8-294C-B50C-12FC51F057CB}"/>
    <hyperlink ref="E38" r:id="rId95" xr:uid="{B39A7F28-A205-C641-9CAC-E0D93F33C9A8}"/>
    <hyperlink ref="E98" r:id="rId96" xr:uid="{B2C2237F-B756-3E4F-A801-793CD41358D1}"/>
    <hyperlink ref="E118" r:id="rId97" location="d1e854-13-1" xr:uid="{88BA2273-756E-0A46-A73D-B7A43E8B67E4}"/>
    <hyperlink ref="E125" r:id="rId98" xr:uid="{5A5CE1BD-A55B-E44D-A92B-A73D9E6CCF2C}"/>
    <hyperlink ref="E297" r:id="rId99" xr:uid="{6952A597-CCE1-5E4B-B3DB-590F1F101A5A}"/>
    <hyperlink ref="E298" r:id="rId100" xr:uid="{A60EDB8C-14A3-D049-B806-60B024443D12}"/>
    <hyperlink ref="E167" r:id="rId101" xr:uid="{FE3BF185-B61D-7A42-A420-6C4F874F04A0}"/>
    <hyperlink ref="E21" r:id="rId102" xr:uid="{C874A26A-93C3-0945-91EA-6D5DC5B82C73}"/>
    <hyperlink ref="E22" r:id="rId103" xr:uid="{3CFE6B3F-A6CC-EE48-A8A2-4FBE5D499C3C}"/>
    <hyperlink ref="E42" r:id="rId104" xr:uid="{D7951E51-92FD-3740-B998-319EC18E4862}"/>
    <hyperlink ref="E23" r:id="rId105" xr:uid="{2EE07B03-71D7-0F44-A38B-E0A4A1B20EA8}"/>
    <hyperlink ref="E24" r:id="rId106" xr:uid="{E7BC3A48-87CF-314C-88F0-53CCAD3C43C1}"/>
    <hyperlink ref="E25" r:id="rId107" xr:uid="{D22026D6-4F16-7E41-AEE1-C36C2F050E50}"/>
    <hyperlink ref="E26" r:id="rId108" xr:uid="{98D8290C-BDF1-D547-87F7-38A6B488A5A6}"/>
    <hyperlink ref="E27" r:id="rId109" xr:uid="{FE0A57A6-BDCA-F94B-B679-F5C50E7D5175}"/>
    <hyperlink ref="E28" r:id="rId110" xr:uid="{E39A81F6-ADC7-4D46-92DA-CAF23478D1E2}"/>
    <hyperlink ref="E168" r:id="rId111" xr:uid="{6F202A70-AD81-F841-91EF-16FAC731504E}"/>
    <hyperlink ref="E29" r:id="rId112" xr:uid="{DAF46606-C3BD-3640-BCDE-3039855AC9D3}"/>
    <hyperlink ref="E18" r:id="rId113" xr:uid="{841AD9CE-07AC-4147-9F33-B633AAAAEDF9}"/>
    <hyperlink ref="E269" r:id="rId114" xr:uid="{48ADC1C2-90F6-6146-BA24-D550073C8D2F}"/>
    <hyperlink ref="E280" r:id="rId115" xr:uid="{8CC0CE24-3C9D-2048-B3B2-888CC67B7167}"/>
    <hyperlink ref="E287" r:id="rId116" xr:uid="{B3DC0A41-02D3-F644-97C1-39DAC50A39BE}"/>
    <hyperlink ref="E285" r:id="rId117" xr:uid="{58D87B9A-D6F9-4748-A6CF-4D29A148C384}"/>
    <hyperlink ref="E295" r:id="rId118" xr:uid="{98A9EE1D-1D27-B641-9E39-EAA62DC30CB2}"/>
    <hyperlink ref="E286" r:id="rId119" display="amending Directive 2000/60/EC establishing a framework for Community action in the field of water policy, Directive 2006/118/EC on the protection of groundwater against_x000a_pollution and deterioration and Directive 2008/105/EC on environmental quality standards in the field of water policy" xr:uid="{D4F7B5AF-37F3-114E-9DA1-B5C24A35FBB2}"/>
    <hyperlink ref="E113" r:id="rId120" display="Amending Council Directive 92/106/EEC as regards a support framework for intermodal transport of goods and Regulation (EU) 2020/1056 of the European Parliament and the Council as regards calculation of external costs savings and generation of aggregated data" xr:uid="{474FD41D-7B1D-6A4C-9299-9B81BB8C1E38}"/>
    <hyperlink ref="E294" r:id="rId121" display="2022/869 on guidelines for trans-European energy infrastructure, amending Regulations (EC) No 715/2009, (EU) 2019/942 and (EU) 2019/943 and Directives 2009/73/EC and (EU) 2019/944, and repealing Regulation (EU) No 347/2013" xr:uid="{149F22A0-3104-6844-A29B-FA111073B539}"/>
    <hyperlink ref="E119" r:id="rId122" location="d1e854-13-1" xr:uid="{0BED4662-01DA-594A-8841-FF1856035E79}"/>
    <hyperlink ref="E156" r:id="rId123" display="Amending Council Directive 92/106/EEC as regards a support framework for intermodal transport of goods and Regulation (EU) 2020/1056 of the European Parliament and the Council as regards calculation of external costs savings and generation of aggregated data" xr:uid="{7F0600AD-C242-BB43-B7D4-A44E98BB007B}"/>
    <hyperlink ref="E272" r:id="rId124" xr:uid="{31FAD476-68B6-1C4B-BAB7-DDA7B2EE9375}"/>
    <hyperlink ref="E273" r:id="rId125" xr:uid="{2C1130CF-2934-8D4F-A60E-B96B5108871A}"/>
    <hyperlink ref="E274" r:id="rId126" xr:uid="{0D8084C9-FBC8-CD41-9F0A-64EAFD3A82B6}"/>
    <hyperlink ref="E275" r:id="rId127" xr:uid="{4ABF6414-B500-2441-8530-666E72B58A18}"/>
    <hyperlink ref="E276" r:id="rId128" xr:uid="{51E3CB32-D6AF-A643-85C2-5DFBC5A9EB19}"/>
    <hyperlink ref="E277" r:id="rId129" xr:uid="{A4BF427F-B96D-294A-92CB-25358A9D4A14}"/>
    <hyperlink ref="E278" r:id="rId130" xr:uid="{11A76B44-C8C6-C940-A76F-32211369871A}"/>
    <hyperlink ref="E218" r:id="rId131" xr:uid="{254B9996-6403-9C4F-A55D-63139D88568F}"/>
    <hyperlink ref="E229" r:id="rId132" xr:uid="{8BE81638-F5DB-9549-8B0F-5212BC4C7384}"/>
    <hyperlink ref="E240" r:id="rId133" xr:uid="{B9B8FAB2-5B68-0447-B39F-FFD392C20F2E}"/>
    <hyperlink ref="E251" r:id="rId134" xr:uid="{A6855F2E-59C9-804A-A1BC-8C1DE37DE8D5}"/>
    <hyperlink ref="E266" r:id="rId135" xr:uid="{949462EC-87BC-A54F-930B-8E57D3D5F955}"/>
    <hyperlink ref="E267" r:id="rId136" xr:uid="{7985EE9A-16C0-274E-8455-35C8CCA043AF}"/>
    <hyperlink ref="E268" r:id="rId137" xr:uid="{44C888A7-55A1-194F-AA85-AC48616408BB}"/>
    <hyperlink ref="E208" r:id="rId138" xr:uid="{C118B0EE-679D-AE41-A494-D908F31C64A3}"/>
    <hyperlink ref="E209" r:id="rId139" xr:uid="{F6BDF9ED-41FB-8043-ABBF-751877F46EA6}"/>
    <hyperlink ref="E210" r:id="rId140" xr:uid="{D48A26B6-2230-1346-9F9E-C28DD26F884D}"/>
    <hyperlink ref="E211" r:id="rId141" xr:uid="{9F50385E-D6FF-6944-A5D8-2C40B1FED334}"/>
    <hyperlink ref="E212" r:id="rId142" xr:uid="{624F1960-BD12-ED4B-ADE9-EE198276132B}"/>
    <hyperlink ref="E213" r:id="rId143" xr:uid="{B7864565-32AB-194A-9BDA-4FEE9C017FE4}"/>
    <hyperlink ref="E214" r:id="rId144" xr:uid="{93F33A30-93D3-FC46-B3D0-8DAC5BF6E369}"/>
    <hyperlink ref="E215" r:id="rId145" xr:uid="{B55F25FA-F824-1243-A261-1F5025E772CE}"/>
    <hyperlink ref="E216" r:id="rId146" xr:uid="{B448B2EE-65C6-114B-9807-42A91A9D4A83}"/>
    <hyperlink ref="E254" r:id="rId147" location=":~:text=The%20proposal%20combines%20an%20overarching,for%20specific%20habitats%20and%20species." xr:uid="{1E4100D7-F805-7140-AC1B-7D692D7A2366}"/>
    <hyperlink ref="E76" r:id="rId148" xr:uid="{EE4F8350-0593-5A40-BB99-E9EE5246353D}"/>
    <hyperlink ref="E133" r:id="rId149" xr:uid="{ECF9F122-02A3-344E-8306-56D9FF64FE28}"/>
    <hyperlink ref="E114" r:id="rId150" xr:uid="{8200458C-6064-6241-B2C8-86B86A050BD6}"/>
    <hyperlink ref="E14" r:id="rId151" xr:uid="{49F2EE38-A30E-D14E-A674-C3138B57B0D4}"/>
    <hyperlink ref="E20" r:id="rId152" xr:uid="{9647D502-59D6-2A48-8C36-826FFC631E86}"/>
    <hyperlink ref="E11" r:id="rId153" xr:uid="{E2A059A6-1423-DF45-AA71-AFB8DD3D6D52}"/>
    <hyperlink ref="E134" r:id="rId154" xr:uid="{95665737-9DB8-3547-BD3A-4E6C380BD148}"/>
    <hyperlink ref="E135" r:id="rId155" xr:uid="{AD5F6BF1-C6BA-164A-9A40-AE4A4B11C62D}"/>
    <hyperlink ref="E136" r:id="rId156" xr:uid="{1D0DFECF-EEA8-C04B-9622-4EC132929AB1}"/>
    <hyperlink ref="E132" r:id="rId157" xr:uid="{D9455074-AA0D-CC41-97C3-8B553BA18044}"/>
    <hyperlink ref="E131" r:id="rId158" xr:uid="{23C63756-0479-F04E-83D4-BCD153BB8D25}"/>
    <hyperlink ref="E130" r:id="rId159" xr:uid="{38F4F481-AD77-034A-A864-E967DAA723AB}"/>
    <hyperlink ref="E129" r:id="rId160" xr:uid="{0D48DD99-5F24-8C41-BCBE-875547F9E450}"/>
    <hyperlink ref="E128" r:id="rId161" xr:uid="{2FD1A543-22CC-4C4A-BE87-35E2DCD58D44}"/>
    <hyperlink ref="E117" r:id="rId162" xr:uid="{478412BD-AF06-B34A-8093-52F075EDEEDD}"/>
    <hyperlink ref="E145" r:id="rId163" xr:uid="{B9531C5D-8458-F749-B64B-3831DFE5F581}"/>
    <hyperlink ref="E157" r:id="rId164" xr:uid="{9A8535DD-F699-514B-B81D-6A8C21B38149}"/>
    <hyperlink ref="E166" r:id="rId165" xr:uid="{1E79D684-D7C8-1141-AE1A-67FBF8385DA6}"/>
    <hyperlink ref="E116" r:id="rId166" xr:uid="{2AB2C0EF-E05D-B64D-9FE5-1B3302ADB820}"/>
    <hyperlink ref="E232" r:id="rId167" xr:uid="{771A4CB3-C310-D14F-92C6-738FB6745C1D}"/>
    <hyperlink ref="E245:E262" r:id="rId168" display="On Nature Restoration" xr:uid="{D050E48F-BB72-2A45-AF8F-AF78181C51FA}"/>
    <hyperlink ref="E123" r:id="rId169" xr:uid="{8921390C-6CF2-5C41-9358-EAB413FF68AE}"/>
    <hyperlink ref="E126" r:id="rId170" xr:uid="{C1011230-A0BB-D548-B50E-ED5A33FDA6BC}"/>
    <hyperlink ref="E17" r:id="rId171" xr:uid="{0339CB99-4B6A-0846-AD94-05470F3DA95B}"/>
    <hyperlink ref="E5" r:id="rId172" xr:uid="{D27579CF-FD12-CE43-9CD9-AF5D513257C8}"/>
    <hyperlink ref="E65" r:id="rId173" xr:uid="{17AC8954-A981-9D4F-BA8D-69333B61F81B}"/>
    <hyperlink ref="E111" r:id="rId174" xr:uid="{5E4A19EC-6550-E146-8502-8ADED8CF42A1}"/>
    <hyperlink ref="E288" r:id="rId175" xr:uid="{A4D10182-9E04-D945-9477-36379C2801AD}"/>
    <hyperlink ref="E12" r:id="rId176" xr:uid="{A461B753-F8A1-8240-AF8D-51AB2AF301F9}"/>
    <hyperlink ref="E3" r:id="rId177" display="On the Energy Performance of Buildings" xr:uid="{17703C8D-63F7-0943-AB77-AEF61C1C29B6}"/>
    <hyperlink ref="E284" r:id="rId178" xr:uid="{172913F4-FF10-5C48-8273-EC03D51DC231}"/>
    <hyperlink ref="E283" r:id="rId179" xr:uid="{BE431408-F2B1-BC46-92CF-B78E0700C03B}"/>
    <hyperlink ref="E289" r:id="rId180" xr:uid="{F0A87C37-1F2E-1748-B640-BC1DDEF0658A}"/>
    <hyperlink ref="E138" r:id="rId181" xr:uid="{90B2427A-EBA6-7A44-BFCF-71AC5C16FD3C}"/>
    <hyperlink ref="E137" r:id="rId182" xr:uid="{8926B450-D6D0-744D-B11E-7C50EAE9E264}"/>
    <hyperlink ref="E279" r:id="rId183" xr:uid="{22D2C0AD-5F75-C64D-BC11-F7776E2221FD}"/>
    <hyperlink ref="E271" r:id="rId184" xr:uid="{097FE67C-ABEC-6440-93CF-C497B12DBE26}"/>
  </hyperlinks>
  <pageMargins left="0.7" right="0.7" top="0.75" bottom="0.75" header="0.3" footer="0.3"/>
  <legacyDrawing r:id="rId18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ECD2-871E-AD4C-8614-6259EE4D8EBE}">
  <dimension ref="A1"/>
  <sheetViews>
    <sheetView workbookViewId="0"/>
  </sheetViews>
  <sheetFormatPr baseColWidth="10"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L119"/>
  <sheetViews>
    <sheetView topLeftCell="D1" workbookViewId="0">
      <selection activeCell="H28" sqref="H28"/>
    </sheetView>
  </sheetViews>
  <sheetFormatPr baseColWidth="10" defaultColWidth="8.83203125" defaultRowHeight="15"/>
  <cols>
    <col min="1" max="1" width="53.83203125" bestFit="1" customWidth="1"/>
    <col min="2" max="2" width="14.83203125" bestFit="1" customWidth="1"/>
    <col min="3" max="3" width="6.5" bestFit="1" customWidth="1"/>
    <col min="4" max="4" width="5.6640625" bestFit="1" customWidth="1"/>
    <col min="5" max="5" width="4.5" bestFit="1" customWidth="1"/>
    <col min="6" max="6" width="3.83203125" bestFit="1" customWidth="1"/>
    <col min="7" max="8" width="10" bestFit="1" customWidth="1"/>
    <col min="9" max="9" width="17" customWidth="1"/>
    <col min="10" max="10" width="16.5" customWidth="1"/>
    <col min="11" max="14" width="9.1640625" customWidth="1"/>
    <col min="25" max="30" width="9.1640625" customWidth="1"/>
    <col min="34" max="43" width="9.1640625" customWidth="1"/>
    <col min="52" max="52" width="51.33203125" bestFit="1" customWidth="1"/>
    <col min="53" max="53" width="14.83203125" bestFit="1" customWidth="1"/>
    <col min="54" max="54" width="10.5" bestFit="1" customWidth="1"/>
    <col min="55" max="55" width="8.1640625" bestFit="1" customWidth="1"/>
    <col min="56" max="56" width="2.1640625" bestFit="1" customWidth="1"/>
    <col min="57" max="57" width="10.6640625" bestFit="1" customWidth="1"/>
    <col min="58" max="58" width="7.33203125" bestFit="1" customWidth="1"/>
    <col min="59" max="59" width="9.83203125" bestFit="1" customWidth="1"/>
    <col min="60" max="60" width="6.1640625" bestFit="1" customWidth="1"/>
    <col min="61" max="61" width="8.6640625" bestFit="1" customWidth="1"/>
    <col min="62" max="62" width="5.5" bestFit="1" customWidth="1"/>
    <col min="63" max="63" width="8" bestFit="1" customWidth="1"/>
    <col min="64" max="64" width="10" bestFit="1" customWidth="1"/>
    <col min="65" max="66" width="3.1640625" bestFit="1" customWidth="1"/>
    <col min="67" max="67" width="11.5" bestFit="1" customWidth="1"/>
    <col min="68" max="68" width="8.1640625" bestFit="1" customWidth="1"/>
    <col min="69" max="69" width="3.1640625" bestFit="1" customWidth="1"/>
    <col min="70" max="70" width="2.1640625" bestFit="1" customWidth="1"/>
    <col min="71" max="71" width="10.6640625" bestFit="1" customWidth="1"/>
    <col min="72" max="72" width="6.33203125" bestFit="1" customWidth="1"/>
    <col min="73" max="73" width="2.1640625" bestFit="1" customWidth="1"/>
    <col min="74" max="74" width="3.1640625" bestFit="1" customWidth="1"/>
    <col min="75" max="75" width="8.83203125" bestFit="1" customWidth="1"/>
    <col min="76" max="76" width="10" bestFit="1" customWidth="1"/>
    <col min="77" max="77" width="7.33203125" customWidth="1"/>
    <col min="78" max="78" width="3" customWidth="1"/>
    <col min="79" max="79" width="8.5" customWidth="1"/>
    <col min="80" max="80" width="12.1640625" customWidth="1"/>
    <col min="81" max="81" width="11.33203125" customWidth="1"/>
    <col min="82" max="82" width="52.83203125" bestFit="1" customWidth="1"/>
    <col min="83" max="83" width="44" bestFit="1" customWidth="1"/>
    <col min="84" max="84" width="9.33203125" bestFit="1" customWidth="1"/>
    <col min="85" max="85" width="17.33203125" bestFit="1" customWidth="1"/>
    <col min="86" max="86" width="28.83203125" bestFit="1" customWidth="1"/>
    <col min="87" max="87" width="16.5" bestFit="1" customWidth="1"/>
    <col min="88" max="88" width="29.5" bestFit="1" customWidth="1"/>
    <col min="89" max="89" width="21.5" bestFit="1" customWidth="1"/>
    <col min="90" max="90" width="25.33203125" bestFit="1" customWidth="1"/>
    <col min="91" max="91" width="12.33203125" bestFit="1" customWidth="1"/>
    <col min="92" max="92" width="23" bestFit="1" customWidth="1"/>
    <col min="93" max="93" width="12.1640625" bestFit="1" customWidth="1"/>
    <col min="94" max="94" width="6.83203125" customWidth="1"/>
    <col min="95" max="95" width="17.83203125" bestFit="1" customWidth="1"/>
    <col min="96" max="96" width="7.83203125" customWidth="1"/>
    <col min="97" max="97" width="29.33203125" bestFit="1" customWidth="1"/>
    <col min="98" max="98" width="14.6640625" bestFit="1" customWidth="1"/>
    <col min="99" max="99" width="23.83203125" bestFit="1" customWidth="1"/>
    <col min="100" max="100" width="26.1640625" bestFit="1" customWidth="1"/>
    <col min="101" max="101" width="52.83203125" bestFit="1" customWidth="1"/>
    <col min="102" max="102" width="44" bestFit="1" customWidth="1"/>
    <col min="103" max="103" width="28.83203125" bestFit="1" customWidth="1"/>
    <col min="104" max="104" width="29.5" bestFit="1" customWidth="1"/>
    <col min="105" max="105" width="21.5" bestFit="1" customWidth="1"/>
    <col min="106" max="106" width="14.1640625" bestFit="1" customWidth="1"/>
    <col min="107" max="107" width="12.33203125" bestFit="1" customWidth="1"/>
    <col min="108" max="108" width="12.1640625" bestFit="1" customWidth="1"/>
    <col min="109" max="109" width="6.83203125" customWidth="1"/>
    <col min="110" max="110" width="15.1640625" bestFit="1" customWidth="1"/>
    <col min="111" max="111" width="12" bestFit="1" customWidth="1"/>
    <col min="112" max="112" width="18.1640625" bestFit="1" customWidth="1"/>
    <col min="113" max="113" width="33" bestFit="1" customWidth="1"/>
    <col min="114" max="114" width="37.6640625" bestFit="1" customWidth="1"/>
    <col min="115" max="115" width="22" bestFit="1" customWidth="1"/>
    <col min="116" max="116" width="52.1640625" bestFit="1" customWidth="1"/>
    <col min="117" max="117" width="25" bestFit="1" customWidth="1"/>
    <col min="118" max="118" width="7.5" customWidth="1"/>
    <col min="119" max="119" width="28.83203125" bestFit="1" customWidth="1"/>
    <col min="120" max="120" width="29.33203125" bestFit="1" customWidth="1"/>
    <col min="121" max="121" width="14.6640625" bestFit="1" customWidth="1"/>
    <col min="122" max="122" width="23.83203125" bestFit="1" customWidth="1"/>
    <col min="123" max="123" width="44" bestFit="1" customWidth="1"/>
    <col min="124" max="124" width="9.33203125" bestFit="1" customWidth="1"/>
    <col min="125" max="125" width="17.33203125" bestFit="1" customWidth="1"/>
    <col min="126" max="126" width="28.83203125" bestFit="1" customWidth="1"/>
    <col min="127" max="127" width="60" bestFit="1" customWidth="1"/>
    <col min="128" max="128" width="16.5" bestFit="1" customWidth="1"/>
    <col min="129" max="129" width="47.33203125" bestFit="1" customWidth="1"/>
    <col min="130" max="130" width="29.5" bestFit="1" customWidth="1"/>
    <col min="131" max="131" width="21.5" bestFit="1" customWidth="1"/>
    <col min="132" max="132" width="23" bestFit="1" customWidth="1"/>
    <col min="133" max="133" width="14.1640625" bestFit="1" customWidth="1"/>
    <col min="134" max="134" width="25.33203125" bestFit="1" customWidth="1"/>
    <col min="135" max="135" width="12.1640625" bestFit="1" customWidth="1"/>
    <col min="136" max="136" width="7.33203125" customWidth="1"/>
    <col min="137" max="137" width="12.1640625" bestFit="1" customWidth="1"/>
    <col min="138" max="138" width="11.33203125" bestFit="1" customWidth="1"/>
  </cols>
  <sheetData>
    <row r="1" spans="1:64" s="158" customFormat="1">
      <c r="A1" s="46" t="s">
        <v>252</v>
      </c>
      <c r="B1" t="s">
        <v>2489</v>
      </c>
      <c r="AI1"/>
      <c r="AJ1"/>
      <c r="AZ1"/>
      <c r="BA1"/>
    </row>
    <row r="2" spans="1:64">
      <c r="A2" s="46" t="s">
        <v>242</v>
      </c>
      <c r="B2" s="47">
        <v>1</v>
      </c>
      <c r="AI2" s="219"/>
      <c r="AJ2" s="220"/>
      <c r="AK2" s="220"/>
    </row>
    <row r="3" spans="1:64">
      <c r="J3" t="s">
        <v>1489</v>
      </c>
      <c r="Q3" t="s">
        <v>1489</v>
      </c>
      <c r="Z3">
        <v>70</v>
      </c>
      <c r="AM3" s="216"/>
      <c r="AZ3" s="46" t="s">
        <v>1490</v>
      </c>
      <c r="BA3" s="46" t="s">
        <v>1491</v>
      </c>
    </row>
    <row r="4" spans="1:64">
      <c r="A4" s="46" t="s">
        <v>1492</v>
      </c>
      <c r="B4" t="s">
        <v>1490</v>
      </c>
      <c r="C4" t="s">
        <v>1493</v>
      </c>
      <c r="D4" t="s">
        <v>1494</v>
      </c>
      <c r="J4" t="s">
        <v>1495</v>
      </c>
      <c r="K4" t="s">
        <v>1496</v>
      </c>
      <c r="L4" t="s">
        <v>1497</v>
      </c>
      <c r="M4" t="s">
        <v>1498</v>
      </c>
      <c r="Q4" t="s">
        <v>1495</v>
      </c>
      <c r="R4" t="s">
        <v>1496</v>
      </c>
      <c r="S4" t="s">
        <v>1497</v>
      </c>
      <c r="T4" t="s">
        <v>1498</v>
      </c>
      <c r="V4" s="167"/>
      <c r="Z4">
        <v>30</v>
      </c>
      <c r="AI4" s="47"/>
      <c r="AM4" s="216"/>
      <c r="AW4" s="167"/>
      <c r="AX4" s="167"/>
      <c r="AY4" s="167"/>
      <c r="BA4" t="s">
        <v>1499</v>
      </c>
      <c r="BB4" t="s">
        <v>1500</v>
      </c>
      <c r="BC4" t="s">
        <v>2127</v>
      </c>
      <c r="BE4" t="s">
        <v>2485</v>
      </c>
      <c r="BF4" t="s">
        <v>2130</v>
      </c>
      <c r="BG4" t="s">
        <v>2486</v>
      </c>
      <c r="BH4" t="s">
        <v>2132</v>
      </c>
      <c r="BI4" t="s">
        <v>2487</v>
      </c>
      <c r="BJ4" t="s">
        <v>2135</v>
      </c>
      <c r="BK4" t="s">
        <v>2488</v>
      </c>
      <c r="BL4" t="s">
        <v>1501</v>
      </c>
    </row>
    <row r="5" spans="1:64">
      <c r="A5" s="47" t="s">
        <v>1501</v>
      </c>
      <c r="B5" s="284"/>
      <c r="C5" s="284"/>
      <c r="D5" s="284"/>
      <c r="I5" t="s">
        <v>1502</v>
      </c>
      <c r="J5">
        <f>C5</f>
        <v>0</v>
      </c>
      <c r="K5">
        <f>D5</f>
        <v>0</v>
      </c>
      <c r="L5">
        <f>E5-D5-C5</f>
        <v>0</v>
      </c>
      <c r="M5">
        <f>B5-J5-K5-L5</f>
        <v>0</v>
      </c>
      <c r="N5">
        <f>SUM(J5:M5)</f>
        <v>0</v>
      </c>
      <c r="P5" t="s">
        <v>1502</v>
      </c>
      <c r="Q5" s="167" t="e">
        <f>#REF!/#REF!</f>
        <v>#REF!</v>
      </c>
      <c r="R5" s="167" t="e">
        <f>#REF!/#REF!</f>
        <v>#REF!</v>
      </c>
      <c r="S5" s="167" t="e">
        <f>#REF!/#REF!</f>
        <v>#REF!</v>
      </c>
      <c r="T5" s="167" t="e">
        <f>#REF!/#REF!</f>
        <v>#REF!</v>
      </c>
      <c r="U5" s="167" t="e">
        <f>#REF!/#REF!</f>
        <v>#REF!</v>
      </c>
      <c r="V5" s="167"/>
      <c r="AI5" s="47"/>
      <c r="AM5" s="216"/>
      <c r="AW5" s="167"/>
      <c r="AX5" s="167"/>
      <c r="AY5" s="167"/>
      <c r="AZ5" s="46" t="s">
        <v>1492</v>
      </c>
      <c r="BA5">
        <v>2</v>
      </c>
      <c r="BC5">
        <v>1</v>
      </c>
      <c r="BD5">
        <v>3</v>
      </c>
      <c r="BF5">
        <v>3</v>
      </c>
      <c r="BH5">
        <v>3</v>
      </c>
      <c r="BJ5">
        <v>3</v>
      </c>
    </row>
    <row r="6" spans="1:64">
      <c r="I6" t="s">
        <v>1503</v>
      </c>
      <c r="J6">
        <f t="shared" ref="J6:J11" si="0">C6</f>
        <v>0</v>
      </c>
      <c r="K6">
        <f t="shared" ref="K6:K11" si="1">D6</f>
        <v>0</v>
      </c>
      <c r="L6">
        <f t="shared" ref="L6:L11" si="2">E6-D6-C6</f>
        <v>0</v>
      </c>
      <c r="M6">
        <f t="shared" ref="M6:M11" si="3">B6-J6-K6-L6</f>
        <v>0</v>
      </c>
      <c r="N6">
        <f t="shared" ref="N6:N11" si="4">SUM(J6:M6)</f>
        <v>0</v>
      </c>
      <c r="P6" t="s">
        <v>1503</v>
      </c>
      <c r="Q6" s="167" t="e">
        <f>J5/$N5</f>
        <v>#DIV/0!</v>
      </c>
      <c r="R6" s="167" t="e">
        <f>K5/$N5</f>
        <v>#DIV/0!</v>
      </c>
      <c r="S6" s="167" t="e">
        <f>L5/$N5</f>
        <v>#DIV/0!</v>
      </c>
      <c r="T6" s="167" t="e">
        <f>M5/$N5</f>
        <v>#DIV/0!</v>
      </c>
      <c r="U6" s="167" t="e">
        <f>N5/$N5</f>
        <v>#DIV/0!</v>
      </c>
      <c r="V6" s="167"/>
      <c r="AI6" s="47"/>
      <c r="AM6" s="216"/>
      <c r="AW6" s="167"/>
      <c r="AX6" s="167"/>
      <c r="AY6" s="167"/>
      <c r="AZ6" s="47" t="s">
        <v>295</v>
      </c>
      <c r="BA6" s="284"/>
      <c r="BB6" s="284"/>
      <c r="BC6" s="284"/>
      <c r="BD6" s="284"/>
      <c r="BE6" s="284"/>
      <c r="BF6" s="284"/>
      <c r="BG6" s="284"/>
      <c r="BH6" s="284">
        <v>1</v>
      </c>
      <c r="BI6" s="284">
        <v>1</v>
      </c>
      <c r="BJ6" s="284"/>
      <c r="BK6" s="284"/>
      <c r="BL6" s="284">
        <v>1</v>
      </c>
    </row>
    <row r="7" spans="1:64">
      <c r="I7" t="s">
        <v>1504</v>
      </c>
      <c r="J7">
        <f t="shared" si="0"/>
        <v>0</v>
      </c>
      <c r="K7">
        <f t="shared" si="1"/>
        <v>0</v>
      </c>
      <c r="L7">
        <f t="shared" si="2"/>
        <v>0</v>
      </c>
      <c r="M7">
        <f t="shared" si="3"/>
        <v>0</v>
      </c>
      <c r="N7">
        <f t="shared" si="4"/>
        <v>0</v>
      </c>
      <c r="P7" t="s">
        <v>1504</v>
      </c>
      <c r="Q7" s="167" t="e">
        <f t="shared" ref="Q7:U12" si="5">J7/$N7</f>
        <v>#DIV/0!</v>
      </c>
      <c r="R7" s="167" t="e">
        <f t="shared" si="5"/>
        <v>#DIV/0!</v>
      </c>
      <c r="S7" s="167" t="e">
        <f t="shared" si="5"/>
        <v>#DIV/0!</v>
      </c>
      <c r="T7" s="167" t="e">
        <f t="shared" si="5"/>
        <v>#DIV/0!</v>
      </c>
      <c r="U7" s="167" t="e">
        <f t="shared" si="5"/>
        <v>#DIV/0!</v>
      </c>
      <c r="V7" s="167"/>
      <c r="AI7" s="47"/>
      <c r="AM7" s="216"/>
      <c r="AW7" s="167"/>
      <c r="AX7" s="167"/>
      <c r="AY7" s="167"/>
      <c r="AZ7" s="47" t="s">
        <v>403</v>
      </c>
      <c r="BA7" s="284">
        <v>1</v>
      </c>
      <c r="BB7" s="284">
        <v>1</v>
      </c>
      <c r="BC7" s="284"/>
      <c r="BD7" s="284"/>
      <c r="BE7" s="284"/>
      <c r="BF7" s="284"/>
      <c r="BG7" s="284"/>
      <c r="BH7" s="284"/>
      <c r="BI7" s="284"/>
      <c r="BJ7" s="284"/>
      <c r="BK7" s="284"/>
      <c r="BL7" s="284">
        <v>1</v>
      </c>
    </row>
    <row r="8" spans="1:64">
      <c r="I8" t="s">
        <v>1505</v>
      </c>
      <c r="J8">
        <f t="shared" si="0"/>
        <v>0</v>
      </c>
      <c r="K8">
        <f t="shared" si="1"/>
        <v>0</v>
      </c>
      <c r="L8">
        <f t="shared" si="2"/>
        <v>0</v>
      </c>
      <c r="M8">
        <f t="shared" si="3"/>
        <v>0</v>
      </c>
      <c r="N8">
        <f t="shared" si="4"/>
        <v>0</v>
      </c>
      <c r="P8" t="s">
        <v>1505</v>
      </c>
      <c r="Q8" s="167" t="e">
        <f t="shared" si="5"/>
        <v>#DIV/0!</v>
      </c>
      <c r="R8" s="167" t="e">
        <f t="shared" si="5"/>
        <v>#DIV/0!</v>
      </c>
      <c r="S8" s="167" t="e">
        <f t="shared" si="5"/>
        <v>#DIV/0!</v>
      </c>
      <c r="T8" s="167" t="e">
        <f t="shared" si="5"/>
        <v>#DIV/0!</v>
      </c>
      <c r="U8" s="167" t="e">
        <f t="shared" si="5"/>
        <v>#DIV/0!</v>
      </c>
      <c r="V8" s="167"/>
      <c r="AI8" s="47"/>
      <c r="AM8" s="216"/>
      <c r="AW8" s="167"/>
      <c r="AX8" s="167"/>
      <c r="AY8" s="167"/>
      <c r="AZ8" s="47" t="s">
        <v>598</v>
      </c>
      <c r="BA8" s="284"/>
      <c r="BB8" s="284"/>
      <c r="BC8" s="284"/>
      <c r="BD8" s="284">
        <v>1</v>
      </c>
      <c r="BE8" s="284">
        <v>1</v>
      </c>
      <c r="BF8" s="284"/>
      <c r="BG8" s="284"/>
      <c r="BH8" s="284">
        <v>1</v>
      </c>
      <c r="BI8" s="284">
        <v>1</v>
      </c>
      <c r="BJ8" s="284"/>
      <c r="BK8" s="284"/>
      <c r="BL8" s="284">
        <v>2</v>
      </c>
    </row>
    <row r="9" spans="1:64">
      <c r="I9" t="s">
        <v>1506</v>
      </c>
      <c r="J9">
        <f t="shared" si="0"/>
        <v>0</v>
      </c>
      <c r="K9">
        <f t="shared" si="1"/>
        <v>0</v>
      </c>
      <c r="L9">
        <f t="shared" si="2"/>
        <v>0</v>
      </c>
      <c r="M9">
        <f t="shared" si="3"/>
        <v>0</v>
      </c>
      <c r="N9">
        <f t="shared" si="4"/>
        <v>0</v>
      </c>
      <c r="P9" t="s">
        <v>1506</v>
      </c>
      <c r="Q9" s="167" t="e">
        <f t="shared" si="5"/>
        <v>#DIV/0!</v>
      </c>
      <c r="R9" s="167" t="e">
        <f t="shared" si="5"/>
        <v>#DIV/0!</v>
      </c>
      <c r="S9" s="167" t="e">
        <f t="shared" si="5"/>
        <v>#DIV/0!</v>
      </c>
      <c r="T9" s="167" t="e">
        <f t="shared" si="5"/>
        <v>#DIV/0!</v>
      </c>
      <c r="U9" s="167" t="e">
        <f t="shared" si="5"/>
        <v>#DIV/0!</v>
      </c>
      <c r="V9" s="167"/>
      <c r="AI9" s="47"/>
      <c r="AM9" s="216"/>
      <c r="AW9" s="167"/>
      <c r="AX9" s="167"/>
      <c r="AY9" s="167"/>
      <c r="AZ9" s="47" t="s">
        <v>1023</v>
      </c>
      <c r="BA9" s="284"/>
      <c r="BB9" s="284"/>
      <c r="BC9" s="284"/>
      <c r="BD9" s="284">
        <v>1</v>
      </c>
      <c r="BE9" s="284">
        <v>1</v>
      </c>
      <c r="BF9" s="284"/>
      <c r="BG9" s="284"/>
      <c r="BH9" s="284"/>
      <c r="BI9" s="284"/>
      <c r="BJ9" s="284"/>
      <c r="BK9" s="284"/>
      <c r="BL9" s="284">
        <v>1</v>
      </c>
    </row>
    <row r="10" spans="1:64">
      <c r="I10" t="s">
        <v>1507</v>
      </c>
      <c r="J10">
        <f t="shared" si="0"/>
        <v>0</v>
      </c>
      <c r="K10">
        <f t="shared" si="1"/>
        <v>0</v>
      </c>
      <c r="L10">
        <f t="shared" si="2"/>
        <v>0</v>
      </c>
      <c r="M10">
        <f t="shared" si="3"/>
        <v>0</v>
      </c>
      <c r="N10">
        <f t="shared" si="4"/>
        <v>0</v>
      </c>
      <c r="P10" t="s">
        <v>1507</v>
      </c>
      <c r="Q10" s="167" t="e">
        <f t="shared" si="5"/>
        <v>#DIV/0!</v>
      </c>
      <c r="R10" s="167" t="e">
        <f t="shared" si="5"/>
        <v>#DIV/0!</v>
      </c>
      <c r="S10" s="167" t="e">
        <f t="shared" si="5"/>
        <v>#DIV/0!</v>
      </c>
      <c r="T10" s="167" t="e">
        <f t="shared" si="5"/>
        <v>#DIV/0!</v>
      </c>
      <c r="U10" s="167" t="e">
        <f t="shared" si="5"/>
        <v>#DIV/0!</v>
      </c>
      <c r="V10" s="167"/>
      <c r="AI10" s="47"/>
      <c r="AM10" s="216"/>
      <c r="AW10" s="167"/>
      <c r="AX10" s="167"/>
      <c r="AY10" s="167"/>
      <c r="AZ10" s="47" t="s">
        <v>792</v>
      </c>
      <c r="BA10" s="284"/>
      <c r="BB10" s="284"/>
      <c r="BC10" s="284">
        <v>2</v>
      </c>
      <c r="BD10" s="284">
        <v>2</v>
      </c>
      <c r="BE10" s="284">
        <v>4</v>
      </c>
      <c r="BF10" s="284">
        <v>1</v>
      </c>
      <c r="BG10" s="284">
        <v>1</v>
      </c>
      <c r="BH10" s="284">
        <v>12</v>
      </c>
      <c r="BI10" s="284">
        <v>12</v>
      </c>
      <c r="BJ10" s="284">
        <v>6</v>
      </c>
      <c r="BK10" s="284">
        <v>6</v>
      </c>
      <c r="BL10" s="284">
        <v>23</v>
      </c>
    </row>
    <row r="11" spans="1:64">
      <c r="I11" t="s">
        <v>1508</v>
      </c>
      <c r="J11">
        <f t="shared" si="0"/>
        <v>0</v>
      </c>
      <c r="K11">
        <f t="shared" si="1"/>
        <v>0</v>
      </c>
      <c r="L11">
        <f t="shared" si="2"/>
        <v>0</v>
      </c>
      <c r="M11">
        <f t="shared" si="3"/>
        <v>0</v>
      </c>
      <c r="N11">
        <f t="shared" si="4"/>
        <v>0</v>
      </c>
      <c r="P11" t="s">
        <v>1508</v>
      </c>
      <c r="Q11" s="167" t="e">
        <f t="shared" si="5"/>
        <v>#DIV/0!</v>
      </c>
      <c r="R11" s="167" t="e">
        <f t="shared" si="5"/>
        <v>#DIV/0!</v>
      </c>
      <c r="S11" s="167" t="e">
        <f t="shared" si="5"/>
        <v>#DIV/0!</v>
      </c>
      <c r="T11" s="167" t="e">
        <f t="shared" si="5"/>
        <v>#DIV/0!</v>
      </c>
      <c r="U11" s="167" t="e">
        <f t="shared" si="5"/>
        <v>#DIV/0!</v>
      </c>
      <c r="AI11" s="47"/>
      <c r="AM11" s="216"/>
      <c r="AO11" s="167"/>
      <c r="AW11" s="167"/>
      <c r="AX11" s="167"/>
      <c r="AY11" s="167"/>
      <c r="AZ11" s="47" t="s">
        <v>1410</v>
      </c>
      <c r="BA11" s="284">
        <v>1</v>
      </c>
      <c r="BB11" s="284">
        <v>1</v>
      </c>
      <c r="BC11" s="284"/>
      <c r="BD11" s="284"/>
      <c r="BE11" s="284"/>
      <c r="BF11" s="284">
        <v>1</v>
      </c>
      <c r="BG11" s="284">
        <v>1</v>
      </c>
      <c r="BH11" s="284">
        <v>1</v>
      </c>
      <c r="BI11" s="284">
        <v>1</v>
      </c>
      <c r="BJ11" s="284"/>
      <c r="BK11" s="284"/>
      <c r="BL11" s="284">
        <v>3</v>
      </c>
    </row>
    <row r="12" spans="1:64">
      <c r="I12" s="167" t="s">
        <v>1481</v>
      </c>
      <c r="J12">
        <f>SUM(J5:J11)</f>
        <v>0</v>
      </c>
      <c r="K12">
        <f>SUM(K5:K11)</f>
        <v>0</v>
      </c>
      <c r="L12">
        <f>SUM(L5:L11)</f>
        <v>0</v>
      </c>
      <c r="M12">
        <f>SUM(M5:M11)</f>
        <v>0</v>
      </c>
      <c r="N12">
        <f>SUM(N5:N11)</f>
        <v>0</v>
      </c>
      <c r="P12" t="s">
        <v>1481</v>
      </c>
      <c r="Q12" s="167" t="e">
        <f t="shared" si="5"/>
        <v>#DIV/0!</v>
      </c>
      <c r="R12" s="167" t="e">
        <f t="shared" si="5"/>
        <v>#DIV/0!</v>
      </c>
      <c r="S12" s="167" t="e">
        <f t="shared" si="5"/>
        <v>#DIV/0!</v>
      </c>
      <c r="T12" s="167" t="e">
        <f t="shared" si="5"/>
        <v>#DIV/0!</v>
      </c>
      <c r="U12" s="167" t="e">
        <f t="shared" si="5"/>
        <v>#DIV/0!</v>
      </c>
      <c r="AO12" s="167"/>
      <c r="AW12" s="167"/>
      <c r="AX12" s="167"/>
      <c r="AY12" s="167"/>
      <c r="AZ12" s="47" t="s">
        <v>1501</v>
      </c>
      <c r="BA12" s="284">
        <v>2</v>
      </c>
      <c r="BB12" s="284">
        <v>2</v>
      </c>
      <c r="BC12" s="284">
        <v>2</v>
      </c>
      <c r="BD12" s="284">
        <v>4</v>
      </c>
      <c r="BE12" s="284">
        <v>6</v>
      </c>
      <c r="BF12" s="284">
        <v>2</v>
      </c>
      <c r="BG12" s="284">
        <v>2</v>
      </c>
      <c r="BH12" s="284">
        <v>15</v>
      </c>
      <c r="BI12" s="284">
        <v>15</v>
      </c>
      <c r="BJ12" s="284">
        <v>6</v>
      </c>
      <c r="BK12" s="284">
        <v>6</v>
      </c>
      <c r="BL12" s="284">
        <v>31</v>
      </c>
    </row>
    <row r="13" spans="1:64">
      <c r="I13" t="s">
        <v>1509</v>
      </c>
      <c r="L13">
        <f>SUM(J12:L12)</f>
        <v>0</v>
      </c>
    </row>
    <row r="15" spans="1:64">
      <c r="K15" s="17" t="s">
        <v>1510</v>
      </c>
      <c r="Q15" s="168">
        <f>H67</f>
        <v>0.23529411764705882</v>
      </c>
      <c r="R15" s="17" t="s">
        <v>1511</v>
      </c>
    </row>
    <row r="16" spans="1:64">
      <c r="A16" s="46" t="s">
        <v>1490</v>
      </c>
      <c r="B16" s="46" t="s">
        <v>1491</v>
      </c>
    </row>
    <row r="17" spans="1:7">
      <c r="A17" s="46" t="s">
        <v>1492</v>
      </c>
      <c r="B17" t="s">
        <v>1499</v>
      </c>
      <c r="C17" t="s">
        <v>2127</v>
      </c>
      <c r="D17" t="s">
        <v>2130</v>
      </c>
      <c r="E17" t="s">
        <v>2132</v>
      </c>
      <c r="F17" t="s">
        <v>2135</v>
      </c>
      <c r="G17" t="s">
        <v>1501</v>
      </c>
    </row>
    <row r="18" spans="1:7">
      <c r="A18" s="47" t="s">
        <v>295</v>
      </c>
      <c r="B18" s="284"/>
      <c r="C18" s="284"/>
      <c r="D18" s="284"/>
      <c r="E18" s="284">
        <v>1</v>
      </c>
      <c r="F18" s="284"/>
      <c r="G18" s="284">
        <v>1</v>
      </c>
    </row>
    <row r="19" spans="1:7">
      <c r="A19" s="157">
        <v>3</v>
      </c>
      <c r="B19" s="284"/>
      <c r="C19" s="284"/>
      <c r="D19" s="284"/>
      <c r="E19" s="284">
        <v>1</v>
      </c>
      <c r="F19" s="284"/>
      <c r="G19" s="284">
        <v>1</v>
      </c>
    </row>
    <row r="20" spans="1:7">
      <c r="A20" s="47" t="s">
        <v>403</v>
      </c>
      <c r="B20" s="284">
        <v>1</v>
      </c>
      <c r="C20" s="284"/>
      <c r="D20" s="284"/>
      <c r="E20" s="284"/>
      <c r="F20" s="284"/>
      <c r="G20" s="284">
        <v>1</v>
      </c>
    </row>
    <row r="21" spans="1:7">
      <c r="A21" s="157">
        <v>2</v>
      </c>
      <c r="B21" s="284">
        <v>1</v>
      </c>
      <c r="C21" s="284"/>
      <c r="D21" s="284"/>
      <c r="E21" s="284"/>
      <c r="F21" s="284"/>
      <c r="G21" s="284">
        <v>1</v>
      </c>
    </row>
    <row r="22" spans="1:7">
      <c r="A22" s="47" t="s">
        <v>598</v>
      </c>
      <c r="B22" s="284"/>
      <c r="C22" s="284">
        <v>1</v>
      </c>
      <c r="D22" s="284"/>
      <c r="E22" s="284">
        <v>1</v>
      </c>
      <c r="F22" s="284"/>
      <c r="G22" s="284">
        <v>2</v>
      </c>
    </row>
    <row r="23" spans="1:7">
      <c r="A23" s="157">
        <v>3</v>
      </c>
      <c r="B23" s="284"/>
      <c r="C23" s="284">
        <v>1</v>
      </c>
      <c r="D23" s="284"/>
      <c r="E23" s="284">
        <v>1</v>
      </c>
      <c r="F23" s="284"/>
      <c r="G23" s="284">
        <v>2</v>
      </c>
    </row>
    <row r="24" spans="1:7">
      <c r="A24" s="47" t="s">
        <v>1023</v>
      </c>
      <c r="B24" s="284"/>
      <c r="C24" s="284">
        <v>1</v>
      </c>
      <c r="D24" s="284"/>
      <c r="E24" s="284"/>
      <c r="F24" s="284"/>
      <c r="G24" s="284">
        <v>1</v>
      </c>
    </row>
    <row r="25" spans="1:7">
      <c r="A25" s="157">
        <v>3</v>
      </c>
      <c r="B25" s="284"/>
      <c r="C25" s="284">
        <v>1</v>
      </c>
      <c r="D25" s="284"/>
      <c r="E25" s="284"/>
      <c r="F25" s="284"/>
      <c r="G25" s="284">
        <v>1</v>
      </c>
    </row>
    <row r="26" spans="1:7">
      <c r="A26" s="47" t="s">
        <v>792</v>
      </c>
      <c r="B26" s="284"/>
      <c r="C26" s="284">
        <v>4</v>
      </c>
      <c r="D26" s="284">
        <v>1</v>
      </c>
      <c r="E26" s="284">
        <v>12</v>
      </c>
      <c r="F26" s="284">
        <v>6</v>
      </c>
      <c r="G26" s="284">
        <v>23</v>
      </c>
    </row>
    <row r="27" spans="1:7">
      <c r="A27" s="157">
        <v>1</v>
      </c>
      <c r="B27" s="284"/>
      <c r="C27" s="284">
        <v>2</v>
      </c>
      <c r="D27" s="284"/>
      <c r="E27" s="284"/>
      <c r="F27" s="284"/>
      <c r="G27" s="284">
        <v>2</v>
      </c>
    </row>
    <row r="28" spans="1:7">
      <c r="A28" s="157">
        <v>3</v>
      </c>
      <c r="B28" s="284"/>
      <c r="C28" s="284">
        <v>2</v>
      </c>
      <c r="D28" s="284">
        <v>1</v>
      </c>
      <c r="E28" s="284">
        <v>12</v>
      </c>
      <c r="F28" s="284">
        <v>6</v>
      </c>
      <c r="G28" s="284">
        <v>21</v>
      </c>
    </row>
    <row r="29" spans="1:7">
      <c r="A29" s="47" t="s">
        <v>1410</v>
      </c>
      <c r="B29" s="284">
        <v>1</v>
      </c>
      <c r="C29" s="284"/>
      <c r="D29" s="284">
        <v>1</v>
      </c>
      <c r="E29" s="284">
        <v>1</v>
      </c>
      <c r="F29" s="284"/>
      <c r="G29" s="284">
        <v>3</v>
      </c>
    </row>
    <row r="30" spans="1:7">
      <c r="A30" s="157">
        <v>2</v>
      </c>
      <c r="B30" s="284">
        <v>1</v>
      </c>
      <c r="C30" s="284"/>
      <c r="D30" s="284"/>
      <c r="E30" s="284"/>
      <c r="F30" s="284"/>
      <c r="G30" s="284">
        <v>1</v>
      </c>
    </row>
    <row r="31" spans="1:7">
      <c r="A31" s="157">
        <v>3</v>
      </c>
      <c r="B31" s="284"/>
      <c r="C31" s="284"/>
      <c r="D31" s="284">
        <v>1</v>
      </c>
      <c r="E31" s="284">
        <v>1</v>
      </c>
      <c r="F31" s="284"/>
      <c r="G31" s="284">
        <v>2</v>
      </c>
    </row>
    <row r="32" spans="1:7">
      <c r="A32" s="47" t="s">
        <v>1501</v>
      </c>
      <c r="B32" s="284">
        <v>2</v>
      </c>
      <c r="C32" s="284">
        <v>6</v>
      </c>
      <c r="D32" s="284">
        <v>2</v>
      </c>
      <c r="E32" s="284">
        <v>15</v>
      </c>
      <c r="F32" s="284">
        <v>6</v>
      </c>
      <c r="G32" s="284">
        <v>31</v>
      </c>
    </row>
    <row r="33" spans="11:23">
      <c r="K33" s="17" t="s">
        <v>1512</v>
      </c>
      <c r="W33" s="17" t="s">
        <v>1513</v>
      </c>
    </row>
    <row r="61" spans="1:8">
      <c r="A61" t="s">
        <v>1514</v>
      </c>
      <c r="B61" t="s">
        <v>861</v>
      </c>
      <c r="C61" t="s">
        <v>1515</v>
      </c>
      <c r="D61" t="s">
        <v>330</v>
      </c>
      <c r="E61" t="s">
        <v>394</v>
      </c>
      <c r="F61" t="s">
        <v>1516</v>
      </c>
      <c r="G61" s="17" t="s">
        <v>1517</v>
      </c>
      <c r="H61" s="169" t="s">
        <v>1518</v>
      </c>
    </row>
    <row r="62" spans="1:8">
      <c r="B62" s="28">
        <v>0</v>
      </c>
      <c r="C62" s="28">
        <v>1</v>
      </c>
      <c r="D62" s="28">
        <v>2</v>
      </c>
      <c r="E62" s="28">
        <v>3</v>
      </c>
    </row>
    <row r="63" spans="1:8">
      <c r="A63" t="s">
        <v>1519</v>
      </c>
      <c r="B63">
        <f>SUM(B22,B28,B34,B44,B49,B55)</f>
        <v>0</v>
      </c>
      <c r="C63">
        <f t="shared" ref="C63:F63" si="6">SUM(C22,C28,C34,C40,C49,C55)</f>
        <v>3</v>
      </c>
      <c r="D63">
        <f t="shared" si="6"/>
        <v>1</v>
      </c>
      <c r="E63">
        <f t="shared" si="6"/>
        <v>13</v>
      </c>
      <c r="F63">
        <f t="shared" si="6"/>
        <v>6</v>
      </c>
      <c r="G63">
        <f>SUM(B63:E63)</f>
        <v>17</v>
      </c>
      <c r="H63" s="167">
        <f>G63/SUM(B63:F63)</f>
        <v>0.73913043478260865</v>
      </c>
    </row>
    <row r="64" spans="1:8">
      <c r="A64" t="s">
        <v>1520</v>
      </c>
      <c r="B64">
        <f>SUM(B21,B27,B33,B39,B48,B54)</f>
        <v>1</v>
      </c>
      <c r="C64">
        <f t="shared" ref="C64:F64" si="7">SUM(C21,C27,C33,C39,C48,C54)</f>
        <v>2</v>
      </c>
      <c r="D64">
        <f t="shared" si="7"/>
        <v>0</v>
      </c>
      <c r="E64">
        <f t="shared" si="7"/>
        <v>0</v>
      </c>
      <c r="F64">
        <f t="shared" si="7"/>
        <v>0</v>
      </c>
      <c r="G64">
        <f>SUM(B64:E64)</f>
        <v>3</v>
      </c>
      <c r="H64" s="167">
        <f>G64/SUM(B64:F64)</f>
        <v>1</v>
      </c>
    </row>
    <row r="65" spans="1:8">
      <c r="A65" t="s">
        <v>1521</v>
      </c>
      <c r="B65">
        <f>SUM(B20,B26,B32,B38,B44,B47,B53)</f>
        <v>3</v>
      </c>
      <c r="C65">
        <f t="shared" ref="C65:F65" si="8">SUM(C20,C26,C32,C38,C44,C47,C53)</f>
        <v>10</v>
      </c>
      <c r="D65">
        <f t="shared" si="8"/>
        <v>3</v>
      </c>
      <c r="E65">
        <f t="shared" si="8"/>
        <v>27</v>
      </c>
      <c r="F65">
        <f t="shared" si="8"/>
        <v>12</v>
      </c>
      <c r="G65">
        <f>SUM(B65:E65)</f>
        <v>43</v>
      </c>
      <c r="H65" s="167">
        <f>G65/SUM(B65:F65)</f>
        <v>0.78181818181818186</v>
      </c>
    </row>
    <row r="66" spans="1:8">
      <c r="A66" t="s">
        <v>1522</v>
      </c>
      <c r="B66">
        <f>SUM(B19,B25,B31,B37,B43,B46,B52)</f>
        <v>0</v>
      </c>
      <c r="C66">
        <f t="shared" ref="C66:F66" si="9">SUM(C19,C25,C31,C37,C43,C46,C52)</f>
        <v>1</v>
      </c>
      <c r="D66">
        <f t="shared" si="9"/>
        <v>1</v>
      </c>
      <c r="E66">
        <f t="shared" si="9"/>
        <v>2</v>
      </c>
      <c r="F66">
        <f t="shared" si="9"/>
        <v>0</v>
      </c>
      <c r="G66">
        <f>SUM(B66:E66)</f>
        <v>4</v>
      </c>
      <c r="H66" s="167">
        <f>G66/SUM(B66:F66)</f>
        <v>1</v>
      </c>
    </row>
    <row r="67" spans="1:8">
      <c r="A67" t="s">
        <v>1476</v>
      </c>
      <c r="B67">
        <f>SUM(B63:B66)</f>
        <v>4</v>
      </c>
      <c r="C67">
        <f t="shared" ref="C67:F67" si="10">SUM(C63:C66)</f>
        <v>16</v>
      </c>
      <c r="D67">
        <f t="shared" si="10"/>
        <v>5</v>
      </c>
      <c r="E67">
        <f t="shared" si="10"/>
        <v>42</v>
      </c>
      <c r="F67">
        <f t="shared" si="10"/>
        <v>18</v>
      </c>
      <c r="G67">
        <f t="shared" ref="G67" si="11">SUM(G63:G64)</f>
        <v>20</v>
      </c>
      <c r="H67" s="167">
        <f t="shared" ref="H67" si="12">G67/SUM(B67:F67)</f>
        <v>0.23529411764705882</v>
      </c>
    </row>
    <row r="75" spans="1:8">
      <c r="B75" t="s">
        <v>861</v>
      </c>
      <c r="C75" t="s">
        <v>1515</v>
      </c>
      <c r="D75" t="s">
        <v>330</v>
      </c>
      <c r="E75" t="s">
        <v>394</v>
      </c>
      <c r="F75" t="s">
        <v>1516</v>
      </c>
      <c r="G75" s="17" t="s">
        <v>1517</v>
      </c>
      <c r="H75" s="169" t="s">
        <v>1518</v>
      </c>
    </row>
    <row r="76" spans="1:8">
      <c r="A76" s="47" t="s">
        <v>1523</v>
      </c>
      <c r="B76" s="28">
        <v>0</v>
      </c>
      <c r="C76" s="28">
        <v>1</v>
      </c>
      <c r="D76" s="28">
        <v>2</v>
      </c>
      <c r="E76" s="28">
        <v>3</v>
      </c>
    </row>
    <row r="77" spans="1:8">
      <c r="A77" s="47" t="s">
        <v>1524</v>
      </c>
      <c r="B77">
        <f>B18</f>
        <v>0</v>
      </c>
      <c r="C77">
        <f t="shared" ref="B77:F83" si="13">C18</f>
        <v>0</v>
      </c>
      <c r="D77">
        <f t="shared" si="13"/>
        <v>0</v>
      </c>
      <c r="E77">
        <f t="shared" si="13"/>
        <v>1</v>
      </c>
      <c r="F77">
        <f t="shared" si="13"/>
        <v>0</v>
      </c>
      <c r="G77">
        <f>SUM(B77:E77)</f>
        <v>1</v>
      </c>
      <c r="H77" s="167">
        <f t="shared" ref="H77:H83" si="14">G77/G18</f>
        <v>1</v>
      </c>
    </row>
    <row r="78" spans="1:8">
      <c r="A78" t="s">
        <v>1525</v>
      </c>
      <c r="B78">
        <f t="shared" si="13"/>
        <v>0</v>
      </c>
      <c r="C78">
        <f t="shared" si="13"/>
        <v>0</v>
      </c>
      <c r="D78">
        <f t="shared" si="13"/>
        <v>0</v>
      </c>
      <c r="E78">
        <f t="shared" si="13"/>
        <v>1</v>
      </c>
      <c r="F78">
        <f t="shared" si="13"/>
        <v>0</v>
      </c>
      <c r="G78">
        <f t="shared" ref="G78:G83" si="15">SUM(B78:E78)</f>
        <v>1</v>
      </c>
      <c r="H78" s="167">
        <f t="shared" si="14"/>
        <v>1</v>
      </c>
    </row>
    <row r="79" spans="1:8">
      <c r="A79" t="s">
        <v>1526</v>
      </c>
      <c r="B79">
        <f t="shared" si="13"/>
        <v>1</v>
      </c>
      <c r="C79">
        <f t="shared" si="13"/>
        <v>0</v>
      </c>
      <c r="D79">
        <f t="shared" si="13"/>
        <v>0</v>
      </c>
      <c r="E79">
        <f t="shared" si="13"/>
        <v>0</v>
      </c>
      <c r="F79">
        <f t="shared" si="13"/>
        <v>0</v>
      </c>
      <c r="G79">
        <f t="shared" si="15"/>
        <v>1</v>
      </c>
      <c r="H79" s="167">
        <f t="shared" si="14"/>
        <v>1</v>
      </c>
    </row>
    <row r="80" spans="1:8">
      <c r="A80" t="s">
        <v>1527</v>
      </c>
      <c r="B80">
        <f t="shared" si="13"/>
        <v>1</v>
      </c>
      <c r="C80">
        <f t="shared" si="13"/>
        <v>0</v>
      </c>
      <c r="D80">
        <f t="shared" si="13"/>
        <v>0</v>
      </c>
      <c r="E80">
        <f t="shared" si="13"/>
        <v>0</v>
      </c>
      <c r="F80">
        <f t="shared" si="13"/>
        <v>0</v>
      </c>
      <c r="G80">
        <f t="shared" si="15"/>
        <v>1</v>
      </c>
      <c r="H80" s="167">
        <f t="shared" si="14"/>
        <v>1</v>
      </c>
    </row>
    <row r="81" spans="1:24">
      <c r="A81" t="s">
        <v>1528</v>
      </c>
      <c r="B81">
        <f>B22</f>
        <v>0</v>
      </c>
      <c r="C81">
        <f t="shared" si="13"/>
        <v>1</v>
      </c>
      <c r="D81">
        <f t="shared" si="13"/>
        <v>0</v>
      </c>
      <c r="E81">
        <f t="shared" si="13"/>
        <v>1</v>
      </c>
      <c r="F81">
        <f t="shared" si="13"/>
        <v>0</v>
      </c>
      <c r="G81">
        <f t="shared" si="15"/>
        <v>2</v>
      </c>
      <c r="H81" s="167">
        <f t="shared" si="14"/>
        <v>1</v>
      </c>
    </row>
    <row r="82" spans="1:24">
      <c r="A82" t="s">
        <v>1529</v>
      </c>
      <c r="B82">
        <f t="shared" si="13"/>
        <v>0</v>
      </c>
      <c r="C82">
        <f t="shared" si="13"/>
        <v>1</v>
      </c>
      <c r="D82">
        <f t="shared" si="13"/>
        <v>0</v>
      </c>
      <c r="E82">
        <f t="shared" si="13"/>
        <v>1</v>
      </c>
      <c r="F82">
        <f t="shared" si="13"/>
        <v>0</v>
      </c>
      <c r="G82">
        <f t="shared" si="15"/>
        <v>2</v>
      </c>
      <c r="H82" s="167">
        <f t="shared" si="14"/>
        <v>1</v>
      </c>
    </row>
    <row r="83" spans="1:24">
      <c r="A83" t="s">
        <v>1530</v>
      </c>
      <c r="B83">
        <f t="shared" si="13"/>
        <v>0</v>
      </c>
      <c r="C83">
        <f t="shared" si="13"/>
        <v>1</v>
      </c>
      <c r="D83">
        <f t="shared" si="13"/>
        <v>0</v>
      </c>
      <c r="E83">
        <f t="shared" si="13"/>
        <v>0</v>
      </c>
      <c r="F83">
        <f t="shared" si="13"/>
        <v>0</v>
      </c>
      <c r="G83">
        <f t="shared" si="15"/>
        <v>1</v>
      </c>
      <c r="H83" s="167">
        <f t="shared" si="14"/>
        <v>1</v>
      </c>
    </row>
    <row r="84" spans="1:24">
      <c r="A84" s="50" t="s">
        <v>1501</v>
      </c>
      <c r="B84" s="52">
        <f>SUM(B77:B83)</f>
        <v>2</v>
      </c>
      <c r="C84" s="52">
        <f t="shared" ref="C84:F84" si="16">SUM(C77:C83)</f>
        <v>3</v>
      </c>
      <c r="D84" s="52">
        <f t="shared" si="16"/>
        <v>0</v>
      </c>
      <c r="E84" s="52">
        <f t="shared" si="16"/>
        <v>4</v>
      </c>
      <c r="F84" s="52">
        <f t="shared" si="16"/>
        <v>0</v>
      </c>
      <c r="G84" s="201">
        <f>SUM(G77:G83)</f>
        <v>9</v>
      </c>
      <c r="H84" s="202">
        <f>G84/G26</f>
        <v>0.39130434782608697</v>
      </c>
    </row>
    <row r="86" spans="1:24">
      <c r="B86" t="s">
        <v>861</v>
      </c>
      <c r="C86" t="s">
        <v>1515</v>
      </c>
      <c r="D86" t="s">
        <v>330</v>
      </c>
      <c r="E86" t="s">
        <v>1531</v>
      </c>
      <c r="V86">
        <v>1</v>
      </c>
      <c r="W86">
        <v>1</v>
      </c>
      <c r="X86">
        <v>0</v>
      </c>
    </row>
    <row r="87" spans="1:24">
      <c r="A87" t="s">
        <v>1518</v>
      </c>
      <c r="B87" s="28">
        <v>0</v>
      </c>
      <c r="C87" s="28">
        <v>1</v>
      </c>
      <c r="D87" s="28">
        <v>2</v>
      </c>
      <c r="E87" s="28">
        <v>3</v>
      </c>
    </row>
    <row r="88" spans="1:24">
      <c r="A88" s="47" t="s">
        <v>1524</v>
      </c>
      <c r="B88" s="48">
        <f t="shared" ref="B88:E95" si="17">B77/$G77</f>
        <v>0</v>
      </c>
      <c r="C88" s="48">
        <f t="shared" si="17"/>
        <v>0</v>
      </c>
      <c r="D88" s="48">
        <f t="shared" si="17"/>
        <v>0</v>
      </c>
      <c r="E88" s="48">
        <f t="shared" si="17"/>
        <v>1</v>
      </c>
      <c r="F88" s="48"/>
      <c r="G88" s="48">
        <f>SUM(B88:E88)</f>
        <v>1</v>
      </c>
    </row>
    <row r="89" spans="1:24">
      <c r="A89" t="s">
        <v>1525</v>
      </c>
      <c r="B89" s="48">
        <f t="shared" si="17"/>
        <v>0</v>
      </c>
      <c r="C89" s="48">
        <f t="shared" si="17"/>
        <v>0</v>
      </c>
      <c r="D89" s="48">
        <f t="shared" si="17"/>
        <v>0</v>
      </c>
      <c r="E89" s="48">
        <f t="shared" si="17"/>
        <v>1</v>
      </c>
      <c r="F89" s="48"/>
      <c r="G89" s="48">
        <f>SUM(B89:E89)</f>
        <v>1</v>
      </c>
    </row>
    <row r="90" spans="1:24">
      <c r="A90" t="s">
        <v>1526</v>
      </c>
      <c r="B90" s="48">
        <f t="shared" si="17"/>
        <v>1</v>
      </c>
      <c r="C90" s="48">
        <f t="shared" si="17"/>
        <v>0</v>
      </c>
      <c r="D90" s="48">
        <f t="shared" si="17"/>
        <v>0</v>
      </c>
      <c r="E90" s="48">
        <f t="shared" si="17"/>
        <v>0</v>
      </c>
      <c r="F90" s="48"/>
      <c r="G90" s="48">
        <f>SUM(B90:E90)</f>
        <v>1</v>
      </c>
    </row>
    <row r="91" spans="1:24">
      <c r="A91" t="s">
        <v>1527</v>
      </c>
      <c r="B91" s="48">
        <f t="shared" si="17"/>
        <v>1</v>
      </c>
      <c r="C91" s="48">
        <f t="shared" si="17"/>
        <v>0</v>
      </c>
      <c r="D91" s="48">
        <f t="shared" si="17"/>
        <v>0</v>
      </c>
      <c r="E91" s="48">
        <f t="shared" si="17"/>
        <v>0</v>
      </c>
      <c r="F91" s="48"/>
      <c r="G91" s="48">
        <f>SUM(B91:E91)</f>
        <v>1</v>
      </c>
    </row>
    <row r="92" spans="1:24">
      <c r="A92" t="s">
        <v>1528</v>
      </c>
      <c r="B92" s="48">
        <f t="shared" si="17"/>
        <v>0</v>
      </c>
      <c r="C92" s="48">
        <f t="shared" si="17"/>
        <v>0.5</v>
      </c>
      <c r="D92" s="48">
        <f t="shared" si="17"/>
        <v>0</v>
      </c>
      <c r="E92" s="48">
        <f t="shared" si="17"/>
        <v>0.5</v>
      </c>
      <c r="F92" s="48"/>
      <c r="G92" s="48">
        <f>SUM(B92:E92)</f>
        <v>1</v>
      </c>
    </row>
    <row r="93" spans="1:24">
      <c r="A93" t="s">
        <v>1529</v>
      </c>
      <c r="B93" s="48">
        <f t="shared" si="17"/>
        <v>0</v>
      </c>
      <c r="C93" s="48">
        <f t="shared" si="17"/>
        <v>0.5</v>
      </c>
      <c r="D93" s="48">
        <f t="shared" si="17"/>
        <v>0</v>
      </c>
      <c r="E93" s="48">
        <f t="shared" si="17"/>
        <v>0.5</v>
      </c>
      <c r="F93" s="48"/>
      <c r="G93" s="48">
        <f t="shared" ref="G93:G94" si="18">SUM(B93:E93)</f>
        <v>1</v>
      </c>
    </row>
    <row r="94" spans="1:24">
      <c r="A94" t="s">
        <v>1530</v>
      </c>
      <c r="B94" s="48">
        <f t="shared" si="17"/>
        <v>0</v>
      </c>
      <c r="C94" s="48">
        <f t="shared" si="17"/>
        <v>1</v>
      </c>
      <c r="D94" s="48">
        <f t="shared" si="17"/>
        <v>0</v>
      </c>
      <c r="E94" s="48">
        <f t="shared" si="17"/>
        <v>0</v>
      </c>
      <c r="F94" s="48"/>
      <c r="G94" s="48">
        <f t="shared" si="18"/>
        <v>1</v>
      </c>
    </row>
    <row r="95" spans="1:24">
      <c r="A95" t="s">
        <v>1501</v>
      </c>
      <c r="B95" s="48">
        <f t="shared" si="17"/>
        <v>0.22222222222222221</v>
      </c>
      <c r="C95" s="48">
        <f t="shared" si="17"/>
        <v>0.33333333333333331</v>
      </c>
      <c r="D95" s="48">
        <f t="shared" si="17"/>
        <v>0</v>
      </c>
      <c r="E95" s="48">
        <f t="shared" si="17"/>
        <v>0.44444444444444442</v>
      </c>
      <c r="F95" s="48"/>
      <c r="G95" s="48">
        <f>SUM(B95:E95)</f>
        <v>1</v>
      </c>
    </row>
    <row r="100" spans="1:22">
      <c r="A100" t="s">
        <v>1524</v>
      </c>
    </row>
    <row r="101" spans="1:22">
      <c r="A101" t="s">
        <v>1514</v>
      </c>
      <c r="B101" t="s">
        <v>861</v>
      </c>
      <c r="C101" t="s">
        <v>1515</v>
      </c>
      <c r="D101" t="s">
        <v>330</v>
      </c>
      <c r="E101" t="s">
        <v>394</v>
      </c>
      <c r="F101" t="s">
        <v>1516</v>
      </c>
      <c r="G101" s="17" t="s">
        <v>1517</v>
      </c>
      <c r="H101" s="169" t="s">
        <v>1518</v>
      </c>
    </row>
    <row r="102" spans="1:22">
      <c r="B102" s="28">
        <v>0</v>
      </c>
      <c r="C102" s="28">
        <v>1</v>
      </c>
      <c r="D102" s="28">
        <v>2</v>
      </c>
      <c r="E102" s="28">
        <v>3</v>
      </c>
    </row>
    <row r="103" spans="1:22">
      <c r="A103" t="s">
        <v>1495</v>
      </c>
      <c r="B103">
        <f>B22</f>
        <v>0</v>
      </c>
      <c r="C103">
        <f t="shared" ref="C103:F103" si="19">C22</f>
        <v>1</v>
      </c>
      <c r="D103">
        <f t="shared" si="19"/>
        <v>0</v>
      </c>
      <c r="E103">
        <f t="shared" si="19"/>
        <v>1</v>
      </c>
      <c r="F103">
        <f t="shared" si="19"/>
        <v>0</v>
      </c>
      <c r="G103">
        <f>SUM(B103:E103)</f>
        <v>2</v>
      </c>
      <c r="H103" s="167">
        <f>G103/SUM(B103:F103)</f>
        <v>1</v>
      </c>
    </row>
    <row r="104" spans="1:22">
      <c r="A104" t="s">
        <v>1496</v>
      </c>
      <c r="B104">
        <f>B21</f>
        <v>1</v>
      </c>
      <c r="C104">
        <f t="shared" ref="C104:F104" si="20">C21</f>
        <v>0</v>
      </c>
      <c r="D104">
        <f t="shared" si="20"/>
        <v>0</v>
      </c>
      <c r="E104">
        <f t="shared" si="20"/>
        <v>0</v>
      </c>
      <c r="F104">
        <f t="shared" si="20"/>
        <v>0</v>
      </c>
      <c r="G104">
        <f>SUM(B104:E104)</f>
        <v>1</v>
      </c>
      <c r="H104" s="167">
        <f>G104/SUM(B104:F104)</f>
        <v>1</v>
      </c>
    </row>
    <row r="105" spans="1:22">
      <c r="A105" t="s">
        <v>1532</v>
      </c>
      <c r="B105">
        <f>B20</f>
        <v>1</v>
      </c>
      <c r="C105">
        <f t="shared" ref="C105:F105" si="21">C20</f>
        <v>0</v>
      </c>
      <c r="D105">
        <f t="shared" si="21"/>
        <v>0</v>
      </c>
      <c r="E105">
        <f t="shared" si="21"/>
        <v>0</v>
      </c>
      <c r="F105">
        <f t="shared" si="21"/>
        <v>0</v>
      </c>
      <c r="G105">
        <f>SUM(B105:E105)</f>
        <v>1</v>
      </c>
      <c r="H105" s="167">
        <f>G105/SUM(B105:F105)</f>
        <v>1</v>
      </c>
    </row>
    <row r="106" spans="1:22">
      <c r="A106" t="s">
        <v>1522</v>
      </c>
      <c r="B106">
        <f>B19</f>
        <v>0</v>
      </c>
      <c r="C106">
        <f t="shared" ref="C106:F106" si="22">C19</f>
        <v>0</v>
      </c>
      <c r="D106">
        <f t="shared" si="22"/>
        <v>0</v>
      </c>
      <c r="E106">
        <f t="shared" si="22"/>
        <v>1</v>
      </c>
      <c r="F106">
        <f t="shared" si="22"/>
        <v>0</v>
      </c>
      <c r="G106">
        <f>SUM(B106:E106)</f>
        <v>1</v>
      </c>
      <c r="H106" s="167">
        <f>G106/SUM(B106:F106)</f>
        <v>1</v>
      </c>
    </row>
    <row r="107" spans="1:22">
      <c r="A107" t="s">
        <v>1476</v>
      </c>
      <c r="B107">
        <f>SUM(B103:B106)</f>
        <v>2</v>
      </c>
      <c r="C107">
        <f t="shared" ref="C107:F107" si="23">SUM(C103:C106)</f>
        <v>1</v>
      </c>
      <c r="D107">
        <f t="shared" si="23"/>
        <v>0</v>
      </c>
      <c r="E107">
        <f t="shared" si="23"/>
        <v>2</v>
      </c>
      <c r="F107">
        <f t="shared" si="23"/>
        <v>0</v>
      </c>
      <c r="G107">
        <f t="shared" ref="G107" si="24">SUM(G103:G104)</f>
        <v>3</v>
      </c>
      <c r="H107" s="167">
        <f t="shared" ref="H107" si="25">G107/SUM(B107:F107)</f>
        <v>0.6</v>
      </c>
    </row>
    <row r="110" spans="1:22">
      <c r="A110" t="s">
        <v>1533</v>
      </c>
    </row>
    <row r="111" spans="1:22">
      <c r="A111" t="s">
        <v>251</v>
      </c>
      <c r="B111" s="225" t="s">
        <v>861</v>
      </c>
      <c r="C111" s="225"/>
      <c r="D111" s="225"/>
      <c r="E111" s="229"/>
      <c r="F111" s="225" t="s">
        <v>1534</v>
      </c>
      <c r="G111" s="225"/>
      <c r="H111" s="225"/>
      <c r="I111" s="229"/>
      <c r="J111" s="225" t="s">
        <v>1535</v>
      </c>
      <c r="K111" s="225"/>
      <c r="L111" s="225"/>
      <c r="M111" s="229"/>
      <c r="N111" s="225" t="s">
        <v>1004</v>
      </c>
      <c r="O111" s="225"/>
      <c r="P111" s="225"/>
      <c r="Q111" s="229"/>
      <c r="R111" s="225"/>
      <c r="S111" s="225"/>
      <c r="T111" s="225"/>
      <c r="U111" s="229"/>
      <c r="V111" s="225" t="s">
        <v>1501</v>
      </c>
    </row>
    <row r="112" spans="1:22">
      <c r="A112" t="s">
        <v>1536</v>
      </c>
      <c r="B112" s="226" t="s">
        <v>1537</v>
      </c>
      <c r="C112" s="226" t="s">
        <v>1538</v>
      </c>
      <c r="D112" s="226" t="s">
        <v>1539</v>
      </c>
      <c r="E112" s="230"/>
      <c r="F112" s="226" t="s">
        <v>1540</v>
      </c>
      <c r="G112" s="226" t="s">
        <v>1538</v>
      </c>
      <c r="H112" s="226" t="s">
        <v>1539</v>
      </c>
      <c r="I112" s="230"/>
      <c r="J112" s="226" t="s">
        <v>1540</v>
      </c>
      <c r="K112" s="226" t="s">
        <v>1538</v>
      </c>
      <c r="L112" s="226" t="s">
        <v>1539</v>
      </c>
      <c r="M112" s="230"/>
      <c r="N112" s="226" t="s">
        <v>1540</v>
      </c>
      <c r="O112" s="226" t="s">
        <v>1538</v>
      </c>
      <c r="P112" s="226" t="s">
        <v>1539</v>
      </c>
      <c r="Q112" s="230"/>
      <c r="R112" s="226"/>
      <c r="S112" s="226"/>
      <c r="T112" s="226"/>
      <c r="U112" s="230"/>
      <c r="V112" s="226"/>
    </row>
    <row r="113" spans="1:22">
      <c r="A113" s="228" t="s">
        <v>295</v>
      </c>
      <c r="B113" s="227">
        <v>1</v>
      </c>
      <c r="C113" s="227"/>
      <c r="D113" s="227"/>
      <c r="E113" s="230"/>
      <c r="F113" s="227"/>
      <c r="G113" s="227"/>
      <c r="H113" s="227">
        <v>3</v>
      </c>
      <c r="I113" s="230"/>
      <c r="J113" s="227">
        <v>1</v>
      </c>
      <c r="K113" s="227"/>
      <c r="L113" s="227">
        <v>5</v>
      </c>
      <c r="M113" s="230"/>
      <c r="N113" s="227">
        <v>1</v>
      </c>
      <c r="O113" s="227">
        <v>1</v>
      </c>
      <c r="P113" s="227">
        <v>2</v>
      </c>
      <c r="Q113" s="230"/>
      <c r="R113" s="227"/>
      <c r="S113" s="227"/>
      <c r="T113" s="227"/>
      <c r="U113" s="230"/>
      <c r="V113" s="227">
        <v>17</v>
      </c>
    </row>
    <row r="114" spans="1:22">
      <c r="A114" s="157" t="s">
        <v>326</v>
      </c>
      <c r="E114" s="231"/>
      <c r="I114" s="231"/>
      <c r="J114">
        <v>1</v>
      </c>
      <c r="M114" s="231"/>
      <c r="Q114" s="231"/>
      <c r="U114" s="231"/>
      <c r="V114">
        <v>1</v>
      </c>
    </row>
    <row r="115" spans="1:22">
      <c r="A115" s="157" t="s">
        <v>300</v>
      </c>
      <c r="E115" s="231"/>
      <c r="I115" s="231"/>
      <c r="L115">
        <v>2</v>
      </c>
      <c r="M115" s="231"/>
      <c r="P115">
        <v>1</v>
      </c>
      <c r="Q115" s="231"/>
      <c r="U115" s="231"/>
      <c r="V115">
        <v>5</v>
      </c>
    </row>
    <row r="116" spans="1:22">
      <c r="A116" s="157" t="s">
        <v>407</v>
      </c>
      <c r="B116">
        <v>1</v>
      </c>
      <c r="E116" s="231"/>
      <c r="H116">
        <v>2</v>
      </c>
      <c r="I116" s="231"/>
      <c r="M116" s="231"/>
      <c r="N116">
        <v>1</v>
      </c>
      <c r="Q116" s="231"/>
      <c r="U116" s="231"/>
      <c r="V116">
        <v>5</v>
      </c>
    </row>
    <row r="117" spans="1:22">
      <c r="A117" s="157" t="s">
        <v>337</v>
      </c>
      <c r="E117" s="231"/>
      <c r="H117">
        <v>1</v>
      </c>
      <c r="I117" s="231"/>
      <c r="L117">
        <v>2</v>
      </c>
      <c r="M117" s="231"/>
      <c r="Q117" s="231"/>
      <c r="U117" s="231"/>
      <c r="V117">
        <v>3</v>
      </c>
    </row>
    <row r="118" spans="1:22">
      <c r="A118" s="157" t="s">
        <v>1541</v>
      </c>
      <c r="E118" s="231"/>
      <c r="I118" s="231"/>
      <c r="L118">
        <v>1</v>
      </c>
      <c r="M118" s="231"/>
      <c r="P118">
        <v>1</v>
      </c>
      <c r="Q118" s="231"/>
      <c r="U118" s="231"/>
      <c r="V118">
        <v>2</v>
      </c>
    </row>
    <row r="119" spans="1:22">
      <c r="A119" s="157" t="s">
        <v>392</v>
      </c>
      <c r="E119" s="231"/>
      <c r="I119" s="231"/>
      <c r="M119" s="231"/>
      <c r="O119">
        <v>1</v>
      </c>
      <c r="Q119" s="231"/>
      <c r="U119" s="231"/>
      <c r="V119">
        <v>1</v>
      </c>
    </row>
  </sheetData>
  <conditionalFormatting sqref="B76:E76">
    <cfRule type="iconSet" priority="4">
      <iconSet iconSet="4TrafficLights">
        <cfvo type="percent" val="0"/>
        <cfvo type="num" val="1"/>
        <cfvo type="num" val="2"/>
        <cfvo type="num" val="3"/>
      </iconSet>
    </cfRule>
  </conditionalFormatting>
  <conditionalFormatting sqref="B87:E87">
    <cfRule type="iconSet" priority="5">
      <iconSet iconSet="4TrafficLights">
        <cfvo type="percent" val="0"/>
        <cfvo type="num" val="1"/>
        <cfvo type="num" val="2"/>
        <cfvo type="num" val="3"/>
      </iconSet>
    </cfRule>
  </conditionalFormatting>
  <conditionalFormatting sqref="B62:E62">
    <cfRule type="iconSet" priority="2">
      <iconSet iconSet="4TrafficLights">
        <cfvo type="percent" val="0"/>
        <cfvo type="num" val="1"/>
        <cfvo type="num" val="2"/>
        <cfvo type="num" val="3"/>
      </iconSet>
    </cfRule>
  </conditionalFormatting>
  <conditionalFormatting sqref="B102:E102">
    <cfRule type="iconSet" priority="1">
      <iconSet iconSet="4TrafficLights">
        <cfvo type="percent" val="0"/>
        <cfvo type="num" val="1"/>
        <cfvo type="num" val="2"/>
        <cfvo type="num" val="3"/>
      </iconSet>
    </cfRule>
  </conditionalFormatting>
  <pageMargins left="0.7" right="0.7" top="0.75" bottom="0.75" header="0.3" footer="0.3"/>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J212"/>
  <sheetViews>
    <sheetView workbookViewId="0">
      <selection sqref="A1:BJ212"/>
    </sheetView>
  </sheetViews>
  <sheetFormatPr baseColWidth="10" defaultColWidth="8.83203125" defaultRowHeight="15"/>
  <cols>
    <col min="3" max="3" width="22.83203125" customWidth="1"/>
    <col min="4" max="4" width="19.33203125" customWidth="1"/>
    <col min="5" max="5" width="19.83203125" customWidth="1"/>
    <col min="6" max="6" width="13.5" customWidth="1"/>
    <col min="7" max="7" width="13.1640625" customWidth="1"/>
    <col min="8" max="8" width="22.83203125" customWidth="1"/>
    <col min="9" max="9" width="22.5" customWidth="1"/>
    <col min="11" max="11" width="9.5" customWidth="1"/>
    <col min="12" max="12" width="11" customWidth="1"/>
    <col min="13" max="13" width="14.33203125" customWidth="1"/>
    <col min="14" max="14" width="12.6640625" customWidth="1"/>
    <col min="16" max="16" width="11" customWidth="1"/>
    <col min="17" max="17" width="20.33203125" customWidth="1"/>
    <col min="18" max="18" width="24.6640625" customWidth="1"/>
    <col min="21" max="21" width="18.1640625" customWidth="1"/>
    <col min="22" max="22" width="57.83203125" customWidth="1"/>
    <col min="23" max="23" width="10.83203125" customWidth="1"/>
    <col min="24" max="24" width="20.83203125" customWidth="1"/>
    <col min="25" max="25" width="31.6640625" customWidth="1"/>
    <col min="26" max="26" width="11" customWidth="1"/>
    <col min="27" max="27" width="22.6640625" customWidth="1"/>
    <col min="28" max="28" width="28.6640625" customWidth="1"/>
    <col min="29" max="29" width="37.33203125" customWidth="1"/>
    <col min="30" max="30" width="36.83203125" customWidth="1"/>
  </cols>
  <sheetData>
    <row r="1" spans="1:62">
      <c r="A1" t="s">
        <v>234</v>
      </c>
      <c r="B1" t="s">
        <v>235</v>
      </c>
      <c r="C1" t="s">
        <v>236</v>
      </c>
      <c r="D1" t="s">
        <v>81</v>
      </c>
      <c r="E1" t="s">
        <v>237</v>
      </c>
      <c r="F1" t="s">
        <v>238</v>
      </c>
      <c r="G1" t="s">
        <v>239</v>
      </c>
      <c r="H1" t="s">
        <v>240</v>
      </c>
      <c r="I1" t="s">
        <v>241</v>
      </c>
      <c r="J1" t="s">
        <v>242</v>
      </c>
      <c r="K1" t="s">
        <v>243</v>
      </c>
      <c r="L1" t="s">
        <v>244</v>
      </c>
      <c r="M1" t="s">
        <v>1542</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ht="409.6">
      <c r="A2" t="s">
        <v>295</v>
      </c>
      <c r="B2" t="s">
        <v>334</v>
      </c>
      <c r="C2" t="s">
        <v>335</v>
      </c>
      <c r="D2" t="s">
        <v>298</v>
      </c>
      <c r="E2">
        <v>2023</v>
      </c>
      <c r="F2">
        <v>1</v>
      </c>
      <c r="G2">
        <v>3</v>
      </c>
      <c r="H2">
        <v>1</v>
      </c>
      <c r="J2">
        <v>1</v>
      </c>
      <c r="K2" t="s">
        <v>351</v>
      </c>
      <c r="L2">
        <v>2030</v>
      </c>
      <c r="M2">
        <v>1</v>
      </c>
      <c r="N2" t="s">
        <v>352</v>
      </c>
      <c r="O2" t="s">
        <v>337</v>
      </c>
      <c r="P2" t="s">
        <v>353</v>
      </c>
      <c r="Q2" t="s">
        <v>354</v>
      </c>
      <c r="R2" s="234" t="s">
        <v>1543</v>
      </c>
      <c r="S2" t="s">
        <v>356</v>
      </c>
      <c r="T2">
        <v>1</v>
      </c>
      <c r="U2" t="s">
        <v>342</v>
      </c>
      <c r="V2" s="234" t="s">
        <v>357</v>
      </c>
      <c r="W2" t="s">
        <v>344</v>
      </c>
      <c r="X2" t="s">
        <v>345</v>
      </c>
      <c r="Y2">
        <v>13.2</v>
      </c>
      <c r="Z2" t="s">
        <v>307</v>
      </c>
      <c r="AA2" t="s">
        <v>201</v>
      </c>
      <c r="AB2" t="s">
        <v>346</v>
      </c>
      <c r="AK2" t="s">
        <v>309</v>
      </c>
    </row>
    <row r="3" spans="1:62">
      <c r="A3" t="s">
        <v>295</v>
      </c>
      <c r="B3" t="s">
        <v>296</v>
      </c>
      <c r="C3" t="s">
        <v>297</v>
      </c>
      <c r="D3" t="s">
        <v>298</v>
      </c>
      <c r="E3">
        <v>2021</v>
      </c>
      <c r="F3">
        <v>1</v>
      </c>
      <c r="G3">
        <v>3</v>
      </c>
      <c r="H3">
        <v>1</v>
      </c>
      <c r="J3">
        <v>1</v>
      </c>
      <c r="K3" t="s">
        <v>991</v>
      </c>
      <c r="L3">
        <v>2050</v>
      </c>
      <c r="M3">
        <v>1</v>
      </c>
      <c r="O3" t="s">
        <v>300</v>
      </c>
      <c r="P3" t="s">
        <v>301</v>
      </c>
      <c r="Q3" t="s">
        <v>302</v>
      </c>
      <c r="S3" t="s">
        <v>303</v>
      </c>
      <c r="T3">
        <v>2</v>
      </c>
      <c r="U3" t="s">
        <v>304</v>
      </c>
      <c r="V3" t="s">
        <v>305</v>
      </c>
      <c r="W3" t="s">
        <v>306</v>
      </c>
      <c r="Y3">
        <v>13.2</v>
      </c>
      <c r="Z3" t="s">
        <v>307</v>
      </c>
      <c r="AA3" t="s">
        <v>190</v>
      </c>
      <c r="AB3" t="s">
        <v>308</v>
      </c>
      <c r="AK3" t="s">
        <v>309</v>
      </c>
      <c r="BA3" t="s">
        <v>310</v>
      </c>
      <c r="BB3" t="s">
        <v>310</v>
      </c>
      <c r="BC3" t="s">
        <v>310</v>
      </c>
      <c r="BI3" t="s">
        <v>310</v>
      </c>
    </row>
    <row r="4" spans="1:62" ht="409.6">
      <c r="A4" t="s">
        <v>295</v>
      </c>
      <c r="B4" t="s">
        <v>296</v>
      </c>
      <c r="C4" t="s">
        <v>297</v>
      </c>
      <c r="D4" t="s">
        <v>298</v>
      </c>
      <c r="E4">
        <v>2021</v>
      </c>
      <c r="F4">
        <v>1</v>
      </c>
      <c r="G4">
        <v>3</v>
      </c>
      <c r="H4">
        <v>1</v>
      </c>
      <c r="J4">
        <v>1</v>
      </c>
      <c r="K4" t="s">
        <v>995</v>
      </c>
      <c r="L4">
        <v>2030</v>
      </c>
      <c r="M4">
        <v>1</v>
      </c>
      <c r="O4" t="s">
        <v>300</v>
      </c>
      <c r="P4" t="s">
        <v>312</v>
      </c>
      <c r="Q4" t="s">
        <v>313</v>
      </c>
      <c r="R4" s="234" t="s">
        <v>1544</v>
      </c>
      <c r="S4" t="s">
        <v>303</v>
      </c>
      <c r="T4">
        <v>2</v>
      </c>
      <c r="U4" t="s">
        <v>304</v>
      </c>
      <c r="V4" t="s">
        <v>305</v>
      </c>
      <c r="W4" t="s">
        <v>306</v>
      </c>
      <c r="X4" t="s">
        <v>315</v>
      </c>
      <c r="Y4">
        <v>13.2</v>
      </c>
      <c r="Z4" t="s">
        <v>307</v>
      </c>
      <c r="AA4" t="s">
        <v>190</v>
      </c>
      <c r="AB4" t="s">
        <v>308</v>
      </c>
      <c r="AK4" t="s">
        <v>309</v>
      </c>
      <c r="BA4" t="s">
        <v>310</v>
      </c>
      <c r="BB4" t="s">
        <v>310</v>
      </c>
      <c r="BC4" t="s">
        <v>310</v>
      </c>
      <c r="BI4" t="s">
        <v>310</v>
      </c>
    </row>
    <row r="5" spans="1:62">
      <c r="A5" t="s">
        <v>295</v>
      </c>
      <c r="B5" t="s">
        <v>334</v>
      </c>
      <c r="C5" t="s">
        <v>320</v>
      </c>
      <c r="D5" t="s">
        <v>321</v>
      </c>
      <c r="E5">
        <v>2020</v>
      </c>
      <c r="F5">
        <v>0</v>
      </c>
      <c r="G5">
        <v>1</v>
      </c>
      <c r="H5">
        <v>0</v>
      </c>
      <c r="I5">
        <v>0</v>
      </c>
      <c r="J5">
        <v>1</v>
      </c>
      <c r="K5" t="s">
        <v>1002</v>
      </c>
      <c r="L5">
        <v>2030</v>
      </c>
      <c r="M5">
        <v>1</v>
      </c>
      <c r="O5" t="s">
        <v>300</v>
      </c>
      <c r="R5" t="s">
        <v>1545</v>
      </c>
      <c r="T5">
        <v>2</v>
      </c>
      <c r="Y5">
        <v>13.2</v>
      </c>
      <c r="Z5" t="s">
        <v>307</v>
      </c>
    </row>
    <row r="6" spans="1:62" ht="409.6">
      <c r="A6" t="s">
        <v>295</v>
      </c>
      <c r="B6" t="s">
        <v>334</v>
      </c>
      <c r="C6" t="s">
        <v>376</v>
      </c>
      <c r="D6" t="s">
        <v>102</v>
      </c>
      <c r="E6">
        <v>2023</v>
      </c>
      <c r="F6">
        <v>1</v>
      </c>
      <c r="G6">
        <v>3</v>
      </c>
      <c r="H6">
        <v>1</v>
      </c>
      <c r="J6">
        <v>1</v>
      </c>
      <c r="K6" t="s">
        <v>377</v>
      </c>
      <c r="L6">
        <v>2030</v>
      </c>
      <c r="M6">
        <v>1</v>
      </c>
      <c r="N6" t="s">
        <v>378</v>
      </c>
      <c r="O6" t="s">
        <v>300</v>
      </c>
      <c r="R6" s="234" t="s">
        <v>1546</v>
      </c>
      <c r="T6">
        <v>2</v>
      </c>
      <c r="Y6">
        <v>13.2</v>
      </c>
      <c r="Z6" t="s">
        <v>307</v>
      </c>
    </row>
    <row r="7" spans="1:62" ht="409.6">
      <c r="A7" t="s">
        <v>295</v>
      </c>
      <c r="B7" t="s">
        <v>334</v>
      </c>
      <c r="C7" t="s">
        <v>358</v>
      </c>
      <c r="D7" t="s">
        <v>298</v>
      </c>
      <c r="E7">
        <v>2023</v>
      </c>
      <c r="F7">
        <v>1</v>
      </c>
      <c r="G7">
        <v>3</v>
      </c>
      <c r="H7">
        <v>1</v>
      </c>
      <c r="J7">
        <v>1</v>
      </c>
      <c r="K7" t="s">
        <v>359</v>
      </c>
      <c r="L7">
        <v>2030</v>
      </c>
      <c r="M7">
        <v>1</v>
      </c>
      <c r="O7" t="s">
        <v>300</v>
      </c>
      <c r="P7" t="s">
        <v>360</v>
      </c>
      <c r="Q7" t="s">
        <v>361</v>
      </c>
      <c r="R7" s="234" t="s">
        <v>1547</v>
      </c>
      <c r="S7" t="s">
        <v>363</v>
      </c>
      <c r="T7">
        <v>2</v>
      </c>
      <c r="W7" t="s">
        <v>306</v>
      </c>
      <c r="Y7">
        <v>13.2</v>
      </c>
      <c r="Z7" t="s">
        <v>307</v>
      </c>
      <c r="AK7" t="s">
        <v>309</v>
      </c>
    </row>
    <row r="8" spans="1:62" ht="335">
      <c r="A8" t="s">
        <v>295</v>
      </c>
      <c r="B8" t="s">
        <v>334</v>
      </c>
      <c r="C8" t="s">
        <v>335</v>
      </c>
      <c r="D8" t="s">
        <v>298</v>
      </c>
      <c r="E8">
        <v>2023</v>
      </c>
      <c r="F8">
        <v>1</v>
      </c>
      <c r="G8">
        <v>3</v>
      </c>
      <c r="H8">
        <v>1</v>
      </c>
      <c r="J8">
        <v>1</v>
      </c>
      <c r="K8" t="s">
        <v>347</v>
      </c>
      <c r="L8">
        <v>2025</v>
      </c>
      <c r="M8">
        <v>1</v>
      </c>
      <c r="O8" t="s">
        <v>337</v>
      </c>
      <c r="P8" t="s">
        <v>338</v>
      </c>
      <c r="Q8" t="s">
        <v>348</v>
      </c>
      <c r="R8" s="234" t="s">
        <v>1548</v>
      </c>
      <c r="S8" t="s">
        <v>350</v>
      </c>
      <c r="T8">
        <v>2</v>
      </c>
      <c r="U8" t="s">
        <v>342</v>
      </c>
      <c r="V8" t="s">
        <v>343</v>
      </c>
      <c r="W8" t="s">
        <v>344</v>
      </c>
      <c r="X8" t="s">
        <v>345</v>
      </c>
      <c r="Y8">
        <v>13.2</v>
      </c>
      <c r="Z8" t="s">
        <v>307</v>
      </c>
      <c r="AA8" t="s">
        <v>189</v>
      </c>
      <c r="AB8" t="s">
        <v>346</v>
      </c>
      <c r="AK8" t="s">
        <v>309</v>
      </c>
    </row>
    <row r="9" spans="1:62">
      <c r="A9" t="s">
        <v>295</v>
      </c>
      <c r="B9" t="s">
        <v>334</v>
      </c>
      <c r="C9" t="s">
        <v>335</v>
      </c>
      <c r="D9" t="s">
        <v>298</v>
      </c>
      <c r="E9">
        <v>2023</v>
      </c>
      <c r="F9">
        <v>1</v>
      </c>
      <c r="G9">
        <v>3</v>
      </c>
      <c r="H9">
        <v>1</v>
      </c>
      <c r="J9">
        <v>1</v>
      </c>
      <c r="K9" t="s">
        <v>336</v>
      </c>
      <c r="L9">
        <v>2030</v>
      </c>
      <c r="M9">
        <v>1</v>
      </c>
      <c r="O9" t="s">
        <v>337</v>
      </c>
      <c r="P9" t="s">
        <v>338</v>
      </c>
      <c r="Q9" t="s">
        <v>339</v>
      </c>
      <c r="R9" t="s">
        <v>1549</v>
      </c>
      <c r="S9" t="s">
        <v>341</v>
      </c>
      <c r="T9">
        <v>2</v>
      </c>
      <c r="U9" t="s">
        <v>342</v>
      </c>
      <c r="V9" t="s">
        <v>343</v>
      </c>
      <c r="W9" t="s">
        <v>344</v>
      </c>
      <c r="X9" t="s">
        <v>345</v>
      </c>
      <c r="Y9">
        <v>13.2</v>
      </c>
      <c r="Z9" t="s">
        <v>307</v>
      </c>
      <c r="AA9" t="s">
        <v>189</v>
      </c>
      <c r="AB9" t="s">
        <v>346</v>
      </c>
      <c r="AK9" t="s">
        <v>309</v>
      </c>
    </row>
    <row r="10" spans="1:62">
      <c r="A10" t="s">
        <v>295</v>
      </c>
      <c r="C10" t="s">
        <v>324</v>
      </c>
      <c r="D10" t="s">
        <v>321</v>
      </c>
      <c r="E10">
        <v>2020</v>
      </c>
      <c r="F10">
        <v>0</v>
      </c>
      <c r="G10">
        <v>1</v>
      </c>
      <c r="H10">
        <v>0</v>
      </c>
      <c r="I10">
        <v>0</v>
      </c>
      <c r="J10">
        <v>1</v>
      </c>
      <c r="K10" t="s">
        <v>1012</v>
      </c>
      <c r="L10">
        <v>2030</v>
      </c>
      <c r="M10">
        <v>1</v>
      </c>
      <c r="O10" t="s">
        <v>326</v>
      </c>
      <c r="P10" t="s">
        <v>327</v>
      </c>
      <c r="Q10" t="s">
        <v>328</v>
      </c>
      <c r="R10" t="s">
        <v>1550</v>
      </c>
      <c r="S10" t="s">
        <v>330</v>
      </c>
      <c r="T10">
        <v>2</v>
      </c>
      <c r="U10" t="s">
        <v>331</v>
      </c>
      <c r="W10" t="s">
        <v>332</v>
      </c>
      <c r="X10" t="s">
        <v>315</v>
      </c>
      <c r="Y10">
        <v>13.2</v>
      </c>
      <c r="Z10" t="s">
        <v>307</v>
      </c>
      <c r="AA10" t="s">
        <v>197</v>
      </c>
      <c r="AB10" t="s">
        <v>333</v>
      </c>
      <c r="AE10" t="s">
        <v>310</v>
      </c>
      <c r="AJ10" t="s">
        <v>309</v>
      </c>
    </row>
    <row r="11" spans="1:62">
      <c r="A11" t="s">
        <v>295</v>
      </c>
      <c r="C11" t="s">
        <v>316</v>
      </c>
      <c r="D11" t="s">
        <v>110</v>
      </c>
      <c r="E11">
        <v>2022</v>
      </c>
      <c r="F11">
        <v>0</v>
      </c>
      <c r="G11">
        <v>2</v>
      </c>
      <c r="H11">
        <v>0</v>
      </c>
      <c r="I11">
        <v>1</v>
      </c>
      <c r="J11">
        <v>1</v>
      </c>
      <c r="K11" t="s">
        <v>317</v>
      </c>
      <c r="L11">
        <v>2030</v>
      </c>
      <c r="M11">
        <v>1</v>
      </c>
      <c r="O11" t="s">
        <v>300</v>
      </c>
      <c r="R11" t="s">
        <v>1551</v>
      </c>
      <c r="T11">
        <v>2</v>
      </c>
      <c r="W11" t="s">
        <v>315</v>
      </c>
      <c r="Y11">
        <v>13.2</v>
      </c>
      <c r="Z11" t="s">
        <v>307</v>
      </c>
      <c r="AA11" t="s">
        <v>190</v>
      </c>
      <c r="AB11" t="s">
        <v>319</v>
      </c>
      <c r="AK11" t="s">
        <v>310</v>
      </c>
      <c r="AL11" t="s">
        <v>309</v>
      </c>
    </row>
    <row r="12" spans="1:62">
      <c r="A12" t="s">
        <v>295</v>
      </c>
      <c r="B12" t="s">
        <v>334</v>
      </c>
      <c r="C12" t="s">
        <v>389</v>
      </c>
      <c r="D12" t="s">
        <v>101</v>
      </c>
      <c r="E12">
        <v>2022</v>
      </c>
      <c r="F12">
        <v>0</v>
      </c>
      <c r="G12">
        <v>2</v>
      </c>
      <c r="H12">
        <v>0</v>
      </c>
      <c r="I12">
        <v>1</v>
      </c>
      <c r="J12">
        <v>1</v>
      </c>
      <c r="K12" t="s">
        <v>390</v>
      </c>
      <c r="L12">
        <v>2040</v>
      </c>
      <c r="M12">
        <v>1</v>
      </c>
      <c r="N12" t="s">
        <v>391</v>
      </c>
      <c r="O12" t="s">
        <v>392</v>
      </c>
      <c r="R12" t="s">
        <v>393</v>
      </c>
      <c r="S12" t="s">
        <v>1004</v>
      </c>
      <c r="T12">
        <v>3</v>
      </c>
      <c r="U12" t="s">
        <v>331</v>
      </c>
      <c r="W12" t="s">
        <v>395</v>
      </c>
      <c r="Y12">
        <v>13.2</v>
      </c>
      <c r="Z12" t="s">
        <v>307</v>
      </c>
      <c r="AE12" t="s">
        <v>309</v>
      </c>
    </row>
    <row r="13" spans="1:62">
      <c r="A13" t="s">
        <v>295</v>
      </c>
      <c r="B13" t="s">
        <v>334</v>
      </c>
      <c r="C13" t="s">
        <v>376</v>
      </c>
      <c r="D13" t="s">
        <v>102</v>
      </c>
      <c r="E13">
        <v>2023</v>
      </c>
      <c r="F13">
        <v>1</v>
      </c>
      <c r="G13">
        <v>3</v>
      </c>
      <c r="H13">
        <v>1</v>
      </c>
      <c r="J13">
        <v>1</v>
      </c>
      <c r="K13" t="s">
        <v>380</v>
      </c>
      <c r="L13">
        <v>2030</v>
      </c>
      <c r="M13">
        <v>1</v>
      </c>
      <c r="O13" t="s">
        <v>300</v>
      </c>
      <c r="R13" t="s">
        <v>1552</v>
      </c>
      <c r="T13">
        <v>3</v>
      </c>
      <c r="U13" t="s">
        <v>382</v>
      </c>
      <c r="W13" t="s">
        <v>315</v>
      </c>
      <c r="Y13">
        <v>13.2</v>
      </c>
      <c r="Z13" t="s">
        <v>307</v>
      </c>
      <c r="AK13" t="s">
        <v>309</v>
      </c>
    </row>
    <row r="14" spans="1:62">
      <c r="A14" t="s">
        <v>403</v>
      </c>
      <c r="B14" t="s">
        <v>426</v>
      </c>
      <c r="C14" t="s">
        <v>396</v>
      </c>
      <c r="D14" t="s">
        <v>102</v>
      </c>
      <c r="E14">
        <v>2023</v>
      </c>
      <c r="F14">
        <v>1</v>
      </c>
      <c r="G14">
        <v>3</v>
      </c>
      <c r="H14">
        <v>1</v>
      </c>
      <c r="J14">
        <v>1</v>
      </c>
      <c r="K14" t="s">
        <v>579</v>
      </c>
      <c r="L14">
        <v>2030</v>
      </c>
      <c r="M14">
        <v>1</v>
      </c>
      <c r="N14" t="s">
        <v>580</v>
      </c>
      <c r="O14" t="s">
        <v>450</v>
      </c>
      <c r="R14" t="s">
        <v>581</v>
      </c>
      <c r="T14">
        <v>0</v>
      </c>
      <c r="W14" t="s">
        <v>451</v>
      </c>
      <c r="Y14">
        <v>9.4</v>
      </c>
      <c r="Z14" t="s">
        <v>402</v>
      </c>
      <c r="AE14" t="s">
        <v>309</v>
      </c>
    </row>
    <row r="15" spans="1:62">
      <c r="A15" t="s">
        <v>403</v>
      </c>
      <c r="C15" t="s">
        <v>396</v>
      </c>
      <c r="D15" t="s">
        <v>102</v>
      </c>
      <c r="E15">
        <v>2023</v>
      </c>
      <c r="F15">
        <v>1</v>
      </c>
      <c r="G15">
        <v>3</v>
      </c>
      <c r="H15">
        <v>1</v>
      </c>
      <c r="J15">
        <v>1</v>
      </c>
      <c r="K15" t="s">
        <v>582</v>
      </c>
      <c r="L15">
        <v>2030</v>
      </c>
      <c r="M15">
        <v>1</v>
      </c>
      <c r="O15" t="s">
        <v>465</v>
      </c>
      <c r="P15" t="s">
        <v>583</v>
      </c>
      <c r="Q15" t="s">
        <v>584</v>
      </c>
      <c r="R15" t="s">
        <v>585</v>
      </c>
      <c r="T15">
        <v>0</v>
      </c>
      <c r="W15" t="s">
        <v>332</v>
      </c>
      <c r="X15" t="s">
        <v>416</v>
      </c>
      <c r="Y15">
        <v>7.2</v>
      </c>
      <c r="Z15" t="s">
        <v>388</v>
      </c>
      <c r="AE15" t="s">
        <v>310</v>
      </c>
      <c r="AJ15" t="s">
        <v>309</v>
      </c>
    </row>
    <row r="16" spans="1:62">
      <c r="A16" t="s">
        <v>403</v>
      </c>
      <c r="C16" t="s">
        <v>396</v>
      </c>
      <c r="D16" t="s">
        <v>102</v>
      </c>
      <c r="E16">
        <v>2023</v>
      </c>
      <c r="F16">
        <v>1</v>
      </c>
      <c r="G16">
        <v>3</v>
      </c>
      <c r="H16">
        <v>1</v>
      </c>
      <c r="J16">
        <v>1</v>
      </c>
      <c r="K16" t="s">
        <v>398</v>
      </c>
      <c r="L16">
        <v>2030</v>
      </c>
      <c r="M16">
        <v>1</v>
      </c>
      <c r="N16" t="s">
        <v>438</v>
      </c>
      <c r="O16" t="s">
        <v>407</v>
      </c>
      <c r="R16" t="s">
        <v>1553</v>
      </c>
      <c r="S16" t="s">
        <v>473</v>
      </c>
      <c r="T16">
        <v>1</v>
      </c>
      <c r="Y16">
        <v>7.2</v>
      </c>
      <c r="Z16" t="s">
        <v>388</v>
      </c>
    </row>
    <row r="17" spans="1:42">
      <c r="A17" t="s">
        <v>403</v>
      </c>
      <c r="C17" t="s">
        <v>396</v>
      </c>
      <c r="D17" t="s">
        <v>102</v>
      </c>
      <c r="E17">
        <v>2023</v>
      </c>
      <c r="F17">
        <v>1</v>
      </c>
      <c r="G17">
        <v>3</v>
      </c>
      <c r="H17">
        <v>1</v>
      </c>
      <c r="J17">
        <v>1</v>
      </c>
      <c r="K17" t="s">
        <v>474</v>
      </c>
      <c r="L17">
        <v>2030</v>
      </c>
      <c r="M17">
        <v>1</v>
      </c>
      <c r="N17" t="s">
        <v>438</v>
      </c>
      <c r="O17" t="s">
        <v>407</v>
      </c>
      <c r="R17" t="s">
        <v>1553</v>
      </c>
      <c r="S17" t="s">
        <v>473</v>
      </c>
      <c r="T17">
        <v>1</v>
      </c>
      <c r="W17" t="s">
        <v>416</v>
      </c>
      <c r="Y17">
        <v>9.1</v>
      </c>
      <c r="Z17" t="s">
        <v>402</v>
      </c>
      <c r="AE17" t="s">
        <v>309</v>
      </c>
    </row>
    <row r="18" spans="1:42">
      <c r="A18" t="s">
        <v>403</v>
      </c>
      <c r="B18" t="s">
        <v>462</v>
      </c>
      <c r="C18" t="s">
        <v>324</v>
      </c>
      <c r="D18" t="s">
        <v>321</v>
      </c>
      <c r="E18">
        <v>2020</v>
      </c>
      <c r="F18">
        <v>0</v>
      </c>
      <c r="G18">
        <v>1</v>
      </c>
      <c r="H18">
        <v>0</v>
      </c>
      <c r="I18">
        <v>0</v>
      </c>
      <c r="J18">
        <v>1</v>
      </c>
      <c r="K18" t="s">
        <v>504</v>
      </c>
      <c r="L18">
        <v>2030</v>
      </c>
      <c r="M18">
        <v>1</v>
      </c>
      <c r="O18" t="s">
        <v>465</v>
      </c>
      <c r="P18" t="s">
        <v>505</v>
      </c>
      <c r="Q18" t="s">
        <v>506</v>
      </c>
      <c r="R18" t="s">
        <v>507</v>
      </c>
      <c r="S18" t="s">
        <v>494</v>
      </c>
      <c r="T18">
        <v>1</v>
      </c>
      <c r="U18" t="s">
        <v>508</v>
      </c>
      <c r="V18" t="s">
        <v>509</v>
      </c>
      <c r="W18" t="s">
        <v>332</v>
      </c>
      <c r="X18" t="s">
        <v>468</v>
      </c>
      <c r="Y18">
        <v>7.3</v>
      </c>
      <c r="Z18" t="s">
        <v>388</v>
      </c>
      <c r="AA18" t="s">
        <v>192</v>
      </c>
      <c r="AB18" t="s">
        <v>510</v>
      </c>
      <c r="AE18" t="s">
        <v>310</v>
      </c>
      <c r="AJ18" t="s">
        <v>309</v>
      </c>
    </row>
    <row r="19" spans="1:42">
      <c r="A19" t="s">
        <v>403</v>
      </c>
      <c r="B19" t="s">
        <v>462</v>
      </c>
      <c r="C19" t="s">
        <v>463</v>
      </c>
      <c r="D19" t="s">
        <v>101</v>
      </c>
      <c r="E19">
        <v>2021</v>
      </c>
      <c r="F19">
        <v>0</v>
      </c>
      <c r="G19">
        <v>2</v>
      </c>
      <c r="H19">
        <v>0</v>
      </c>
      <c r="I19">
        <v>1</v>
      </c>
      <c r="J19">
        <v>1</v>
      </c>
      <c r="K19" t="s">
        <v>490</v>
      </c>
      <c r="L19">
        <v>2030</v>
      </c>
      <c r="M19">
        <v>1</v>
      </c>
      <c r="O19" t="s">
        <v>465</v>
      </c>
      <c r="P19" t="s">
        <v>491</v>
      </c>
      <c r="Q19" t="s">
        <v>492</v>
      </c>
      <c r="R19" t="s">
        <v>493</v>
      </c>
      <c r="S19" t="s">
        <v>494</v>
      </c>
      <c r="T19">
        <v>1</v>
      </c>
      <c r="U19" t="s">
        <v>331</v>
      </c>
      <c r="W19" t="s">
        <v>332</v>
      </c>
      <c r="X19" t="s">
        <v>468</v>
      </c>
      <c r="Y19">
        <v>7.3</v>
      </c>
      <c r="Z19" t="s">
        <v>388</v>
      </c>
      <c r="AE19" t="s">
        <v>310</v>
      </c>
      <c r="AJ19" t="s">
        <v>309</v>
      </c>
    </row>
    <row r="20" spans="1:42">
      <c r="A20" t="s">
        <v>403</v>
      </c>
      <c r="B20" t="s">
        <v>404</v>
      </c>
      <c r="C20" t="s">
        <v>405</v>
      </c>
      <c r="D20" t="s">
        <v>321</v>
      </c>
      <c r="E20">
        <v>2022</v>
      </c>
      <c r="F20">
        <v>0</v>
      </c>
      <c r="G20">
        <v>1</v>
      </c>
      <c r="H20">
        <v>0</v>
      </c>
      <c r="I20">
        <v>0</v>
      </c>
      <c r="J20">
        <v>1</v>
      </c>
      <c r="K20" t="s">
        <v>406</v>
      </c>
      <c r="L20">
        <v>2030</v>
      </c>
      <c r="M20">
        <v>1</v>
      </c>
      <c r="O20" t="s">
        <v>407</v>
      </c>
      <c r="R20" t="s">
        <v>408</v>
      </c>
      <c r="T20">
        <v>1</v>
      </c>
      <c r="U20" t="s">
        <v>331</v>
      </c>
      <c r="W20" t="s">
        <v>400</v>
      </c>
      <c r="X20" t="s">
        <v>401</v>
      </c>
      <c r="Y20">
        <v>9.4</v>
      </c>
      <c r="Z20" t="s">
        <v>402</v>
      </c>
      <c r="AF20" t="s">
        <v>309</v>
      </c>
      <c r="AP20" t="s">
        <v>310</v>
      </c>
    </row>
    <row r="21" spans="1:42" ht="409.6">
      <c r="A21" t="s">
        <v>403</v>
      </c>
      <c r="C21" t="s">
        <v>405</v>
      </c>
      <c r="D21" t="s">
        <v>321</v>
      </c>
      <c r="E21">
        <v>2022</v>
      </c>
      <c r="F21">
        <v>0</v>
      </c>
      <c r="G21">
        <v>1</v>
      </c>
      <c r="H21">
        <v>0</v>
      </c>
      <c r="I21">
        <v>0</v>
      </c>
      <c r="J21">
        <v>1</v>
      </c>
      <c r="K21" t="s">
        <v>442</v>
      </c>
      <c r="L21">
        <v>2030</v>
      </c>
      <c r="M21">
        <v>1</v>
      </c>
      <c r="N21" s="234" t="s">
        <v>443</v>
      </c>
      <c r="O21" t="s">
        <v>407</v>
      </c>
      <c r="R21" t="s">
        <v>1554</v>
      </c>
      <c r="S21" t="s">
        <v>445</v>
      </c>
      <c r="T21">
        <v>2</v>
      </c>
      <c r="U21" t="s">
        <v>331</v>
      </c>
      <c r="W21" t="s">
        <v>400</v>
      </c>
      <c r="Y21">
        <v>9.1</v>
      </c>
      <c r="Z21" t="s">
        <v>402</v>
      </c>
      <c r="AA21" t="s">
        <v>216</v>
      </c>
      <c r="AB21" t="s">
        <v>441</v>
      </c>
      <c r="AE21" t="s">
        <v>310</v>
      </c>
      <c r="AF21" t="s">
        <v>309</v>
      </c>
    </row>
    <row r="22" spans="1:42">
      <c r="A22" t="s">
        <v>403</v>
      </c>
      <c r="B22" t="s">
        <v>334</v>
      </c>
      <c r="C22" t="s">
        <v>150</v>
      </c>
      <c r="D22" t="s">
        <v>321</v>
      </c>
      <c r="E22">
        <v>2022</v>
      </c>
      <c r="F22">
        <v>0</v>
      </c>
      <c r="G22">
        <v>1</v>
      </c>
      <c r="H22">
        <v>0</v>
      </c>
      <c r="I22">
        <v>0</v>
      </c>
      <c r="J22">
        <v>1</v>
      </c>
      <c r="K22" t="s">
        <v>455</v>
      </c>
      <c r="L22">
        <v>2025</v>
      </c>
      <c r="M22">
        <v>1</v>
      </c>
      <c r="N22" t="s">
        <v>456</v>
      </c>
      <c r="O22" t="s">
        <v>457</v>
      </c>
      <c r="R22" t="s">
        <v>458</v>
      </c>
      <c r="T22">
        <v>2</v>
      </c>
      <c r="W22" t="s">
        <v>416</v>
      </c>
      <c r="Y22">
        <v>7.2</v>
      </c>
      <c r="Z22" t="s">
        <v>388</v>
      </c>
      <c r="AB22" t="s">
        <v>459</v>
      </c>
      <c r="AC22" t="s">
        <v>460</v>
      </c>
      <c r="AD22" t="s">
        <v>461</v>
      </c>
      <c r="AE22" t="s">
        <v>310</v>
      </c>
      <c r="AJ22" t="s">
        <v>309</v>
      </c>
    </row>
    <row r="23" spans="1:42">
      <c r="A23" t="s">
        <v>403</v>
      </c>
      <c r="B23" t="s">
        <v>462</v>
      </c>
      <c r="C23" t="s">
        <v>405</v>
      </c>
      <c r="D23" t="s">
        <v>321</v>
      </c>
      <c r="E23">
        <v>2022</v>
      </c>
      <c r="F23">
        <v>0</v>
      </c>
      <c r="G23">
        <v>1</v>
      </c>
      <c r="H23">
        <v>0</v>
      </c>
      <c r="I23">
        <v>0</v>
      </c>
      <c r="J23">
        <v>1</v>
      </c>
      <c r="K23" t="s">
        <v>527</v>
      </c>
      <c r="L23">
        <v>2027</v>
      </c>
      <c r="M23">
        <v>1</v>
      </c>
      <c r="N23" t="s">
        <v>528</v>
      </c>
      <c r="O23" t="s">
        <v>465</v>
      </c>
      <c r="P23" t="s">
        <v>529</v>
      </c>
      <c r="Q23" t="s">
        <v>530</v>
      </c>
      <c r="R23" t="s">
        <v>531</v>
      </c>
      <c r="S23" t="s">
        <v>519</v>
      </c>
      <c r="T23">
        <v>2</v>
      </c>
      <c r="U23" t="s">
        <v>331</v>
      </c>
      <c r="W23" t="s">
        <v>395</v>
      </c>
      <c r="Y23">
        <v>7.3</v>
      </c>
      <c r="Z23" t="s">
        <v>388</v>
      </c>
      <c r="AA23" t="s">
        <v>196</v>
      </c>
      <c r="AB23" t="s">
        <v>532</v>
      </c>
      <c r="AE23" t="s">
        <v>309</v>
      </c>
    </row>
    <row r="24" spans="1:42">
      <c r="A24" t="s">
        <v>403</v>
      </c>
      <c r="C24" t="s">
        <v>150</v>
      </c>
      <c r="D24" t="s">
        <v>321</v>
      </c>
      <c r="E24">
        <v>2022</v>
      </c>
      <c r="F24">
        <v>0</v>
      </c>
      <c r="G24">
        <v>1</v>
      </c>
      <c r="H24">
        <v>0</v>
      </c>
      <c r="I24">
        <v>0</v>
      </c>
      <c r="J24">
        <v>1</v>
      </c>
      <c r="K24" t="s">
        <v>537</v>
      </c>
      <c r="L24">
        <v>2030</v>
      </c>
      <c r="M24">
        <v>1</v>
      </c>
      <c r="O24" t="s">
        <v>538</v>
      </c>
      <c r="R24" t="s">
        <v>1555</v>
      </c>
      <c r="S24" t="s">
        <v>303</v>
      </c>
      <c r="T24">
        <v>2</v>
      </c>
      <c r="W24" t="s">
        <v>416</v>
      </c>
      <c r="Y24">
        <v>7.2</v>
      </c>
      <c r="Z24" t="s">
        <v>388</v>
      </c>
      <c r="AA24" t="s">
        <v>217</v>
      </c>
      <c r="AB24" t="s">
        <v>540</v>
      </c>
      <c r="AE24" t="s">
        <v>309</v>
      </c>
    </row>
    <row r="25" spans="1:42" ht="176">
      <c r="A25" t="s">
        <v>403</v>
      </c>
      <c r="C25" t="s">
        <v>150</v>
      </c>
      <c r="D25" t="s">
        <v>321</v>
      </c>
      <c r="E25">
        <v>2022</v>
      </c>
      <c r="F25">
        <v>0</v>
      </c>
      <c r="G25">
        <v>1</v>
      </c>
      <c r="H25">
        <v>0</v>
      </c>
      <c r="I25">
        <v>0</v>
      </c>
      <c r="J25">
        <v>1</v>
      </c>
      <c r="K25" t="s">
        <v>541</v>
      </c>
      <c r="L25">
        <v>2030</v>
      </c>
      <c r="M25">
        <v>1</v>
      </c>
      <c r="O25" t="s">
        <v>538</v>
      </c>
      <c r="R25" s="234" t="s">
        <v>1556</v>
      </c>
      <c r="S25" t="s">
        <v>303</v>
      </c>
      <c r="T25">
        <v>2</v>
      </c>
      <c r="U25" t="s">
        <v>331</v>
      </c>
      <c r="W25" t="s">
        <v>416</v>
      </c>
      <c r="Y25">
        <v>7.2</v>
      </c>
      <c r="Z25" t="s">
        <v>388</v>
      </c>
      <c r="AE25" t="s">
        <v>309</v>
      </c>
    </row>
    <row r="26" spans="1:42">
      <c r="A26" t="s">
        <v>403</v>
      </c>
      <c r="C26" t="s">
        <v>150</v>
      </c>
      <c r="D26" t="s">
        <v>321</v>
      </c>
      <c r="E26">
        <v>2022</v>
      </c>
      <c r="F26">
        <v>0</v>
      </c>
      <c r="G26">
        <v>1</v>
      </c>
      <c r="H26">
        <v>0</v>
      </c>
      <c r="I26">
        <v>0</v>
      </c>
      <c r="J26">
        <v>1</v>
      </c>
      <c r="K26" t="s">
        <v>543</v>
      </c>
      <c r="L26">
        <v>2030</v>
      </c>
      <c r="M26">
        <v>1</v>
      </c>
      <c r="O26" t="s">
        <v>538</v>
      </c>
      <c r="R26" t="s">
        <v>1557</v>
      </c>
      <c r="S26" t="s">
        <v>303</v>
      </c>
      <c r="T26">
        <v>2</v>
      </c>
      <c r="U26" t="s">
        <v>331</v>
      </c>
      <c r="W26" t="s">
        <v>416</v>
      </c>
      <c r="Y26">
        <v>7.2</v>
      </c>
      <c r="Z26" t="s">
        <v>388</v>
      </c>
      <c r="AA26" t="s">
        <v>217</v>
      </c>
      <c r="AB26" t="s">
        <v>540</v>
      </c>
      <c r="AE26" t="s">
        <v>309</v>
      </c>
    </row>
    <row r="27" spans="1:42">
      <c r="A27" t="s">
        <v>403</v>
      </c>
      <c r="C27" t="s">
        <v>396</v>
      </c>
      <c r="D27" t="s">
        <v>102</v>
      </c>
      <c r="E27">
        <v>2023</v>
      </c>
      <c r="F27">
        <v>1</v>
      </c>
      <c r="G27">
        <v>3</v>
      </c>
      <c r="H27">
        <v>1</v>
      </c>
      <c r="J27">
        <v>1</v>
      </c>
      <c r="K27" t="s">
        <v>548</v>
      </c>
      <c r="L27">
        <v>2030</v>
      </c>
      <c r="M27">
        <v>1</v>
      </c>
      <c r="O27" t="s">
        <v>429</v>
      </c>
      <c r="P27" t="s">
        <v>549</v>
      </c>
      <c r="Q27">
        <v>0.42499999999999999</v>
      </c>
      <c r="R27" t="s">
        <v>1558</v>
      </c>
      <c r="S27" t="s">
        <v>363</v>
      </c>
      <c r="T27">
        <v>2</v>
      </c>
      <c r="U27" t="s">
        <v>433</v>
      </c>
      <c r="V27" t="s">
        <v>551</v>
      </c>
      <c r="Y27">
        <v>7.2</v>
      </c>
      <c r="Z27" t="s">
        <v>388</v>
      </c>
      <c r="AA27" t="s">
        <v>197</v>
      </c>
      <c r="AB27" t="s">
        <v>552</v>
      </c>
      <c r="AE27" t="s">
        <v>309</v>
      </c>
    </row>
    <row r="28" spans="1:42">
      <c r="A28" t="s">
        <v>403</v>
      </c>
      <c r="C28" t="s">
        <v>396</v>
      </c>
      <c r="D28" t="s">
        <v>102</v>
      </c>
      <c r="E28">
        <v>2023</v>
      </c>
      <c r="F28">
        <v>1</v>
      </c>
      <c r="G28">
        <v>3</v>
      </c>
      <c r="H28">
        <v>1</v>
      </c>
      <c r="J28">
        <v>1</v>
      </c>
      <c r="K28" t="s">
        <v>555</v>
      </c>
      <c r="L28">
        <v>2030</v>
      </c>
      <c r="M28">
        <v>1</v>
      </c>
      <c r="O28" t="s">
        <v>429</v>
      </c>
      <c r="P28" t="s">
        <v>556</v>
      </c>
      <c r="Q28" t="s">
        <v>557</v>
      </c>
      <c r="R28" t="s">
        <v>1559</v>
      </c>
      <c r="S28" t="s">
        <v>559</v>
      </c>
      <c r="T28">
        <v>2</v>
      </c>
      <c r="W28" t="s">
        <v>416</v>
      </c>
      <c r="X28" t="s">
        <v>401</v>
      </c>
      <c r="Y28">
        <v>7.2</v>
      </c>
      <c r="Z28" t="s">
        <v>388</v>
      </c>
      <c r="AA28" t="s">
        <v>197</v>
      </c>
      <c r="AB28" t="s">
        <v>560</v>
      </c>
      <c r="AE28" t="s">
        <v>309</v>
      </c>
      <c r="AP28" t="s">
        <v>310</v>
      </c>
    </row>
    <row r="29" spans="1:42">
      <c r="A29" t="s">
        <v>403</v>
      </c>
      <c r="C29" t="s">
        <v>396</v>
      </c>
      <c r="D29" t="s">
        <v>102</v>
      </c>
      <c r="E29">
        <v>2023</v>
      </c>
      <c r="F29">
        <v>1</v>
      </c>
      <c r="G29">
        <v>3</v>
      </c>
      <c r="H29">
        <v>1</v>
      </c>
      <c r="J29">
        <v>1</v>
      </c>
      <c r="K29" t="s">
        <v>561</v>
      </c>
      <c r="L29">
        <v>2030</v>
      </c>
      <c r="M29">
        <v>1</v>
      </c>
      <c r="N29" t="s">
        <v>1560</v>
      </c>
      <c r="O29" t="s">
        <v>429</v>
      </c>
      <c r="P29" t="s">
        <v>562</v>
      </c>
      <c r="Q29">
        <v>0.28999999999999998</v>
      </c>
      <c r="R29" t="s">
        <v>1561</v>
      </c>
      <c r="S29" t="s">
        <v>330</v>
      </c>
      <c r="T29">
        <v>2</v>
      </c>
      <c r="U29" t="s">
        <v>331</v>
      </c>
      <c r="W29" t="s">
        <v>564</v>
      </c>
      <c r="X29" t="s">
        <v>315</v>
      </c>
      <c r="Y29">
        <v>13.2</v>
      </c>
      <c r="Z29" t="s">
        <v>307</v>
      </c>
      <c r="AA29" t="s">
        <v>190</v>
      </c>
      <c r="AB29" t="s">
        <v>565</v>
      </c>
      <c r="AE29" t="s">
        <v>310</v>
      </c>
      <c r="AI29" t="s">
        <v>309</v>
      </c>
      <c r="AK29" t="s">
        <v>310</v>
      </c>
    </row>
    <row r="30" spans="1:42">
      <c r="A30" t="s">
        <v>403</v>
      </c>
      <c r="C30" t="s">
        <v>396</v>
      </c>
      <c r="D30" t="s">
        <v>102</v>
      </c>
      <c r="E30">
        <v>2023</v>
      </c>
      <c r="F30">
        <v>1</v>
      </c>
      <c r="G30">
        <v>3</v>
      </c>
      <c r="H30">
        <v>1</v>
      </c>
      <c r="J30">
        <v>1</v>
      </c>
      <c r="K30" t="s">
        <v>566</v>
      </c>
      <c r="L30">
        <v>2030</v>
      </c>
      <c r="M30">
        <v>1</v>
      </c>
      <c r="O30" t="s">
        <v>429</v>
      </c>
      <c r="P30" t="s">
        <v>567</v>
      </c>
      <c r="Q30" t="s">
        <v>568</v>
      </c>
      <c r="R30" t="s">
        <v>1562</v>
      </c>
      <c r="S30" t="s">
        <v>569</v>
      </c>
      <c r="T30">
        <v>2</v>
      </c>
      <c r="U30" t="s">
        <v>331</v>
      </c>
      <c r="W30" t="s">
        <v>416</v>
      </c>
      <c r="Y30">
        <v>7.2</v>
      </c>
      <c r="Z30" t="s">
        <v>388</v>
      </c>
      <c r="AA30" t="s">
        <v>197</v>
      </c>
      <c r="AB30" t="s">
        <v>570</v>
      </c>
      <c r="AE30" t="s">
        <v>309</v>
      </c>
    </row>
    <row r="31" spans="1:42">
      <c r="A31" t="s">
        <v>403</v>
      </c>
      <c r="C31" t="s">
        <v>396</v>
      </c>
      <c r="D31" t="s">
        <v>102</v>
      </c>
      <c r="E31">
        <v>2023</v>
      </c>
      <c r="F31">
        <v>1</v>
      </c>
      <c r="G31">
        <v>3</v>
      </c>
      <c r="H31">
        <v>1</v>
      </c>
      <c r="J31">
        <v>1</v>
      </c>
      <c r="K31" t="s">
        <v>1032</v>
      </c>
      <c r="L31">
        <v>2030</v>
      </c>
      <c r="M31">
        <v>1</v>
      </c>
      <c r="N31" t="s">
        <v>1563</v>
      </c>
      <c r="O31" t="s">
        <v>429</v>
      </c>
      <c r="P31" t="s">
        <v>572</v>
      </c>
      <c r="Q31">
        <v>0.65</v>
      </c>
      <c r="R31" t="s">
        <v>573</v>
      </c>
      <c r="S31" t="s">
        <v>363</v>
      </c>
      <c r="T31">
        <v>2</v>
      </c>
      <c r="U31" t="s">
        <v>433</v>
      </c>
      <c r="W31" t="s">
        <v>416</v>
      </c>
      <c r="Y31">
        <v>7.2</v>
      </c>
      <c r="Z31" t="s">
        <v>388</v>
      </c>
      <c r="AE31" t="s">
        <v>309</v>
      </c>
    </row>
    <row r="32" spans="1:42">
      <c r="A32" t="s">
        <v>403</v>
      </c>
      <c r="C32" t="s">
        <v>396</v>
      </c>
      <c r="D32" t="s">
        <v>102</v>
      </c>
      <c r="E32">
        <v>2023</v>
      </c>
      <c r="F32">
        <v>1</v>
      </c>
      <c r="G32">
        <v>3</v>
      </c>
      <c r="H32">
        <v>1</v>
      </c>
      <c r="J32">
        <v>1</v>
      </c>
      <c r="K32" t="s">
        <v>574</v>
      </c>
      <c r="L32">
        <v>2030</v>
      </c>
      <c r="M32">
        <v>1</v>
      </c>
      <c r="O32" t="s">
        <v>465</v>
      </c>
      <c r="P32" t="s">
        <v>575</v>
      </c>
      <c r="Q32" t="s">
        <v>576</v>
      </c>
      <c r="R32" t="s">
        <v>1564</v>
      </c>
      <c r="S32" t="s">
        <v>330</v>
      </c>
      <c r="T32">
        <v>2</v>
      </c>
      <c r="W32" t="s">
        <v>395</v>
      </c>
      <c r="Y32">
        <v>7.2</v>
      </c>
      <c r="Z32" t="s">
        <v>388</v>
      </c>
      <c r="AA32" t="s">
        <v>201</v>
      </c>
      <c r="AB32" t="s">
        <v>578</v>
      </c>
      <c r="AE32" t="s">
        <v>309</v>
      </c>
    </row>
    <row r="33" spans="1:36">
      <c r="A33" t="s">
        <v>403</v>
      </c>
      <c r="B33" t="s">
        <v>462</v>
      </c>
      <c r="C33" t="s">
        <v>511</v>
      </c>
      <c r="D33" t="s">
        <v>102</v>
      </c>
      <c r="E33">
        <v>2023</v>
      </c>
      <c r="F33">
        <v>1</v>
      </c>
      <c r="G33">
        <v>3</v>
      </c>
      <c r="H33">
        <v>1</v>
      </c>
      <c r="J33">
        <v>1</v>
      </c>
      <c r="K33" t="s">
        <v>595</v>
      </c>
      <c r="L33">
        <v>2030</v>
      </c>
      <c r="M33">
        <v>1</v>
      </c>
      <c r="O33" t="s">
        <v>465</v>
      </c>
      <c r="P33" t="s">
        <v>596</v>
      </c>
      <c r="Q33">
        <v>0.03</v>
      </c>
      <c r="R33" t="s">
        <v>597</v>
      </c>
      <c r="S33" t="s">
        <v>330</v>
      </c>
      <c r="T33">
        <v>2</v>
      </c>
      <c r="U33" t="s">
        <v>498</v>
      </c>
      <c r="W33" t="s">
        <v>332</v>
      </c>
      <c r="X33" t="s">
        <v>395</v>
      </c>
      <c r="Y33">
        <v>7.3</v>
      </c>
      <c r="Z33" t="s">
        <v>388</v>
      </c>
      <c r="AB33" t="s">
        <v>499</v>
      </c>
      <c r="AJ33" t="s">
        <v>309</v>
      </c>
    </row>
    <row r="34" spans="1:36">
      <c r="A34" t="s">
        <v>403</v>
      </c>
      <c r="B34" t="s">
        <v>462</v>
      </c>
      <c r="C34" t="s">
        <v>511</v>
      </c>
      <c r="D34" t="s">
        <v>102</v>
      </c>
      <c r="E34">
        <v>2023</v>
      </c>
      <c r="F34">
        <v>1</v>
      </c>
      <c r="G34">
        <v>3</v>
      </c>
      <c r="H34">
        <v>1</v>
      </c>
      <c r="J34">
        <v>1</v>
      </c>
      <c r="K34" t="s">
        <v>587</v>
      </c>
      <c r="L34">
        <v>2030</v>
      </c>
      <c r="M34">
        <v>1</v>
      </c>
      <c r="O34" t="s">
        <v>465</v>
      </c>
      <c r="P34" t="s">
        <v>588</v>
      </c>
      <c r="Q34">
        <v>1.9E-2</v>
      </c>
      <c r="R34" t="s">
        <v>589</v>
      </c>
      <c r="S34" t="s">
        <v>330</v>
      </c>
      <c r="T34">
        <v>2</v>
      </c>
      <c r="U34" t="s">
        <v>498</v>
      </c>
      <c r="W34" t="s">
        <v>468</v>
      </c>
      <c r="Y34">
        <v>7.3</v>
      </c>
      <c r="Z34" t="s">
        <v>388</v>
      </c>
      <c r="AA34" t="s">
        <v>197</v>
      </c>
      <c r="AB34" t="s">
        <v>590</v>
      </c>
      <c r="AE34" t="s">
        <v>309</v>
      </c>
    </row>
    <row r="35" spans="1:36" ht="144">
      <c r="A35" t="s">
        <v>403</v>
      </c>
      <c r="B35" t="s">
        <v>462</v>
      </c>
      <c r="C35" t="s">
        <v>511</v>
      </c>
      <c r="D35" t="s">
        <v>102</v>
      </c>
      <c r="E35">
        <v>2023</v>
      </c>
      <c r="F35">
        <v>1</v>
      </c>
      <c r="G35">
        <v>3</v>
      </c>
      <c r="H35">
        <v>1</v>
      </c>
      <c r="J35">
        <v>1</v>
      </c>
      <c r="K35" t="s">
        <v>515</v>
      </c>
      <c r="L35">
        <v>2030</v>
      </c>
      <c r="M35">
        <v>1</v>
      </c>
      <c r="O35" t="s">
        <v>465</v>
      </c>
      <c r="P35" t="s">
        <v>516</v>
      </c>
      <c r="Q35" t="s">
        <v>517</v>
      </c>
      <c r="R35" s="234" t="s">
        <v>1565</v>
      </c>
      <c r="S35" t="s">
        <v>519</v>
      </c>
      <c r="T35">
        <v>2</v>
      </c>
      <c r="U35" t="s">
        <v>331</v>
      </c>
      <c r="W35" t="s">
        <v>468</v>
      </c>
      <c r="Y35">
        <v>7.3</v>
      </c>
      <c r="Z35" t="s">
        <v>388</v>
      </c>
      <c r="AA35" t="s">
        <v>201</v>
      </c>
      <c r="AB35" t="s">
        <v>520</v>
      </c>
      <c r="AE35" t="s">
        <v>309</v>
      </c>
    </row>
    <row r="36" spans="1:36">
      <c r="A36" t="s">
        <v>403</v>
      </c>
      <c r="C36" t="s">
        <v>511</v>
      </c>
      <c r="D36" t="s">
        <v>102</v>
      </c>
      <c r="E36">
        <v>2023</v>
      </c>
      <c r="F36">
        <v>1</v>
      </c>
      <c r="G36">
        <v>3</v>
      </c>
      <c r="H36">
        <v>1</v>
      </c>
      <c r="J36">
        <v>1</v>
      </c>
      <c r="K36" t="s">
        <v>513</v>
      </c>
      <c r="L36">
        <v>2030</v>
      </c>
      <c r="M36">
        <v>1</v>
      </c>
      <c r="O36" t="s">
        <v>465</v>
      </c>
      <c r="R36" t="s">
        <v>1566</v>
      </c>
      <c r="S36" t="s">
        <v>330</v>
      </c>
      <c r="T36">
        <v>2</v>
      </c>
      <c r="Y36">
        <v>7.3</v>
      </c>
      <c r="Z36" t="s">
        <v>388</v>
      </c>
    </row>
    <row r="37" spans="1:36">
      <c r="A37" t="s">
        <v>403</v>
      </c>
      <c r="B37" t="s">
        <v>462</v>
      </c>
      <c r="C37" t="s">
        <v>511</v>
      </c>
      <c r="D37" t="s">
        <v>102</v>
      </c>
      <c r="E37">
        <v>2023</v>
      </c>
      <c r="F37">
        <v>1</v>
      </c>
      <c r="G37">
        <v>3</v>
      </c>
      <c r="H37">
        <v>1</v>
      </c>
      <c r="J37">
        <v>1</v>
      </c>
      <c r="K37" t="s">
        <v>512</v>
      </c>
      <c r="L37">
        <v>2030</v>
      </c>
      <c r="M37">
        <v>1</v>
      </c>
      <c r="O37" t="s">
        <v>465</v>
      </c>
      <c r="R37" t="s">
        <v>329</v>
      </c>
      <c r="S37" t="s">
        <v>330</v>
      </c>
      <c r="T37">
        <v>2</v>
      </c>
      <c r="Y37">
        <v>7.3</v>
      </c>
      <c r="Z37" t="s">
        <v>388</v>
      </c>
    </row>
    <row r="38" spans="1:36">
      <c r="A38" t="s">
        <v>403</v>
      </c>
      <c r="B38" t="s">
        <v>462</v>
      </c>
      <c r="C38" t="s">
        <v>324</v>
      </c>
      <c r="D38" t="s">
        <v>321</v>
      </c>
      <c r="E38">
        <v>2020</v>
      </c>
      <c r="F38">
        <v>0</v>
      </c>
      <c r="G38">
        <v>1</v>
      </c>
      <c r="H38">
        <v>0</v>
      </c>
      <c r="I38">
        <v>0</v>
      </c>
      <c r="J38">
        <v>1</v>
      </c>
      <c r="K38" t="s">
        <v>500</v>
      </c>
      <c r="L38">
        <v>2030</v>
      </c>
      <c r="M38">
        <v>1</v>
      </c>
      <c r="O38" t="s">
        <v>465</v>
      </c>
      <c r="P38" t="s">
        <v>501</v>
      </c>
      <c r="Q38" t="s">
        <v>502</v>
      </c>
      <c r="R38" t="s">
        <v>1567</v>
      </c>
      <c r="S38" t="s">
        <v>330</v>
      </c>
      <c r="T38">
        <v>2</v>
      </c>
      <c r="U38" t="s">
        <v>498</v>
      </c>
      <c r="W38" t="s">
        <v>332</v>
      </c>
      <c r="X38" t="s">
        <v>468</v>
      </c>
      <c r="Y38">
        <v>7.3</v>
      </c>
      <c r="Z38" t="s">
        <v>388</v>
      </c>
      <c r="AB38" t="s">
        <v>499</v>
      </c>
      <c r="AE38" t="s">
        <v>310</v>
      </c>
      <c r="AJ38" t="s">
        <v>309</v>
      </c>
    </row>
    <row r="39" spans="1:36">
      <c r="A39" t="s">
        <v>403</v>
      </c>
      <c r="B39" t="s">
        <v>462</v>
      </c>
      <c r="C39" t="s">
        <v>463</v>
      </c>
      <c r="D39" t="s">
        <v>101</v>
      </c>
      <c r="E39">
        <v>2021</v>
      </c>
      <c r="F39">
        <v>0</v>
      </c>
      <c r="G39">
        <v>2</v>
      </c>
      <c r="H39">
        <v>0</v>
      </c>
      <c r="I39">
        <v>1</v>
      </c>
      <c r="J39">
        <v>1</v>
      </c>
      <c r="K39" t="s">
        <v>495</v>
      </c>
      <c r="L39">
        <v>2030</v>
      </c>
      <c r="M39">
        <v>1</v>
      </c>
      <c r="O39" t="s">
        <v>465</v>
      </c>
      <c r="P39" t="s">
        <v>496</v>
      </c>
      <c r="Q39" t="s">
        <v>497</v>
      </c>
      <c r="R39" t="s">
        <v>329</v>
      </c>
      <c r="S39" t="s">
        <v>330</v>
      </c>
      <c r="T39">
        <v>2</v>
      </c>
      <c r="U39" t="s">
        <v>498</v>
      </c>
      <c r="W39" t="s">
        <v>332</v>
      </c>
      <c r="X39" t="s">
        <v>468</v>
      </c>
      <c r="Y39">
        <v>7.3</v>
      </c>
      <c r="Z39" t="s">
        <v>388</v>
      </c>
      <c r="AB39" t="s">
        <v>499</v>
      </c>
      <c r="AE39" t="s">
        <v>310</v>
      </c>
      <c r="AJ39" t="s">
        <v>309</v>
      </c>
    </row>
    <row r="40" spans="1:36">
      <c r="A40" t="s">
        <v>403</v>
      </c>
      <c r="B40" t="s">
        <v>409</v>
      </c>
      <c r="C40" t="s">
        <v>410</v>
      </c>
      <c r="D40" t="s">
        <v>321</v>
      </c>
      <c r="E40">
        <v>2020</v>
      </c>
      <c r="F40">
        <v>0</v>
      </c>
      <c r="G40">
        <v>1</v>
      </c>
      <c r="H40">
        <v>0</v>
      </c>
      <c r="I40">
        <v>0</v>
      </c>
      <c r="J40">
        <v>1</v>
      </c>
      <c r="K40" t="s">
        <v>419</v>
      </c>
      <c r="L40">
        <v>2030</v>
      </c>
      <c r="M40">
        <v>1</v>
      </c>
      <c r="O40" t="s">
        <v>412</v>
      </c>
      <c r="P40" t="s">
        <v>420</v>
      </c>
      <c r="Q40" t="s">
        <v>421</v>
      </c>
      <c r="R40" t="s">
        <v>1568</v>
      </c>
      <c r="T40">
        <v>2</v>
      </c>
      <c r="W40" t="s">
        <v>416</v>
      </c>
      <c r="Y40">
        <v>7.2</v>
      </c>
      <c r="Z40" t="s">
        <v>388</v>
      </c>
      <c r="AA40" t="s">
        <v>417</v>
      </c>
      <c r="AB40" t="s">
        <v>418</v>
      </c>
      <c r="AE40" t="s">
        <v>309</v>
      </c>
    </row>
    <row r="41" spans="1:36">
      <c r="A41" t="s">
        <v>403</v>
      </c>
      <c r="B41" t="s">
        <v>409</v>
      </c>
      <c r="C41" t="s">
        <v>410</v>
      </c>
      <c r="D41" t="s">
        <v>321</v>
      </c>
      <c r="E41">
        <v>2020</v>
      </c>
      <c r="F41">
        <v>0</v>
      </c>
      <c r="G41">
        <v>1</v>
      </c>
      <c r="H41">
        <v>0</v>
      </c>
      <c r="I41">
        <v>0</v>
      </c>
      <c r="J41">
        <v>1</v>
      </c>
      <c r="K41" t="s">
        <v>411</v>
      </c>
      <c r="L41">
        <v>2030</v>
      </c>
      <c r="M41">
        <v>1</v>
      </c>
      <c r="O41" t="s">
        <v>412</v>
      </c>
      <c r="P41" t="s">
        <v>413</v>
      </c>
      <c r="Q41" t="s">
        <v>414</v>
      </c>
      <c r="R41" t="s">
        <v>1569</v>
      </c>
      <c r="T41">
        <v>2</v>
      </c>
      <c r="W41" t="s">
        <v>416</v>
      </c>
      <c r="Y41">
        <v>7.2</v>
      </c>
      <c r="Z41" t="s">
        <v>388</v>
      </c>
      <c r="AA41" t="s">
        <v>417</v>
      </c>
      <c r="AB41" t="s">
        <v>418</v>
      </c>
      <c r="AE41" t="s">
        <v>309</v>
      </c>
    </row>
    <row r="42" spans="1:36" ht="192">
      <c r="A42" t="s">
        <v>403</v>
      </c>
      <c r="C42" t="s">
        <v>405</v>
      </c>
      <c r="D42" t="s">
        <v>321</v>
      </c>
      <c r="E42">
        <v>2022</v>
      </c>
      <c r="F42">
        <v>0</v>
      </c>
      <c r="G42">
        <v>1</v>
      </c>
      <c r="H42">
        <v>0</v>
      </c>
      <c r="I42">
        <v>0</v>
      </c>
      <c r="J42">
        <v>1</v>
      </c>
      <c r="K42" t="s">
        <v>437</v>
      </c>
      <c r="L42">
        <v>2030</v>
      </c>
      <c r="M42">
        <v>1</v>
      </c>
      <c r="N42" t="s">
        <v>438</v>
      </c>
      <c r="O42" t="s">
        <v>407</v>
      </c>
      <c r="R42" s="234" t="s">
        <v>1570</v>
      </c>
      <c r="S42" t="s">
        <v>440</v>
      </c>
      <c r="T42">
        <v>3</v>
      </c>
      <c r="U42" t="s">
        <v>331</v>
      </c>
      <c r="W42" t="s">
        <v>400</v>
      </c>
      <c r="X42" t="s">
        <v>401</v>
      </c>
      <c r="Y42">
        <v>9.4</v>
      </c>
      <c r="Z42" t="s">
        <v>402</v>
      </c>
      <c r="AA42" t="s">
        <v>216</v>
      </c>
      <c r="AB42" t="s">
        <v>441</v>
      </c>
      <c r="AE42" t="s">
        <v>310</v>
      </c>
      <c r="AF42" t="s">
        <v>309</v>
      </c>
    </row>
    <row r="43" spans="1:36">
      <c r="A43" t="s">
        <v>403</v>
      </c>
      <c r="B43" t="s">
        <v>426</v>
      </c>
      <c r="C43" t="s">
        <v>427</v>
      </c>
      <c r="D43" t="s">
        <v>321</v>
      </c>
      <c r="E43">
        <v>2020</v>
      </c>
      <c r="F43">
        <v>0</v>
      </c>
      <c r="G43">
        <v>1</v>
      </c>
      <c r="H43">
        <v>0</v>
      </c>
      <c r="I43">
        <v>0</v>
      </c>
      <c r="J43">
        <v>1</v>
      </c>
      <c r="K43" t="s">
        <v>428</v>
      </c>
      <c r="L43">
        <v>2030</v>
      </c>
      <c r="M43">
        <v>1</v>
      </c>
      <c r="O43" t="s">
        <v>429</v>
      </c>
      <c r="P43" t="s">
        <v>430</v>
      </c>
      <c r="Q43" t="s">
        <v>431</v>
      </c>
      <c r="R43" t="s">
        <v>1571</v>
      </c>
      <c r="S43" t="s">
        <v>363</v>
      </c>
      <c r="T43">
        <v>3</v>
      </c>
      <c r="U43" t="s">
        <v>433</v>
      </c>
      <c r="V43" t="s">
        <v>434</v>
      </c>
      <c r="W43" t="s">
        <v>416</v>
      </c>
      <c r="Y43">
        <v>7.2</v>
      </c>
      <c r="Z43" t="s">
        <v>388</v>
      </c>
      <c r="AE43" t="s">
        <v>309</v>
      </c>
    </row>
    <row r="44" spans="1:36" ht="409.6">
      <c r="A44" t="s">
        <v>403</v>
      </c>
      <c r="C44" t="s">
        <v>396</v>
      </c>
      <c r="D44" t="s">
        <v>102</v>
      </c>
      <c r="E44">
        <v>2023</v>
      </c>
      <c r="G44">
        <v>3</v>
      </c>
      <c r="H44">
        <v>1</v>
      </c>
      <c r="J44">
        <v>1</v>
      </c>
      <c r="K44" s="234" t="s">
        <v>480</v>
      </c>
      <c r="M44">
        <v>1</v>
      </c>
      <c r="N44" t="s">
        <v>438</v>
      </c>
      <c r="O44" t="s">
        <v>407</v>
      </c>
      <c r="Y44">
        <v>7.2</v>
      </c>
      <c r="Z44" t="s">
        <v>388</v>
      </c>
    </row>
    <row r="45" spans="1:36">
      <c r="A45" t="s">
        <v>403</v>
      </c>
      <c r="C45" t="s">
        <v>396</v>
      </c>
      <c r="D45" t="s">
        <v>102</v>
      </c>
      <c r="E45">
        <v>2023</v>
      </c>
      <c r="F45">
        <v>1</v>
      </c>
      <c r="G45">
        <v>3</v>
      </c>
      <c r="H45">
        <v>1</v>
      </c>
      <c r="J45">
        <v>1</v>
      </c>
      <c r="K45" t="s">
        <v>553</v>
      </c>
      <c r="L45">
        <v>2030</v>
      </c>
      <c r="M45">
        <v>1</v>
      </c>
      <c r="O45" t="s">
        <v>429</v>
      </c>
      <c r="Y45">
        <v>7.2</v>
      </c>
      <c r="Z45" t="s">
        <v>388</v>
      </c>
    </row>
    <row r="46" spans="1:36">
      <c r="A46" t="s">
        <v>403</v>
      </c>
      <c r="C46" t="s">
        <v>396</v>
      </c>
      <c r="D46" t="s">
        <v>102</v>
      </c>
      <c r="E46">
        <v>2023</v>
      </c>
      <c r="F46">
        <v>1</v>
      </c>
      <c r="G46">
        <v>3</v>
      </c>
      <c r="H46">
        <v>1</v>
      </c>
      <c r="J46">
        <v>1</v>
      </c>
      <c r="K46" t="s">
        <v>554</v>
      </c>
      <c r="L46">
        <v>2030</v>
      </c>
      <c r="M46">
        <v>1</v>
      </c>
      <c r="O46" t="s">
        <v>465</v>
      </c>
      <c r="Y46">
        <v>7.2</v>
      </c>
      <c r="Z46" t="s">
        <v>388</v>
      </c>
    </row>
    <row r="47" spans="1:36">
      <c r="A47" t="s">
        <v>403</v>
      </c>
      <c r="B47" t="s">
        <v>462</v>
      </c>
      <c r="C47" t="s">
        <v>463</v>
      </c>
      <c r="D47" t="s">
        <v>101</v>
      </c>
      <c r="E47">
        <v>2021</v>
      </c>
      <c r="F47">
        <v>0</v>
      </c>
      <c r="G47">
        <v>2</v>
      </c>
      <c r="H47">
        <v>0</v>
      </c>
      <c r="I47">
        <v>1</v>
      </c>
      <c r="J47">
        <v>1</v>
      </c>
      <c r="K47" t="s">
        <v>488</v>
      </c>
      <c r="L47">
        <v>2030</v>
      </c>
      <c r="M47">
        <v>1</v>
      </c>
      <c r="O47" t="s">
        <v>465</v>
      </c>
      <c r="P47" t="s">
        <v>489</v>
      </c>
      <c r="Q47">
        <v>1</v>
      </c>
      <c r="R47" t="s">
        <v>467</v>
      </c>
      <c r="W47" t="s">
        <v>332</v>
      </c>
      <c r="X47" t="s">
        <v>468</v>
      </c>
      <c r="Y47">
        <v>7.3</v>
      </c>
      <c r="Z47" t="s">
        <v>388</v>
      </c>
      <c r="AE47" t="s">
        <v>310</v>
      </c>
      <c r="AJ47" t="s">
        <v>309</v>
      </c>
    </row>
    <row r="48" spans="1:36">
      <c r="A48" t="s">
        <v>403</v>
      </c>
      <c r="B48" t="s">
        <v>462</v>
      </c>
      <c r="C48" t="s">
        <v>463</v>
      </c>
      <c r="D48" t="s">
        <v>101</v>
      </c>
      <c r="E48">
        <v>2021</v>
      </c>
      <c r="F48">
        <v>0</v>
      </c>
      <c r="G48">
        <v>2</v>
      </c>
      <c r="H48">
        <v>0</v>
      </c>
      <c r="I48">
        <v>1</v>
      </c>
      <c r="J48">
        <v>1</v>
      </c>
      <c r="K48" t="s">
        <v>481</v>
      </c>
      <c r="L48">
        <v>2030</v>
      </c>
      <c r="M48">
        <v>1</v>
      </c>
      <c r="O48" t="s">
        <v>465</v>
      </c>
      <c r="P48" t="s">
        <v>482</v>
      </c>
      <c r="Q48">
        <v>1</v>
      </c>
      <c r="R48" t="s">
        <v>467</v>
      </c>
      <c r="W48" t="s">
        <v>332</v>
      </c>
      <c r="X48" t="s">
        <v>468</v>
      </c>
      <c r="Y48">
        <v>7.3</v>
      </c>
      <c r="Z48" t="s">
        <v>388</v>
      </c>
      <c r="AE48" t="s">
        <v>310</v>
      </c>
      <c r="AJ48" t="s">
        <v>309</v>
      </c>
    </row>
    <row r="49" spans="1:41">
      <c r="A49" t="s">
        <v>403</v>
      </c>
      <c r="B49" t="s">
        <v>462</v>
      </c>
      <c r="C49" t="s">
        <v>463</v>
      </c>
      <c r="D49" t="s">
        <v>101</v>
      </c>
      <c r="E49">
        <v>2021</v>
      </c>
      <c r="F49">
        <v>0</v>
      </c>
      <c r="G49">
        <v>2</v>
      </c>
      <c r="H49">
        <v>0</v>
      </c>
      <c r="I49">
        <v>1</v>
      </c>
      <c r="J49">
        <v>1</v>
      </c>
      <c r="K49" t="s">
        <v>477</v>
      </c>
      <c r="L49">
        <v>2050</v>
      </c>
      <c r="M49">
        <v>1</v>
      </c>
      <c r="O49" t="s">
        <v>326</v>
      </c>
      <c r="P49" t="s">
        <v>478</v>
      </c>
      <c r="Q49">
        <v>1</v>
      </c>
      <c r="R49" t="s">
        <v>467</v>
      </c>
      <c r="W49" t="s">
        <v>332</v>
      </c>
      <c r="X49" t="s">
        <v>468</v>
      </c>
      <c r="Y49">
        <v>7.3</v>
      </c>
      <c r="Z49" t="s">
        <v>388</v>
      </c>
      <c r="AE49" t="s">
        <v>310</v>
      </c>
      <c r="AJ49" t="s">
        <v>309</v>
      </c>
    </row>
    <row r="50" spans="1:41">
      <c r="A50" t="s">
        <v>403</v>
      </c>
      <c r="B50" t="s">
        <v>462</v>
      </c>
      <c r="C50" t="s">
        <v>463</v>
      </c>
      <c r="D50" t="s">
        <v>101</v>
      </c>
      <c r="E50">
        <v>2021</v>
      </c>
      <c r="F50">
        <v>0</v>
      </c>
      <c r="G50">
        <v>2</v>
      </c>
      <c r="H50">
        <v>0</v>
      </c>
      <c r="I50">
        <v>1</v>
      </c>
      <c r="J50">
        <v>1</v>
      </c>
      <c r="K50" t="s">
        <v>475</v>
      </c>
      <c r="L50">
        <v>2030</v>
      </c>
      <c r="M50">
        <v>1</v>
      </c>
      <c r="O50" t="s">
        <v>465</v>
      </c>
      <c r="P50" t="s">
        <v>476</v>
      </c>
      <c r="Q50">
        <v>1</v>
      </c>
      <c r="R50" t="s">
        <v>467</v>
      </c>
      <c r="W50" t="s">
        <v>332</v>
      </c>
      <c r="X50" t="s">
        <v>468</v>
      </c>
      <c r="Y50">
        <v>7.2</v>
      </c>
      <c r="Z50" t="s">
        <v>388</v>
      </c>
      <c r="AE50" t="s">
        <v>310</v>
      </c>
      <c r="AJ50" t="s">
        <v>309</v>
      </c>
    </row>
    <row r="51" spans="1:41">
      <c r="A51" t="s">
        <v>403</v>
      </c>
      <c r="B51" t="s">
        <v>462</v>
      </c>
      <c r="C51" t="s">
        <v>463</v>
      </c>
      <c r="D51" t="s">
        <v>101</v>
      </c>
      <c r="E51">
        <v>2021</v>
      </c>
      <c r="F51">
        <v>0</v>
      </c>
      <c r="G51">
        <v>2</v>
      </c>
      <c r="H51">
        <v>0</v>
      </c>
      <c r="I51">
        <v>1</v>
      </c>
      <c r="J51">
        <v>1</v>
      </c>
      <c r="K51" t="s">
        <v>1572</v>
      </c>
      <c r="L51">
        <v>2030</v>
      </c>
      <c r="M51">
        <v>1</v>
      </c>
      <c r="O51" t="s">
        <v>465</v>
      </c>
      <c r="P51" t="s">
        <v>466</v>
      </c>
      <c r="R51" t="s">
        <v>467</v>
      </c>
      <c r="W51" t="s">
        <v>332</v>
      </c>
      <c r="X51" t="s">
        <v>468</v>
      </c>
      <c r="Y51">
        <v>7.3</v>
      </c>
      <c r="Z51" t="s">
        <v>388</v>
      </c>
      <c r="AE51" t="s">
        <v>310</v>
      </c>
      <c r="AJ51" t="s">
        <v>309</v>
      </c>
    </row>
    <row r="52" spans="1:41" ht="409.6">
      <c r="A52" t="s">
        <v>598</v>
      </c>
      <c r="B52" t="s">
        <v>706</v>
      </c>
      <c r="C52" t="s">
        <v>707</v>
      </c>
      <c r="D52" t="s">
        <v>298</v>
      </c>
      <c r="E52">
        <v>2023</v>
      </c>
      <c r="F52">
        <v>1</v>
      </c>
      <c r="G52">
        <v>3</v>
      </c>
      <c r="H52">
        <v>1</v>
      </c>
      <c r="J52">
        <v>1</v>
      </c>
      <c r="K52" s="234" t="s">
        <v>732</v>
      </c>
      <c r="L52">
        <v>2023</v>
      </c>
      <c r="M52">
        <v>1</v>
      </c>
      <c r="N52" t="s">
        <v>733</v>
      </c>
      <c r="O52" t="s">
        <v>709</v>
      </c>
      <c r="P52" t="s">
        <v>734</v>
      </c>
      <c r="Q52" t="s">
        <v>735</v>
      </c>
      <c r="R52" s="234" t="s">
        <v>1573</v>
      </c>
      <c r="T52">
        <v>0</v>
      </c>
      <c r="U52" t="s">
        <v>331</v>
      </c>
      <c r="W52" t="s">
        <v>711</v>
      </c>
      <c r="X52" t="s">
        <v>623</v>
      </c>
      <c r="Y52">
        <v>12.6</v>
      </c>
      <c r="Z52" t="s">
        <v>614</v>
      </c>
      <c r="AO52" t="s">
        <v>309</v>
      </c>
    </row>
    <row r="53" spans="1:41">
      <c r="A53" t="s">
        <v>598</v>
      </c>
      <c r="B53" t="s">
        <v>706</v>
      </c>
      <c r="C53" t="s">
        <v>707</v>
      </c>
      <c r="D53" t="s">
        <v>298</v>
      </c>
      <c r="E53">
        <v>2023</v>
      </c>
      <c r="F53">
        <v>1</v>
      </c>
      <c r="G53">
        <v>3</v>
      </c>
      <c r="H53">
        <v>1</v>
      </c>
      <c r="J53">
        <v>1</v>
      </c>
      <c r="K53" t="s">
        <v>728</v>
      </c>
      <c r="L53">
        <v>2028</v>
      </c>
      <c r="M53">
        <v>1</v>
      </c>
      <c r="O53" t="s">
        <v>709</v>
      </c>
      <c r="P53" t="s">
        <v>729</v>
      </c>
      <c r="Q53" t="s">
        <v>730</v>
      </c>
      <c r="R53" t="s">
        <v>731</v>
      </c>
      <c r="T53">
        <v>0</v>
      </c>
      <c r="U53" t="s">
        <v>331</v>
      </c>
      <c r="W53" t="s">
        <v>711</v>
      </c>
      <c r="X53" t="s">
        <v>623</v>
      </c>
      <c r="Y53">
        <v>12.6</v>
      </c>
      <c r="Z53" t="s">
        <v>614</v>
      </c>
    </row>
    <row r="54" spans="1:41" ht="350">
      <c r="A54" t="s">
        <v>598</v>
      </c>
      <c r="B54" t="s">
        <v>706</v>
      </c>
      <c r="C54" t="s">
        <v>707</v>
      </c>
      <c r="D54" t="s">
        <v>298</v>
      </c>
      <c r="E54">
        <v>2023</v>
      </c>
      <c r="F54">
        <v>1</v>
      </c>
      <c r="G54">
        <v>3</v>
      </c>
      <c r="H54">
        <v>1</v>
      </c>
      <c r="J54">
        <v>1</v>
      </c>
      <c r="K54" s="234" t="s">
        <v>724</v>
      </c>
      <c r="L54">
        <v>2031</v>
      </c>
      <c r="M54">
        <v>1</v>
      </c>
      <c r="O54" t="s">
        <v>709</v>
      </c>
      <c r="P54" t="s">
        <v>725</v>
      </c>
      <c r="Q54" t="s">
        <v>726</v>
      </c>
      <c r="R54" t="s">
        <v>727</v>
      </c>
      <c r="T54">
        <v>0</v>
      </c>
      <c r="U54" t="s">
        <v>331</v>
      </c>
      <c r="W54" t="s">
        <v>711</v>
      </c>
      <c r="X54" t="s">
        <v>623</v>
      </c>
      <c r="Y54">
        <v>12.5</v>
      </c>
      <c r="Z54" t="s">
        <v>614</v>
      </c>
    </row>
    <row r="55" spans="1:41" ht="335">
      <c r="A55" t="s">
        <v>598</v>
      </c>
      <c r="B55" t="s">
        <v>706</v>
      </c>
      <c r="C55" t="s">
        <v>707</v>
      </c>
      <c r="D55" t="s">
        <v>298</v>
      </c>
      <c r="E55">
        <v>2023</v>
      </c>
      <c r="F55">
        <v>1</v>
      </c>
      <c r="G55">
        <v>3</v>
      </c>
      <c r="H55">
        <v>1</v>
      </c>
      <c r="J55">
        <v>1</v>
      </c>
      <c r="K55" s="234" t="s">
        <v>720</v>
      </c>
      <c r="L55">
        <v>2027</v>
      </c>
      <c r="M55">
        <v>1</v>
      </c>
      <c r="O55" t="s">
        <v>709</v>
      </c>
      <c r="P55" t="s">
        <v>721</v>
      </c>
      <c r="Q55" t="s">
        <v>722</v>
      </c>
      <c r="R55" t="s">
        <v>723</v>
      </c>
      <c r="T55">
        <v>0</v>
      </c>
      <c r="U55" t="s">
        <v>331</v>
      </c>
      <c r="W55" t="s">
        <v>711</v>
      </c>
      <c r="X55" t="s">
        <v>623</v>
      </c>
      <c r="Y55">
        <v>12.5</v>
      </c>
      <c r="Z55" t="s">
        <v>614</v>
      </c>
    </row>
    <row r="56" spans="1:41">
      <c r="A56" t="s">
        <v>598</v>
      </c>
      <c r="B56" t="s">
        <v>599</v>
      </c>
      <c r="C56" t="s">
        <v>646</v>
      </c>
      <c r="D56" t="s">
        <v>110</v>
      </c>
      <c r="E56">
        <v>2022</v>
      </c>
      <c r="F56">
        <v>0</v>
      </c>
      <c r="G56">
        <v>2</v>
      </c>
      <c r="H56">
        <v>0</v>
      </c>
      <c r="I56">
        <v>1</v>
      </c>
      <c r="J56">
        <v>1</v>
      </c>
      <c r="K56" t="s">
        <v>688</v>
      </c>
      <c r="L56">
        <v>2030</v>
      </c>
      <c r="M56">
        <v>1</v>
      </c>
      <c r="N56" t="s">
        <v>689</v>
      </c>
      <c r="O56" t="s">
        <v>636</v>
      </c>
      <c r="P56" t="s">
        <v>690</v>
      </c>
      <c r="Q56" t="s">
        <v>691</v>
      </c>
      <c r="R56" t="s">
        <v>692</v>
      </c>
      <c r="T56">
        <v>0</v>
      </c>
      <c r="U56" t="s">
        <v>331</v>
      </c>
      <c r="W56" t="s">
        <v>623</v>
      </c>
      <c r="Y56">
        <v>12.5</v>
      </c>
      <c r="Z56" t="s">
        <v>614</v>
      </c>
      <c r="AA56" t="s">
        <v>197</v>
      </c>
      <c r="AB56" t="s">
        <v>675</v>
      </c>
      <c r="AO56" t="s">
        <v>309</v>
      </c>
    </row>
    <row r="57" spans="1:41">
      <c r="A57" t="s">
        <v>598</v>
      </c>
      <c r="B57" t="s">
        <v>768</v>
      </c>
      <c r="C57" t="s">
        <v>774</v>
      </c>
      <c r="D57" t="s">
        <v>321</v>
      </c>
      <c r="E57">
        <v>2020</v>
      </c>
      <c r="F57">
        <v>0</v>
      </c>
      <c r="G57">
        <v>1</v>
      </c>
      <c r="H57">
        <v>0</v>
      </c>
      <c r="I57">
        <v>0</v>
      </c>
      <c r="J57">
        <v>1</v>
      </c>
      <c r="K57" t="s">
        <v>775</v>
      </c>
      <c r="L57">
        <v>2030</v>
      </c>
      <c r="M57">
        <v>1</v>
      </c>
      <c r="O57" t="s">
        <v>602</v>
      </c>
      <c r="P57" t="s">
        <v>776</v>
      </c>
      <c r="Q57">
        <v>0.23400000000000001</v>
      </c>
      <c r="R57" t="s">
        <v>777</v>
      </c>
      <c r="S57" t="s">
        <v>519</v>
      </c>
      <c r="T57">
        <v>1</v>
      </c>
      <c r="U57" t="s">
        <v>778</v>
      </c>
      <c r="V57" t="s">
        <v>779</v>
      </c>
      <c r="W57" t="s">
        <v>623</v>
      </c>
      <c r="Y57">
        <v>12.5</v>
      </c>
      <c r="Z57" t="s">
        <v>614</v>
      </c>
      <c r="AB57" t="s">
        <v>780</v>
      </c>
      <c r="AO57" t="s">
        <v>309</v>
      </c>
    </row>
    <row r="58" spans="1:41">
      <c r="A58" t="s">
        <v>598</v>
      </c>
      <c r="B58" t="s">
        <v>706</v>
      </c>
      <c r="C58" t="s">
        <v>707</v>
      </c>
      <c r="D58" t="s">
        <v>298</v>
      </c>
      <c r="E58">
        <v>2023</v>
      </c>
      <c r="F58">
        <v>1</v>
      </c>
      <c r="G58">
        <v>3</v>
      </c>
      <c r="H58">
        <v>1</v>
      </c>
      <c r="J58">
        <v>1</v>
      </c>
      <c r="K58" t="s">
        <v>737</v>
      </c>
      <c r="M58">
        <v>1</v>
      </c>
      <c r="O58" t="s">
        <v>709</v>
      </c>
      <c r="R58" t="s">
        <v>738</v>
      </c>
      <c r="T58">
        <v>1</v>
      </c>
      <c r="U58" t="s">
        <v>331</v>
      </c>
      <c r="W58" t="s">
        <v>711</v>
      </c>
      <c r="X58" t="s">
        <v>623</v>
      </c>
      <c r="Y58">
        <v>12.6</v>
      </c>
      <c r="Z58" t="s">
        <v>614</v>
      </c>
    </row>
    <row r="59" spans="1:41">
      <c r="A59" t="s">
        <v>598</v>
      </c>
      <c r="B59" t="s">
        <v>599</v>
      </c>
      <c r="C59" t="s">
        <v>646</v>
      </c>
      <c r="D59" t="s">
        <v>110</v>
      </c>
      <c r="E59">
        <v>2022</v>
      </c>
      <c r="F59">
        <v>0</v>
      </c>
      <c r="G59">
        <v>2</v>
      </c>
      <c r="H59">
        <v>0</v>
      </c>
      <c r="I59">
        <v>1</v>
      </c>
      <c r="J59">
        <v>1</v>
      </c>
      <c r="K59" t="s">
        <v>676</v>
      </c>
      <c r="L59">
        <v>2030</v>
      </c>
      <c r="M59">
        <v>1</v>
      </c>
      <c r="O59" t="s">
        <v>648</v>
      </c>
      <c r="P59" t="s">
        <v>677</v>
      </c>
      <c r="Q59" t="s">
        <v>678</v>
      </c>
      <c r="R59" t="s">
        <v>1574</v>
      </c>
      <c r="S59" t="s">
        <v>356</v>
      </c>
      <c r="T59">
        <v>1</v>
      </c>
      <c r="U59" t="s">
        <v>331</v>
      </c>
      <c r="W59" t="s">
        <v>606</v>
      </c>
      <c r="X59" t="s">
        <v>623</v>
      </c>
      <c r="Y59">
        <v>12.5</v>
      </c>
      <c r="Z59" t="s">
        <v>614</v>
      </c>
      <c r="AO59" t="s">
        <v>309</v>
      </c>
    </row>
    <row r="60" spans="1:41" ht="32">
      <c r="A60" t="s">
        <v>598</v>
      </c>
      <c r="B60" t="s">
        <v>768</v>
      </c>
      <c r="C60" t="s">
        <v>774</v>
      </c>
      <c r="D60" t="s">
        <v>321</v>
      </c>
      <c r="E60">
        <v>2020</v>
      </c>
      <c r="F60">
        <v>0</v>
      </c>
      <c r="G60">
        <v>1</v>
      </c>
      <c r="H60">
        <v>0</v>
      </c>
      <c r="I60">
        <v>0</v>
      </c>
      <c r="J60">
        <v>1</v>
      </c>
      <c r="K60" t="s">
        <v>787</v>
      </c>
      <c r="L60">
        <v>2030</v>
      </c>
      <c r="M60">
        <v>1</v>
      </c>
      <c r="O60" t="s">
        <v>602</v>
      </c>
      <c r="P60" t="s">
        <v>788</v>
      </c>
      <c r="Q60">
        <v>0.5</v>
      </c>
      <c r="R60" t="s">
        <v>789</v>
      </c>
      <c r="S60" t="s">
        <v>519</v>
      </c>
      <c r="T60">
        <v>2</v>
      </c>
      <c r="U60" t="s">
        <v>784</v>
      </c>
      <c r="V60" s="234" t="s">
        <v>790</v>
      </c>
      <c r="W60" t="s">
        <v>606</v>
      </c>
      <c r="Y60">
        <v>11.6</v>
      </c>
      <c r="Z60" t="s">
        <v>607</v>
      </c>
      <c r="AA60" t="s">
        <v>197</v>
      </c>
      <c r="AB60" t="s">
        <v>624</v>
      </c>
      <c r="AC60" t="s">
        <v>791</v>
      </c>
      <c r="AO60" t="s">
        <v>309</v>
      </c>
    </row>
    <row r="61" spans="1:41">
      <c r="A61" t="s">
        <v>598</v>
      </c>
      <c r="B61" t="s">
        <v>768</v>
      </c>
      <c r="C61" t="s">
        <v>774</v>
      </c>
      <c r="D61" t="s">
        <v>321</v>
      </c>
      <c r="E61">
        <v>2020</v>
      </c>
      <c r="F61">
        <v>0</v>
      </c>
      <c r="G61">
        <v>1</v>
      </c>
      <c r="H61">
        <v>0</v>
      </c>
      <c r="I61">
        <v>0</v>
      </c>
      <c r="J61">
        <v>1</v>
      </c>
      <c r="K61" t="s">
        <v>781</v>
      </c>
      <c r="L61">
        <v>2035</v>
      </c>
      <c r="M61">
        <v>1</v>
      </c>
      <c r="O61" t="s">
        <v>602</v>
      </c>
      <c r="P61" t="s">
        <v>782</v>
      </c>
      <c r="Q61">
        <v>0.1</v>
      </c>
      <c r="R61" t="s">
        <v>783</v>
      </c>
      <c r="T61">
        <v>2</v>
      </c>
      <c r="U61" t="s">
        <v>784</v>
      </c>
      <c r="V61" t="s">
        <v>785</v>
      </c>
      <c r="W61" t="s">
        <v>606</v>
      </c>
      <c r="Y61">
        <v>11.6</v>
      </c>
      <c r="Z61" t="s">
        <v>607</v>
      </c>
      <c r="AA61" t="s">
        <v>197</v>
      </c>
      <c r="AB61" t="s">
        <v>786</v>
      </c>
      <c r="AO61" t="s">
        <v>309</v>
      </c>
    </row>
    <row r="62" spans="1:41" ht="409.6">
      <c r="A62" t="s">
        <v>598</v>
      </c>
      <c r="B62" t="s">
        <v>740</v>
      </c>
      <c r="C62" t="s">
        <v>745</v>
      </c>
      <c r="D62" t="s">
        <v>110</v>
      </c>
      <c r="E62">
        <v>2023</v>
      </c>
      <c r="F62">
        <v>0</v>
      </c>
      <c r="G62">
        <v>2</v>
      </c>
      <c r="H62">
        <v>0</v>
      </c>
      <c r="I62">
        <v>1</v>
      </c>
      <c r="J62">
        <v>1</v>
      </c>
      <c r="K62" t="s">
        <v>762</v>
      </c>
      <c r="L62">
        <v>2030</v>
      </c>
      <c r="M62">
        <v>1</v>
      </c>
      <c r="N62" t="s">
        <v>763</v>
      </c>
      <c r="O62" t="s">
        <v>744</v>
      </c>
      <c r="P62" t="s">
        <v>764</v>
      </c>
      <c r="Q62">
        <v>0.1</v>
      </c>
      <c r="R62" s="234" t="s">
        <v>765</v>
      </c>
      <c r="T62">
        <v>2</v>
      </c>
      <c r="U62" t="s">
        <v>498</v>
      </c>
      <c r="W62" t="s">
        <v>401</v>
      </c>
      <c r="Y62">
        <v>12.2</v>
      </c>
      <c r="Z62" t="s">
        <v>614</v>
      </c>
      <c r="AA62" t="s">
        <v>754</v>
      </c>
      <c r="AB62" t="s">
        <v>760</v>
      </c>
      <c r="AC62" t="s">
        <v>761</v>
      </c>
    </row>
    <row r="63" spans="1:41" ht="409.6">
      <c r="A63" t="s">
        <v>598</v>
      </c>
      <c r="B63" t="s">
        <v>740</v>
      </c>
      <c r="C63" t="s">
        <v>745</v>
      </c>
      <c r="D63" t="s">
        <v>110</v>
      </c>
      <c r="E63">
        <v>2023</v>
      </c>
      <c r="F63">
        <v>0</v>
      </c>
      <c r="G63">
        <v>2</v>
      </c>
      <c r="H63">
        <v>0</v>
      </c>
      <c r="I63">
        <v>1</v>
      </c>
      <c r="J63">
        <v>1</v>
      </c>
      <c r="K63" t="s">
        <v>756</v>
      </c>
      <c r="L63">
        <v>2030</v>
      </c>
      <c r="M63">
        <v>1</v>
      </c>
      <c r="N63" t="s">
        <v>757</v>
      </c>
      <c r="O63" t="s">
        <v>744</v>
      </c>
      <c r="P63" t="s">
        <v>758</v>
      </c>
      <c r="Q63">
        <v>0.4</v>
      </c>
      <c r="R63" s="234" t="s">
        <v>759</v>
      </c>
      <c r="T63">
        <v>2</v>
      </c>
      <c r="U63" t="s">
        <v>331</v>
      </c>
      <c r="W63" t="s">
        <v>401</v>
      </c>
      <c r="Y63">
        <v>12.2</v>
      </c>
      <c r="Z63" t="s">
        <v>614</v>
      </c>
      <c r="AA63" t="s">
        <v>754</v>
      </c>
      <c r="AB63" t="s">
        <v>760</v>
      </c>
      <c r="AC63" t="s">
        <v>761</v>
      </c>
    </row>
    <row r="64" spans="1:41" ht="365">
      <c r="A64" t="s">
        <v>598</v>
      </c>
      <c r="B64" t="s">
        <v>740</v>
      </c>
      <c r="C64" t="s">
        <v>745</v>
      </c>
      <c r="D64" t="s">
        <v>110</v>
      </c>
      <c r="E64">
        <v>2023</v>
      </c>
      <c r="F64">
        <v>0</v>
      </c>
      <c r="G64">
        <v>2</v>
      </c>
      <c r="H64">
        <v>0</v>
      </c>
      <c r="I64">
        <v>1</v>
      </c>
      <c r="J64">
        <v>1</v>
      </c>
      <c r="K64" t="s">
        <v>750</v>
      </c>
      <c r="L64">
        <v>2030</v>
      </c>
      <c r="M64">
        <v>1</v>
      </c>
      <c r="N64" t="s">
        <v>751</v>
      </c>
      <c r="O64" t="s">
        <v>744</v>
      </c>
      <c r="P64" t="s">
        <v>752</v>
      </c>
      <c r="Q64">
        <v>0.15</v>
      </c>
      <c r="R64" s="234" t="s">
        <v>753</v>
      </c>
      <c r="T64">
        <v>2</v>
      </c>
      <c r="U64" t="s">
        <v>331</v>
      </c>
      <c r="W64" t="s">
        <v>401</v>
      </c>
      <c r="X64" t="s">
        <v>623</v>
      </c>
      <c r="Y64">
        <v>12.2</v>
      </c>
      <c r="Z64" t="s">
        <v>614</v>
      </c>
      <c r="AA64" t="s">
        <v>754</v>
      </c>
      <c r="AB64" t="s">
        <v>755</v>
      </c>
    </row>
    <row r="65" spans="1:41">
      <c r="A65" t="s">
        <v>598</v>
      </c>
      <c r="B65" t="s">
        <v>740</v>
      </c>
      <c r="C65" t="s">
        <v>745</v>
      </c>
      <c r="D65" t="s">
        <v>110</v>
      </c>
      <c r="E65">
        <v>2023</v>
      </c>
      <c r="F65">
        <v>0</v>
      </c>
      <c r="G65">
        <v>2</v>
      </c>
      <c r="H65">
        <v>0</v>
      </c>
      <c r="I65">
        <v>1</v>
      </c>
      <c r="J65">
        <v>1</v>
      </c>
      <c r="K65" t="s">
        <v>746</v>
      </c>
      <c r="L65">
        <v>2030</v>
      </c>
      <c r="M65">
        <v>1</v>
      </c>
      <c r="O65" t="s">
        <v>744</v>
      </c>
      <c r="P65" t="s">
        <v>747</v>
      </c>
      <c r="Q65">
        <v>0.65</v>
      </c>
      <c r="R65" t="s">
        <v>748</v>
      </c>
      <c r="T65">
        <v>2</v>
      </c>
      <c r="U65" t="s">
        <v>331</v>
      </c>
      <c r="W65" t="s">
        <v>401</v>
      </c>
      <c r="Y65">
        <v>12.2</v>
      </c>
      <c r="Z65" t="s">
        <v>614</v>
      </c>
      <c r="AA65" t="s">
        <v>749</v>
      </c>
    </row>
    <row r="66" spans="1:41" ht="409.6">
      <c r="A66" t="s">
        <v>598</v>
      </c>
      <c r="B66" t="s">
        <v>706</v>
      </c>
      <c r="C66" t="s">
        <v>707</v>
      </c>
      <c r="D66" t="s">
        <v>298</v>
      </c>
      <c r="E66">
        <v>2023</v>
      </c>
      <c r="F66">
        <v>1</v>
      </c>
      <c r="G66">
        <v>3</v>
      </c>
      <c r="H66">
        <v>1</v>
      </c>
      <c r="J66">
        <v>1</v>
      </c>
      <c r="K66" s="234" t="s">
        <v>715</v>
      </c>
      <c r="L66">
        <v>2030</v>
      </c>
      <c r="M66">
        <v>1</v>
      </c>
      <c r="O66" t="s">
        <v>709</v>
      </c>
      <c r="R66" t="s">
        <v>716</v>
      </c>
      <c r="T66">
        <v>2</v>
      </c>
      <c r="U66" t="s">
        <v>331</v>
      </c>
      <c r="W66" t="s">
        <v>711</v>
      </c>
      <c r="X66" t="s">
        <v>623</v>
      </c>
      <c r="Y66">
        <v>12.5</v>
      </c>
      <c r="Z66" t="s">
        <v>614</v>
      </c>
    </row>
    <row r="67" spans="1:41" ht="335">
      <c r="A67" t="s">
        <v>598</v>
      </c>
      <c r="B67" t="s">
        <v>706</v>
      </c>
      <c r="C67" t="s">
        <v>707</v>
      </c>
      <c r="D67" t="s">
        <v>298</v>
      </c>
      <c r="E67">
        <v>2023</v>
      </c>
      <c r="F67">
        <v>1</v>
      </c>
      <c r="G67">
        <v>3</v>
      </c>
      <c r="H67">
        <v>1</v>
      </c>
      <c r="J67">
        <v>1</v>
      </c>
      <c r="K67" s="234" t="s">
        <v>708</v>
      </c>
      <c r="L67">
        <v>2027</v>
      </c>
      <c r="M67">
        <v>1</v>
      </c>
      <c r="O67" t="s">
        <v>709</v>
      </c>
      <c r="R67" t="s">
        <v>710</v>
      </c>
      <c r="T67">
        <v>2</v>
      </c>
      <c r="U67" t="s">
        <v>331</v>
      </c>
      <c r="W67" t="s">
        <v>711</v>
      </c>
      <c r="X67" t="s">
        <v>623</v>
      </c>
      <c r="Y67">
        <v>12.5</v>
      </c>
      <c r="Z67" t="s">
        <v>614</v>
      </c>
    </row>
    <row r="68" spans="1:41" ht="176">
      <c r="A68" t="s">
        <v>598</v>
      </c>
      <c r="B68" t="s">
        <v>599</v>
      </c>
      <c r="C68" t="s">
        <v>608</v>
      </c>
      <c r="D68" t="s">
        <v>101</v>
      </c>
      <c r="E68">
        <v>2023</v>
      </c>
      <c r="F68">
        <v>0</v>
      </c>
      <c r="G68">
        <v>2</v>
      </c>
      <c r="H68">
        <v>0</v>
      </c>
      <c r="I68">
        <v>1</v>
      </c>
      <c r="J68">
        <v>1</v>
      </c>
      <c r="K68" t="s">
        <v>703</v>
      </c>
      <c r="L68">
        <v>2030</v>
      </c>
      <c r="M68">
        <v>1</v>
      </c>
      <c r="N68" s="234" t="s">
        <v>704</v>
      </c>
      <c r="O68" t="s">
        <v>696</v>
      </c>
      <c r="P68" t="s">
        <v>697</v>
      </c>
      <c r="Q68" t="s">
        <v>705</v>
      </c>
      <c r="R68" t="s">
        <v>1575</v>
      </c>
      <c r="S68" t="s">
        <v>519</v>
      </c>
      <c r="T68">
        <v>2</v>
      </c>
      <c r="U68" t="s">
        <v>700</v>
      </c>
      <c r="V68" t="s">
        <v>701</v>
      </c>
      <c r="W68" t="s">
        <v>606</v>
      </c>
      <c r="X68" t="s">
        <v>617</v>
      </c>
      <c r="Y68">
        <v>12.3</v>
      </c>
      <c r="Z68" t="s">
        <v>614</v>
      </c>
      <c r="AA68" t="s">
        <v>702</v>
      </c>
      <c r="AB68" t="s">
        <v>618</v>
      </c>
    </row>
    <row r="69" spans="1:41" ht="240">
      <c r="A69" t="s">
        <v>598</v>
      </c>
      <c r="B69" t="s">
        <v>599</v>
      </c>
      <c r="C69" t="s">
        <v>608</v>
      </c>
      <c r="D69" t="s">
        <v>101</v>
      </c>
      <c r="E69">
        <v>2023</v>
      </c>
      <c r="F69">
        <v>0</v>
      </c>
      <c r="G69">
        <v>2</v>
      </c>
      <c r="H69">
        <v>0</v>
      </c>
      <c r="I69">
        <v>1</v>
      </c>
      <c r="J69">
        <v>1</v>
      </c>
      <c r="K69" t="s">
        <v>694</v>
      </c>
      <c r="L69">
        <v>2030</v>
      </c>
      <c r="M69">
        <v>1</v>
      </c>
      <c r="N69" s="234" t="s">
        <v>695</v>
      </c>
      <c r="O69" t="s">
        <v>696</v>
      </c>
      <c r="P69" t="s">
        <v>697</v>
      </c>
      <c r="Q69" t="s">
        <v>698</v>
      </c>
      <c r="R69" t="s">
        <v>1575</v>
      </c>
      <c r="S69" t="s">
        <v>519</v>
      </c>
      <c r="T69">
        <v>2</v>
      </c>
      <c r="U69" t="s">
        <v>700</v>
      </c>
      <c r="V69" t="s">
        <v>701</v>
      </c>
      <c r="W69" t="s">
        <v>606</v>
      </c>
      <c r="X69" t="s">
        <v>617</v>
      </c>
      <c r="Y69">
        <v>12.3</v>
      </c>
      <c r="Z69" t="s">
        <v>614</v>
      </c>
      <c r="AA69" t="s">
        <v>702</v>
      </c>
      <c r="AB69" t="s">
        <v>618</v>
      </c>
    </row>
    <row r="70" spans="1:41" ht="409.6">
      <c r="A70" t="s">
        <v>598</v>
      </c>
      <c r="B70" t="s">
        <v>599</v>
      </c>
      <c r="C70" t="s">
        <v>646</v>
      </c>
      <c r="D70" t="s">
        <v>110</v>
      </c>
      <c r="E70">
        <v>2022</v>
      </c>
      <c r="F70">
        <v>0</v>
      </c>
      <c r="G70">
        <v>2</v>
      </c>
      <c r="H70">
        <v>0</v>
      </c>
      <c r="I70">
        <v>1</v>
      </c>
      <c r="J70">
        <v>1</v>
      </c>
      <c r="K70" s="234" t="s">
        <v>685</v>
      </c>
      <c r="L70">
        <v>2030</v>
      </c>
      <c r="M70">
        <v>1</v>
      </c>
      <c r="N70" t="s">
        <v>686</v>
      </c>
      <c r="O70" t="s">
        <v>636</v>
      </c>
      <c r="R70" t="s">
        <v>687</v>
      </c>
      <c r="S70" t="s">
        <v>303</v>
      </c>
      <c r="T70">
        <v>2</v>
      </c>
      <c r="U70" t="s">
        <v>331</v>
      </c>
      <c r="W70" t="s">
        <v>640</v>
      </c>
      <c r="X70" t="s">
        <v>623</v>
      </c>
      <c r="Y70">
        <v>12.5</v>
      </c>
      <c r="Z70" t="s">
        <v>614</v>
      </c>
      <c r="AO70" t="s">
        <v>309</v>
      </c>
    </row>
    <row r="71" spans="1:41">
      <c r="A71" t="s">
        <v>598</v>
      </c>
      <c r="B71" t="s">
        <v>599</v>
      </c>
      <c r="C71" t="s">
        <v>646</v>
      </c>
      <c r="D71" t="s">
        <v>110</v>
      </c>
      <c r="E71">
        <v>2022</v>
      </c>
      <c r="F71">
        <v>0</v>
      </c>
      <c r="G71">
        <v>2</v>
      </c>
      <c r="H71">
        <v>0</v>
      </c>
      <c r="I71">
        <v>1</v>
      </c>
      <c r="J71">
        <v>1</v>
      </c>
      <c r="K71" t="s">
        <v>680</v>
      </c>
      <c r="L71">
        <v>2025</v>
      </c>
      <c r="M71">
        <v>1</v>
      </c>
      <c r="O71" t="s">
        <v>636</v>
      </c>
      <c r="P71" t="s">
        <v>681</v>
      </c>
      <c r="Q71" t="s">
        <v>682</v>
      </c>
      <c r="R71" t="s">
        <v>1576</v>
      </c>
      <c r="S71" t="s">
        <v>363</v>
      </c>
      <c r="T71">
        <v>2</v>
      </c>
      <c r="U71" t="s">
        <v>331</v>
      </c>
      <c r="W71" t="s">
        <v>640</v>
      </c>
      <c r="Y71">
        <v>12.5</v>
      </c>
      <c r="Z71" t="s">
        <v>614</v>
      </c>
      <c r="AA71" t="s">
        <v>197</v>
      </c>
      <c r="AB71" t="s">
        <v>684</v>
      </c>
      <c r="AO71" t="s">
        <v>309</v>
      </c>
    </row>
    <row r="72" spans="1:41">
      <c r="A72" t="s">
        <v>598</v>
      </c>
      <c r="B72" t="s">
        <v>599</v>
      </c>
      <c r="C72" t="s">
        <v>646</v>
      </c>
      <c r="D72" t="s">
        <v>110</v>
      </c>
      <c r="E72">
        <v>2022</v>
      </c>
      <c r="F72">
        <v>0</v>
      </c>
      <c r="G72">
        <v>2</v>
      </c>
      <c r="H72">
        <v>0</v>
      </c>
      <c r="I72">
        <v>1</v>
      </c>
      <c r="J72">
        <v>1</v>
      </c>
      <c r="K72" t="s">
        <v>671</v>
      </c>
      <c r="L72">
        <v>2030</v>
      </c>
      <c r="M72">
        <v>1</v>
      </c>
      <c r="O72" t="s">
        <v>648</v>
      </c>
      <c r="P72" t="s">
        <v>672</v>
      </c>
      <c r="Q72" t="s">
        <v>673</v>
      </c>
      <c r="R72" t="s">
        <v>1577</v>
      </c>
      <c r="S72" t="s">
        <v>363</v>
      </c>
      <c r="T72">
        <v>2</v>
      </c>
      <c r="U72" t="s">
        <v>331</v>
      </c>
      <c r="W72" t="s">
        <v>606</v>
      </c>
      <c r="X72" t="s">
        <v>623</v>
      </c>
      <c r="Y72">
        <v>12.5</v>
      </c>
      <c r="Z72" t="s">
        <v>614</v>
      </c>
      <c r="AA72" t="s">
        <v>197</v>
      </c>
      <c r="AB72" t="s">
        <v>675</v>
      </c>
      <c r="AO72" t="s">
        <v>309</v>
      </c>
    </row>
    <row r="73" spans="1:41">
      <c r="A73" t="s">
        <v>598</v>
      </c>
      <c r="B73" t="s">
        <v>599</v>
      </c>
      <c r="C73" t="s">
        <v>646</v>
      </c>
      <c r="D73" t="s">
        <v>110</v>
      </c>
      <c r="E73">
        <v>2022</v>
      </c>
      <c r="F73">
        <v>0</v>
      </c>
      <c r="G73">
        <v>2</v>
      </c>
      <c r="H73">
        <v>0</v>
      </c>
      <c r="I73">
        <v>1</v>
      </c>
      <c r="J73">
        <v>1</v>
      </c>
      <c r="K73" t="s">
        <v>667</v>
      </c>
      <c r="L73">
        <v>2030</v>
      </c>
      <c r="M73">
        <v>1</v>
      </c>
      <c r="O73" t="s">
        <v>648</v>
      </c>
      <c r="P73" t="s">
        <v>668</v>
      </c>
      <c r="Q73" t="s">
        <v>669</v>
      </c>
      <c r="R73" t="s">
        <v>1578</v>
      </c>
      <c r="S73" t="s">
        <v>519</v>
      </c>
      <c r="T73">
        <v>2</v>
      </c>
      <c r="U73" t="s">
        <v>331</v>
      </c>
      <c r="W73" t="s">
        <v>640</v>
      </c>
      <c r="X73" t="s">
        <v>623</v>
      </c>
      <c r="Y73">
        <v>12.5</v>
      </c>
      <c r="Z73" t="s">
        <v>614</v>
      </c>
      <c r="AO73" t="s">
        <v>309</v>
      </c>
    </row>
    <row r="74" spans="1:41">
      <c r="A74" t="s">
        <v>598</v>
      </c>
      <c r="B74" t="s">
        <v>599</v>
      </c>
      <c r="C74" t="s">
        <v>634</v>
      </c>
      <c r="D74" t="s">
        <v>102</v>
      </c>
      <c r="E74">
        <v>2019</v>
      </c>
      <c r="F74">
        <v>1</v>
      </c>
      <c r="G74">
        <v>3</v>
      </c>
      <c r="H74">
        <v>1</v>
      </c>
      <c r="J74">
        <v>1</v>
      </c>
      <c r="K74" t="s">
        <v>641</v>
      </c>
      <c r="L74">
        <v>2030</v>
      </c>
      <c r="M74">
        <v>1</v>
      </c>
      <c r="O74" t="s">
        <v>636</v>
      </c>
      <c r="P74" t="s">
        <v>642</v>
      </c>
      <c r="Q74" t="s">
        <v>643</v>
      </c>
      <c r="R74" t="s">
        <v>1579</v>
      </c>
      <c r="S74" t="s">
        <v>303</v>
      </c>
      <c r="T74">
        <v>2</v>
      </c>
      <c r="U74" t="s">
        <v>331</v>
      </c>
      <c r="W74" t="s">
        <v>640</v>
      </c>
      <c r="X74" t="s">
        <v>623</v>
      </c>
      <c r="Y74">
        <v>12.5</v>
      </c>
      <c r="Z74" t="s">
        <v>614</v>
      </c>
      <c r="AO74" t="s">
        <v>309</v>
      </c>
    </row>
    <row r="75" spans="1:41">
      <c r="A75" t="s">
        <v>598</v>
      </c>
      <c r="B75" t="s">
        <v>599</v>
      </c>
      <c r="C75" t="s">
        <v>634</v>
      </c>
      <c r="D75" t="s">
        <v>102</v>
      </c>
      <c r="E75">
        <v>2019</v>
      </c>
      <c r="F75">
        <v>1</v>
      </c>
      <c r="G75">
        <v>3</v>
      </c>
      <c r="H75">
        <v>1</v>
      </c>
      <c r="J75">
        <v>1</v>
      </c>
      <c r="K75" t="s">
        <v>635</v>
      </c>
      <c r="L75">
        <v>2029</v>
      </c>
      <c r="M75">
        <v>1</v>
      </c>
      <c r="O75" t="s">
        <v>636</v>
      </c>
      <c r="P75" t="s">
        <v>637</v>
      </c>
      <c r="Q75" t="s">
        <v>638</v>
      </c>
      <c r="R75" t="s">
        <v>1580</v>
      </c>
      <c r="S75" t="s">
        <v>363</v>
      </c>
      <c r="T75">
        <v>2</v>
      </c>
      <c r="U75" t="s">
        <v>331</v>
      </c>
      <c r="W75" t="s">
        <v>640</v>
      </c>
      <c r="X75" t="s">
        <v>623</v>
      </c>
      <c r="Y75">
        <v>11.6</v>
      </c>
      <c r="Z75" t="s">
        <v>607</v>
      </c>
      <c r="AO75" t="s">
        <v>309</v>
      </c>
    </row>
    <row r="76" spans="1:41">
      <c r="A76" t="s">
        <v>598</v>
      </c>
      <c r="B76" t="s">
        <v>599</v>
      </c>
      <c r="C76" t="s">
        <v>608</v>
      </c>
      <c r="D76" t="s">
        <v>102</v>
      </c>
      <c r="E76">
        <v>2018</v>
      </c>
      <c r="F76">
        <v>1</v>
      </c>
      <c r="G76">
        <v>3</v>
      </c>
      <c r="H76">
        <v>1</v>
      </c>
      <c r="J76">
        <v>1</v>
      </c>
      <c r="K76" t="s">
        <v>619</v>
      </c>
      <c r="L76">
        <v>2025</v>
      </c>
      <c r="M76">
        <v>1</v>
      </c>
      <c r="O76" t="s">
        <v>602</v>
      </c>
      <c r="P76" t="s">
        <v>620</v>
      </c>
      <c r="Q76" t="s">
        <v>621</v>
      </c>
      <c r="R76" t="s">
        <v>1581</v>
      </c>
      <c r="S76" t="s">
        <v>303</v>
      </c>
      <c r="T76">
        <v>2</v>
      </c>
      <c r="U76" t="s">
        <v>331</v>
      </c>
      <c r="W76" t="s">
        <v>623</v>
      </c>
      <c r="X76" t="s">
        <v>606</v>
      </c>
      <c r="Y76">
        <v>11.6</v>
      </c>
      <c r="Z76" t="s">
        <v>607</v>
      </c>
      <c r="AA76" t="s">
        <v>197</v>
      </c>
      <c r="AB76" t="s">
        <v>624</v>
      </c>
      <c r="AO76" t="s">
        <v>309</v>
      </c>
    </row>
    <row r="77" spans="1:41" ht="409.6">
      <c r="A77" t="s">
        <v>598</v>
      </c>
      <c r="B77" t="s">
        <v>706</v>
      </c>
      <c r="C77" t="s">
        <v>707</v>
      </c>
      <c r="D77" t="s">
        <v>298</v>
      </c>
      <c r="E77">
        <v>2023</v>
      </c>
      <c r="F77">
        <v>1</v>
      </c>
      <c r="G77">
        <v>3</v>
      </c>
      <c r="H77">
        <v>1</v>
      </c>
      <c r="J77">
        <v>1</v>
      </c>
      <c r="K77" s="234" t="s">
        <v>717</v>
      </c>
      <c r="L77">
        <v>2030</v>
      </c>
      <c r="M77">
        <v>1</v>
      </c>
      <c r="N77" t="s">
        <v>718</v>
      </c>
      <c r="O77" t="s">
        <v>709</v>
      </c>
      <c r="R77" s="234" t="s">
        <v>1582</v>
      </c>
      <c r="T77">
        <v>3</v>
      </c>
      <c r="U77" t="s">
        <v>331</v>
      </c>
      <c r="W77" t="s">
        <v>711</v>
      </c>
      <c r="X77" t="s">
        <v>623</v>
      </c>
      <c r="Y77">
        <v>12.5</v>
      </c>
      <c r="Z77" t="s">
        <v>614</v>
      </c>
      <c r="AO77" t="s">
        <v>309</v>
      </c>
    </row>
    <row r="78" spans="1:41" ht="409.6">
      <c r="A78" t="s">
        <v>598</v>
      </c>
      <c r="B78" t="s">
        <v>706</v>
      </c>
      <c r="C78" t="s">
        <v>707</v>
      </c>
      <c r="D78" t="s">
        <v>298</v>
      </c>
      <c r="E78">
        <v>2023</v>
      </c>
      <c r="F78">
        <v>1</v>
      </c>
      <c r="G78">
        <v>3</v>
      </c>
      <c r="H78">
        <v>1</v>
      </c>
      <c r="J78">
        <v>1</v>
      </c>
      <c r="K78" s="234" t="s">
        <v>712</v>
      </c>
      <c r="L78">
        <v>2027</v>
      </c>
      <c r="M78">
        <v>1</v>
      </c>
      <c r="N78" t="s">
        <v>713</v>
      </c>
      <c r="O78" t="s">
        <v>709</v>
      </c>
      <c r="R78" t="s">
        <v>1583</v>
      </c>
      <c r="T78">
        <v>3</v>
      </c>
      <c r="U78" t="s">
        <v>331</v>
      </c>
      <c r="W78" t="s">
        <v>711</v>
      </c>
      <c r="X78" t="s">
        <v>623</v>
      </c>
      <c r="Y78">
        <v>12.5</v>
      </c>
      <c r="Z78" t="s">
        <v>614</v>
      </c>
    </row>
    <row r="79" spans="1:41">
      <c r="A79" t="s">
        <v>598</v>
      </c>
      <c r="B79" t="s">
        <v>599</v>
      </c>
      <c r="C79" t="s">
        <v>646</v>
      </c>
      <c r="D79" t="s">
        <v>110</v>
      </c>
      <c r="E79">
        <v>2022</v>
      </c>
      <c r="F79">
        <v>0</v>
      </c>
      <c r="G79">
        <v>2</v>
      </c>
      <c r="H79">
        <v>0</v>
      </c>
      <c r="I79">
        <v>1</v>
      </c>
      <c r="J79">
        <v>1</v>
      </c>
      <c r="K79" t="s">
        <v>664</v>
      </c>
      <c r="L79">
        <v>2030</v>
      </c>
      <c r="M79">
        <v>1</v>
      </c>
      <c r="O79" t="s">
        <v>648</v>
      </c>
      <c r="P79" t="s">
        <v>665</v>
      </c>
      <c r="Q79" t="s">
        <v>643</v>
      </c>
      <c r="R79" t="s">
        <v>1584</v>
      </c>
      <c r="S79" t="s">
        <v>363</v>
      </c>
      <c r="T79">
        <v>3</v>
      </c>
      <c r="U79" t="s">
        <v>331</v>
      </c>
      <c r="W79" t="s">
        <v>623</v>
      </c>
      <c r="X79" t="s">
        <v>606</v>
      </c>
      <c r="Y79">
        <v>12.5</v>
      </c>
      <c r="Z79" t="s">
        <v>614</v>
      </c>
      <c r="AO79" t="s">
        <v>309</v>
      </c>
    </row>
    <row r="80" spans="1:41">
      <c r="A80" t="s">
        <v>598</v>
      </c>
      <c r="B80" t="s">
        <v>599</v>
      </c>
      <c r="C80" t="s">
        <v>646</v>
      </c>
      <c r="D80" t="s">
        <v>110</v>
      </c>
      <c r="E80">
        <v>2022</v>
      </c>
      <c r="F80">
        <v>0</v>
      </c>
      <c r="G80">
        <v>2</v>
      </c>
      <c r="H80">
        <v>0</v>
      </c>
      <c r="I80">
        <v>1</v>
      </c>
      <c r="J80">
        <v>1</v>
      </c>
      <c r="K80" t="s">
        <v>660</v>
      </c>
      <c r="L80">
        <v>2030</v>
      </c>
      <c r="M80">
        <v>1</v>
      </c>
      <c r="O80" t="s">
        <v>648</v>
      </c>
      <c r="P80" t="s">
        <v>661</v>
      </c>
      <c r="Q80" t="s">
        <v>662</v>
      </c>
      <c r="R80" t="s">
        <v>1585</v>
      </c>
      <c r="S80" t="s">
        <v>363</v>
      </c>
      <c r="T80">
        <v>3</v>
      </c>
      <c r="U80" t="s">
        <v>331</v>
      </c>
      <c r="W80" t="s">
        <v>623</v>
      </c>
      <c r="X80" t="s">
        <v>606</v>
      </c>
      <c r="Y80">
        <v>12.5</v>
      </c>
      <c r="Z80" t="s">
        <v>614</v>
      </c>
      <c r="AO80" t="s">
        <v>309</v>
      </c>
    </row>
    <row r="81" spans="1:41">
      <c r="A81" t="s">
        <v>598</v>
      </c>
      <c r="B81" t="s">
        <v>599</v>
      </c>
      <c r="C81" t="s">
        <v>646</v>
      </c>
      <c r="D81" t="s">
        <v>110</v>
      </c>
      <c r="E81">
        <v>2022</v>
      </c>
      <c r="F81">
        <v>0</v>
      </c>
      <c r="G81">
        <v>2</v>
      </c>
      <c r="H81">
        <v>0</v>
      </c>
      <c r="I81">
        <v>1</v>
      </c>
      <c r="J81">
        <v>1</v>
      </c>
      <c r="K81" t="s">
        <v>656</v>
      </c>
      <c r="L81">
        <v>2030</v>
      </c>
      <c r="M81">
        <v>1</v>
      </c>
      <c r="O81" t="s">
        <v>648</v>
      </c>
      <c r="P81" t="s">
        <v>657</v>
      </c>
      <c r="Q81" t="s">
        <v>658</v>
      </c>
      <c r="R81" t="s">
        <v>1586</v>
      </c>
      <c r="S81" t="s">
        <v>363</v>
      </c>
      <c r="T81">
        <v>3</v>
      </c>
      <c r="U81" t="s">
        <v>331</v>
      </c>
      <c r="W81" t="s">
        <v>623</v>
      </c>
      <c r="X81" t="s">
        <v>606</v>
      </c>
      <c r="Y81">
        <v>12.5</v>
      </c>
      <c r="Z81" t="s">
        <v>614</v>
      </c>
      <c r="AO81" t="s">
        <v>309</v>
      </c>
    </row>
    <row r="82" spans="1:41">
      <c r="A82" t="s">
        <v>598</v>
      </c>
      <c r="B82" t="s">
        <v>599</v>
      </c>
      <c r="C82" t="s">
        <v>646</v>
      </c>
      <c r="D82" t="s">
        <v>110</v>
      </c>
      <c r="E82">
        <v>2022</v>
      </c>
      <c r="F82">
        <v>0</v>
      </c>
      <c r="G82">
        <v>2</v>
      </c>
      <c r="H82">
        <v>0</v>
      </c>
      <c r="I82">
        <v>1</v>
      </c>
      <c r="J82">
        <v>1</v>
      </c>
      <c r="K82" t="s">
        <v>652</v>
      </c>
      <c r="L82">
        <v>2030</v>
      </c>
      <c r="M82">
        <v>1</v>
      </c>
      <c r="O82" t="s">
        <v>648</v>
      </c>
      <c r="P82" t="s">
        <v>653</v>
      </c>
      <c r="Q82" t="s">
        <v>654</v>
      </c>
      <c r="R82" t="s">
        <v>1587</v>
      </c>
      <c r="S82" t="s">
        <v>363</v>
      </c>
      <c r="T82">
        <v>3</v>
      </c>
      <c r="U82" t="s">
        <v>331</v>
      </c>
      <c r="W82" t="s">
        <v>623</v>
      </c>
      <c r="X82" t="s">
        <v>606</v>
      </c>
      <c r="Y82">
        <v>12.5</v>
      </c>
      <c r="Z82" t="s">
        <v>614</v>
      </c>
      <c r="AO82" t="s">
        <v>309</v>
      </c>
    </row>
    <row r="83" spans="1:41">
      <c r="A83" t="s">
        <v>598</v>
      </c>
      <c r="B83" t="s">
        <v>599</v>
      </c>
      <c r="C83" t="s">
        <v>646</v>
      </c>
      <c r="D83" t="s">
        <v>110</v>
      </c>
      <c r="E83">
        <v>2022</v>
      </c>
      <c r="F83">
        <v>0</v>
      </c>
      <c r="G83">
        <v>2</v>
      </c>
      <c r="H83">
        <v>0</v>
      </c>
      <c r="I83">
        <v>1</v>
      </c>
      <c r="J83">
        <v>1</v>
      </c>
      <c r="K83" t="s">
        <v>647</v>
      </c>
      <c r="L83">
        <v>2030</v>
      </c>
      <c r="M83">
        <v>1</v>
      </c>
      <c r="O83" t="s">
        <v>648</v>
      </c>
      <c r="P83" t="s">
        <v>649</v>
      </c>
      <c r="Q83" t="s">
        <v>650</v>
      </c>
      <c r="R83" t="s">
        <v>1588</v>
      </c>
      <c r="S83" t="s">
        <v>363</v>
      </c>
      <c r="T83">
        <v>3</v>
      </c>
      <c r="U83" t="s">
        <v>331</v>
      </c>
      <c r="W83" t="s">
        <v>623</v>
      </c>
      <c r="X83" t="s">
        <v>606</v>
      </c>
      <c r="Y83">
        <v>12.5</v>
      </c>
      <c r="Z83" t="s">
        <v>614</v>
      </c>
      <c r="AO83" t="s">
        <v>309</v>
      </c>
    </row>
    <row r="84" spans="1:41" ht="96">
      <c r="A84" t="s">
        <v>598</v>
      </c>
      <c r="B84" t="s">
        <v>599</v>
      </c>
      <c r="C84" t="s">
        <v>608</v>
      </c>
      <c r="D84" t="s">
        <v>102</v>
      </c>
      <c r="E84">
        <v>2018</v>
      </c>
      <c r="F84">
        <v>1</v>
      </c>
      <c r="G84">
        <v>3</v>
      </c>
      <c r="H84">
        <v>1</v>
      </c>
      <c r="J84">
        <v>1</v>
      </c>
      <c r="K84" t="s">
        <v>609</v>
      </c>
      <c r="L84">
        <v>2025</v>
      </c>
      <c r="M84">
        <v>1</v>
      </c>
      <c r="O84" t="s">
        <v>610</v>
      </c>
      <c r="P84" t="s">
        <v>611</v>
      </c>
      <c r="Q84" t="s">
        <v>612</v>
      </c>
      <c r="R84" s="234" t="s">
        <v>1589</v>
      </c>
      <c r="S84" t="s">
        <v>440</v>
      </c>
      <c r="T84">
        <v>3</v>
      </c>
      <c r="U84" t="s">
        <v>331</v>
      </c>
      <c r="W84" t="s">
        <v>606</v>
      </c>
      <c r="Y84">
        <v>12.5</v>
      </c>
      <c r="Z84" t="s">
        <v>614</v>
      </c>
      <c r="AO84" t="s">
        <v>309</v>
      </c>
    </row>
    <row r="85" spans="1:41">
      <c r="A85" t="s">
        <v>598</v>
      </c>
      <c r="B85" t="s">
        <v>740</v>
      </c>
      <c r="C85" t="s">
        <v>742</v>
      </c>
      <c r="D85" t="s">
        <v>110</v>
      </c>
      <c r="E85">
        <v>2023</v>
      </c>
      <c r="F85">
        <v>0</v>
      </c>
      <c r="G85">
        <v>2</v>
      </c>
      <c r="H85">
        <v>0</v>
      </c>
      <c r="I85">
        <v>1</v>
      </c>
      <c r="J85">
        <v>1</v>
      </c>
      <c r="K85" t="s">
        <v>743</v>
      </c>
      <c r="L85">
        <v>2040</v>
      </c>
      <c r="M85">
        <v>1</v>
      </c>
      <c r="O85" t="s">
        <v>744</v>
      </c>
      <c r="U85" t="s">
        <v>331</v>
      </c>
      <c r="W85" t="s">
        <v>401</v>
      </c>
      <c r="Y85">
        <v>12.2</v>
      </c>
      <c r="Z85" t="s">
        <v>614</v>
      </c>
    </row>
    <row r="86" spans="1:41">
      <c r="A86" t="s">
        <v>1023</v>
      </c>
      <c r="B86" t="s">
        <v>1135</v>
      </c>
      <c r="C86" t="s">
        <v>1136</v>
      </c>
      <c r="D86" t="s">
        <v>101</v>
      </c>
      <c r="E86">
        <v>2023</v>
      </c>
      <c r="F86">
        <v>0</v>
      </c>
      <c r="G86">
        <v>2</v>
      </c>
      <c r="I86">
        <v>1</v>
      </c>
      <c r="J86">
        <v>1</v>
      </c>
      <c r="K86" t="s">
        <v>1138</v>
      </c>
      <c r="M86">
        <v>1</v>
      </c>
      <c r="N86" t="s">
        <v>1590</v>
      </c>
      <c r="O86" t="s">
        <v>1527</v>
      </c>
      <c r="R86" t="s">
        <v>1591</v>
      </c>
      <c r="T86">
        <v>0</v>
      </c>
      <c r="Y86">
        <v>9.1</v>
      </c>
      <c r="Z86" t="s">
        <v>402</v>
      </c>
    </row>
    <row r="87" spans="1:41">
      <c r="A87" t="s">
        <v>1023</v>
      </c>
      <c r="B87" t="s">
        <v>1195</v>
      </c>
      <c r="C87" t="s">
        <v>1127</v>
      </c>
      <c r="D87" t="s">
        <v>321</v>
      </c>
      <c r="E87">
        <v>2020</v>
      </c>
      <c r="F87">
        <v>0</v>
      </c>
      <c r="G87">
        <v>1</v>
      </c>
      <c r="H87">
        <v>0</v>
      </c>
      <c r="I87">
        <v>0</v>
      </c>
      <c r="J87">
        <v>1</v>
      </c>
      <c r="K87" t="s">
        <v>1211</v>
      </c>
      <c r="L87">
        <v>2030</v>
      </c>
      <c r="M87">
        <v>1</v>
      </c>
      <c r="N87" t="s">
        <v>1592</v>
      </c>
      <c r="O87" t="s">
        <v>1527</v>
      </c>
      <c r="R87" t="s">
        <v>1593</v>
      </c>
      <c r="T87">
        <v>0</v>
      </c>
      <c r="U87" t="s">
        <v>1594</v>
      </c>
      <c r="V87" t="s">
        <v>1595</v>
      </c>
      <c r="W87" t="s">
        <v>564</v>
      </c>
      <c r="Y87">
        <v>9.1</v>
      </c>
      <c r="Z87" t="s">
        <v>402</v>
      </c>
      <c r="AA87" t="s">
        <v>194</v>
      </c>
      <c r="AB87" t="s">
        <v>1212</v>
      </c>
      <c r="AI87" t="s">
        <v>309</v>
      </c>
    </row>
    <row r="88" spans="1:41">
      <c r="A88" t="s">
        <v>1023</v>
      </c>
      <c r="B88" t="s">
        <v>1135</v>
      </c>
      <c r="C88" t="s">
        <v>1127</v>
      </c>
      <c r="D88" t="s">
        <v>321</v>
      </c>
      <c r="E88">
        <v>2020</v>
      </c>
      <c r="F88">
        <v>0</v>
      </c>
      <c r="G88">
        <v>1</v>
      </c>
      <c r="H88">
        <v>0</v>
      </c>
      <c r="I88">
        <v>0</v>
      </c>
      <c r="J88">
        <v>1</v>
      </c>
      <c r="K88" t="s">
        <v>1238</v>
      </c>
      <c r="L88">
        <v>2050</v>
      </c>
      <c r="M88">
        <v>1</v>
      </c>
      <c r="N88" t="s">
        <v>1596</v>
      </c>
      <c r="O88" t="s">
        <v>1527</v>
      </c>
      <c r="R88" t="s">
        <v>1597</v>
      </c>
      <c r="T88">
        <v>0</v>
      </c>
      <c r="W88" t="s">
        <v>564</v>
      </c>
      <c r="Y88">
        <v>13.2</v>
      </c>
      <c r="Z88" t="s">
        <v>307</v>
      </c>
      <c r="AI88" t="s">
        <v>309</v>
      </c>
    </row>
    <row r="89" spans="1:41" ht="409.6">
      <c r="A89" t="s">
        <v>1023</v>
      </c>
      <c r="B89" t="s">
        <v>1109</v>
      </c>
      <c r="C89" t="s">
        <v>1110</v>
      </c>
      <c r="D89" t="s">
        <v>298</v>
      </c>
      <c r="E89">
        <v>2023</v>
      </c>
      <c r="F89">
        <v>1</v>
      </c>
      <c r="G89">
        <v>3</v>
      </c>
      <c r="H89">
        <v>1</v>
      </c>
      <c r="I89">
        <v>0</v>
      </c>
      <c r="J89">
        <v>1</v>
      </c>
      <c r="K89" s="234" t="s">
        <v>1112</v>
      </c>
      <c r="L89">
        <v>2050</v>
      </c>
      <c r="M89">
        <v>1</v>
      </c>
      <c r="N89" t="s">
        <v>1598</v>
      </c>
      <c r="O89" t="s">
        <v>1541</v>
      </c>
      <c r="R89" t="s">
        <v>1599</v>
      </c>
      <c r="S89" t="s">
        <v>1113</v>
      </c>
      <c r="T89">
        <v>1</v>
      </c>
      <c r="Y89">
        <v>13.2</v>
      </c>
      <c r="Z89" t="s">
        <v>307</v>
      </c>
    </row>
    <row r="90" spans="1:41" ht="96">
      <c r="A90" t="s">
        <v>1023</v>
      </c>
      <c r="B90" t="s">
        <v>1109</v>
      </c>
      <c r="C90" t="s">
        <v>1110</v>
      </c>
      <c r="D90" t="s">
        <v>298</v>
      </c>
      <c r="E90">
        <v>2023</v>
      </c>
      <c r="F90">
        <v>1</v>
      </c>
      <c r="G90">
        <v>3</v>
      </c>
      <c r="H90">
        <v>1</v>
      </c>
      <c r="I90">
        <v>0</v>
      </c>
      <c r="J90">
        <v>1</v>
      </c>
      <c r="K90" t="s">
        <v>1115</v>
      </c>
      <c r="L90">
        <v>2034</v>
      </c>
      <c r="M90">
        <v>1</v>
      </c>
      <c r="N90" s="234" t="s">
        <v>1600</v>
      </c>
      <c r="O90" t="s">
        <v>1541</v>
      </c>
      <c r="R90" t="s">
        <v>1601</v>
      </c>
      <c r="S90" t="s">
        <v>1113</v>
      </c>
      <c r="T90">
        <v>1</v>
      </c>
      <c r="Y90">
        <v>7.2</v>
      </c>
      <c r="Z90" t="s">
        <v>388</v>
      </c>
    </row>
    <row r="91" spans="1:41">
      <c r="A91" t="s">
        <v>1023</v>
      </c>
      <c r="C91" t="s">
        <v>1116</v>
      </c>
      <c r="D91" t="s">
        <v>110</v>
      </c>
      <c r="E91">
        <v>2021</v>
      </c>
      <c r="F91">
        <v>0</v>
      </c>
      <c r="G91">
        <v>2</v>
      </c>
      <c r="H91">
        <v>0</v>
      </c>
      <c r="I91">
        <v>1</v>
      </c>
      <c r="J91">
        <v>1</v>
      </c>
      <c r="K91" t="s">
        <v>1118</v>
      </c>
      <c r="L91">
        <v>2050</v>
      </c>
      <c r="M91">
        <v>1</v>
      </c>
      <c r="N91" t="s">
        <v>1598</v>
      </c>
      <c r="O91" t="s">
        <v>1541</v>
      </c>
      <c r="P91" t="s">
        <v>1602</v>
      </c>
      <c r="Q91" t="s">
        <v>1119</v>
      </c>
      <c r="R91" t="s">
        <v>1603</v>
      </c>
      <c r="S91" t="s">
        <v>1113</v>
      </c>
      <c r="T91">
        <v>1</v>
      </c>
      <c r="U91" t="s">
        <v>331</v>
      </c>
      <c r="W91" t="s">
        <v>564</v>
      </c>
      <c r="X91" t="s">
        <v>416</v>
      </c>
      <c r="Y91">
        <v>13.2</v>
      </c>
      <c r="Z91" t="s">
        <v>307</v>
      </c>
      <c r="AI91" t="s">
        <v>309</v>
      </c>
      <c r="AK91" t="s">
        <v>310</v>
      </c>
    </row>
    <row r="92" spans="1:41">
      <c r="A92" t="s">
        <v>1023</v>
      </c>
      <c r="C92" t="s">
        <v>1116</v>
      </c>
      <c r="D92" t="s">
        <v>110</v>
      </c>
      <c r="E92">
        <v>2021</v>
      </c>
      <c r="F92">
        <v>0</v>
      </c>
      <c r="G92">
        <v>2</v>
      </c>
      <c r="H92">
        <v>0</v>
      </c>
      <c r="I92">
        <v>1</v>
      </c>
      <c r="J92">
        <v>1</v>
      </c>
      <c r="K92" t="s">
        <v>1121</v>
      </c>
      <c r="L92">
        <v>2050</v>
      </c>
      <c r="M92">
        <v>1</v>
      </c>
      <c r="N92" t="s">
        <v>1598</v>
      </c>
      <c r="O92" t="s">
        <v>1541</v>
      </c>
      <c r="R92" t="s">
        <v>1601</v>
      </c>
      <c r="S92" t="s">
        <v>1113</v>
      </c>
      <c r="T92">
        <v>1</v>
      </c>
      <c r="U92" t="s">
        <v>331</v>
      </c>
      <c r="W92" t="s">
        <v>564</v>
      </c>
      <c r="Y92">
        <v>13.2</v>
      </c>
      <c r="Z92" t="s">
        <v>307</v>
      </c>
      <c r="AI92" t="s">
        <v>309</v>
      </c>
      <c r="AK92" t="s">
        <v>310</v>
      </c>
    </row>
    <row r="93" spans="1:41" ht="80">
      <c r="A93" t="s">
        <v>1023</v>
      </c>
      <c r="B93" t="s">
        <v>1135</v>
      </c>
      <c r="C93" t="s">
        <v>1110</v>
      </c>
      <c r="D93" t="s">
        <v>298</v>
      </c>
      <c r="E93">
        <v>2023</v>
      </c>
      <c r="F93">
        <v>0</v>
      </c>
      <c r="G93">
        <v>3</v>
      </c>
      <c r="H93">
        <v>1</v>
      </c>
      <c r="I93">
        <v>0</v>
      </c>
      <c r="J93">
        <v>1</v>
      </c>
      <c r="K93" t="s">
        <v>1140</v>
      </c>
      <c r="L93">
        <v>2050</v>
      </c>
      <c r="M93">
        <v>1</v>
      </c>
      <c r="N93" t="s">
        <v>1598</v>
      </c>
      <c r="O93" t="s">
        <v>1604</v>
      </c>
      <c r="Q93" s="234" t="s">
        <v>1141</v>
      </c>
      <c r="R93" t="s">
        <v>1605</v>
      </c>
      <c r="T93">
        <v>1</v>
      </c>
      <c r="U93" t="s">
        <v>1606</v>
      </c>
      <c r="V93" t="s">
        <v>1607</v>
      </c>
      <c r="W93" t="s">
        <v>564</v>
      </c>
      <c r="X93" t="s">
        <v>416</v>
      </c>
      <c r="Y93">
        <v>13.2</v>
      </c>
      <c r="Z93" t="s">
        <v>307</v>
      </c>
    </row>
    <row r="94" spans="1:41">
      <c r="A94" t="s">
        <v>1023</v>
      </c>
      <c r="B94" t="s">
        <v>1135</v>
      </c>
      <c r="C94" t="s">
        <v>1110</v>
      </c>
      <c r="D94" t="s">
        <v>110</v>
      </c>
      <c r="E94">
        <v>2023</v>
      </c>
      <c r="F94">
        <v>0</v>
      </c>
      <c r="G94">
        <v>2</v>
      </c>
      <c r="H94">
        <v>0</v>
      </c>
      <c r="I94">
        <v>1</v>
      </c>
      <c r="J94">
        <v>1</v>
      </c>
      <c r="K94" t="s">
        <v>1147</v>
      </c>
      <c r="L94">
        <v>2030</v>
      </c>
      <c r="M94">
        <v>1</v>
      </c>
      <c r="O94" t="s">
        <v>1541</v>
      </c>
      <c r="P94" t="s">
        <v>1608</v>
      </c>
      <c r="Q94" t="s">
        <v>1148</v>
      </c>
      <c r="R94" t="s">
        <v>1609</v>
      </c>
      <c r="S94" t="s">
        <v>1113</v>
      </c>
      <c r="T94">
        <v>1</v>
      </c>
      <c r="U94" t="s">
        <v>331</v>
      </c>
      <c r="W94" t="s">
        <v>564</v>
      </c>
      <c r="X94" t="s">
        <v>416</v>
      </c>
      <c r="Y94">
        <v>7.2</v>
      </c>
      <c r="Z94" t="s">
        <v>388</v>
      </c>
      <c r="AI94" t="s">
        <v>309</v>
      </c>
      <c r="AK94" t="s">
        <v>310</v>
      </c>
    </row>
    <row r="95" spans="1:41">
      <c r="A95" t="s">
        <v>1023</v>
      </c>
      <c r="B95" t="s">
        <v>1165</v>
      </c>
      <c r="C95" t="s">
        <v>1166</v>
      </c>
      <c r="D95" t="s">
        <v>1167</v>
      </c>
      <c r="E95">
        <v>2021</v>
      </c>
      <c r="F95">
        <v>0</v>
      </c>
      <c r="G95">
        <v>1</v>
      </c>
      <c r="H95">
        <v>0</v>
      </c>
      <c r="I95">
        <v>0</v>
      </c>
      <c r="J95">
        <v>1</v>
      </c>
      <c r="K95" t="s">
        <v>1173</v>
      </c>
      <c r="L95">
        <v>2030</v>
      </c>
      <c r="M95">
        <v>1</v>
      </c>
      <c r="O95" t="s">
        <v>407</v>
      </c>
      <c r="R95" t="s">
        <v>1610</v>
      </c>
      <c r="T95">
        <v>1</v>
      </c>
      <c r="W95" t="s">
        <v>451</v>
      </c>
      <c r="X95" t="s">
        <v>400</v>
      </c>
      <c r="Y95">
        <v>9.1</v>
      </c>
      <c r="Z95" t="s">
        <v>402</v>
      </c>
      <c r="AB95" t="s">
        <v>1174</v>
      </c>
      <c r="AE95" t="s">
        <v>309</v>
      </c>
      <c r="AF95" t="s">
        <v>310</v>
      </c>
    </row>
    <row r="96" spans="1:41" ht="409.6">
      <c r="A96" t="s">
        <v>1023</v>
      </c>
      <c r="C96" t="s">
        <v>396</v>
      </c>
      <c r="D96" t="s">
        <v>102</v>
      </c>
      <c r="E96">
        <v>2022</v>
      </c>
      <c r="F96">
        <v>1</v>
      </c>
      <c r="G96">
        <v>3</v>
      </c>
      <c r="H96">
        <v>1</v>
      </c>
      <c r="I96">
        <v>0</v>
      </c>
      <c r="J96">
        <v>1</v>
      </c>
      <c r="K96" s="234" t="s">
        <v>1025</v>
      </c>
      <c r="L96">
        <v>2030</v>
      </c>
      <c r="M96">
        <v>1</v>
      </c>
      <c r="R96" t="s">
        <v>1611</v>
      </c>
      <c r="T96">
        <v>2</v>
      </c>
      <c r="Y96">
        <v>7.2</v>
      </c>
      <c r="Z96" t="s">
        <v>388</v>
      </c>
    </row>
    <row r="97" spans="1:37" ht="409.6">
      <c r="A97" t="s">
        <v>1023</v>
      </c>
      <c r="C97" t="s">
        <v>1127</v>
      </c>
      <c r="D97" t="s">
        <v>321</v>
      </c>
      <c r="E97">
        <v>2020</v>
      </c>
      <c r="F97">
        <v>0</v>
      </c>
      <c r="G97">
        <v>1</v>
      </c>
      <c r="H97">
        <v>0</v>
      </c>
      <c r="I97">
        <v>0</v>
      </c>
      <c r="J97">
        <v>1</v>
      </c>
      <c r="K97" t="s">
        <v>1129</v>
      </c>
      <c r="L97">
        <v>2050</v>
      </c>
      <c r="M97">
        <v>1</v>
      </c>
      <c r="N97" t="s">
        <v>1612</v>
      </c>
      <c r="O97" t="s">
        <v>1613</v>
      </c>
      <c r="P97" t="s">
        <v>1614</v>
      </c>
      <c r="Q97" t="s">
        <v>1130</v>
      </c>
      <c r="R97" s="234" t="s">
        <v>1615</v>
      </c>
      <c r="S97" t="s">
        <v>303</v>
      </c>
      <c r="T97">
        <v>2</v>
      </c>
      <c r="U97" t="s">
        <v>331</v>
      </c>
      <c r="V97" t="s">
        <v>1616</v>
      </c>
      <c r="W97" t="s">
        <v>564</v>
      </c>
      <c r="X97" t="s">
        <v>315</v>
      </c>
      <c r="Y97">
        <v>13.2</v>
      </c>
      <c r="Z97" t="s">
        <v>307</v>
      </c>
      <c r="AA97" t="s">
        <v>190</v>
      </c>
      <c r="AB97" t="s">
        <v>1131</v>
      </c>
      <c r="AI97" t="s">
        <v>309</v>
      </c>
      <c r="AK97" t="s">
        <v>310</v>
      </c>
    </row>
    <row r="98" spans="1:37">
      <c r="A98" t="s">
        <v>1023</v>
      </c>
      <c r="B98" t="s">
        <v>1135</v>
      </c>
      <c r="C98" t="s">
        <v>1142</v>
      </c>
      <c r="D98" t="s">
        <v>110</v>
      </c>
      <c r="E98">
        <v>2023</v>
      </c>
      <c r="F98">
        <v>0</v>
      </c>
      <c r="G98">
        <v>2</v>
      </c>
      <c r="H98">
        <v>0</v>
      </c>
      <c r="I98">
        <v>1</v>
      </c>
      <c r="J98">
        <v>1</v>
      </c>
      <c r="K98" t="s">
        <v>1144</v>
      </c>
      <c r="L98">
        <v>2030</v>
      </c>
      <c r="M98">
        <v>1</v>
      </c>
      <c r="N98" t="s">
        <v>1598</v>
      </c>
      <c r="O98" t="s">
        <v>1617</v>
      </c>
      <c r="R98" t="s">
        <v>1618</v>
      </c>
      <c r="T98">
        <v>2</v>
      </c>
      <c r="U98" t="s">
        <v>1619</v>
      </c>
      <c r="V98" t="s">
        <v>1620</v>
      </c>
      <c r="W98" t="s">
        <v>564</v>
      </c>
      <c r="X98" t="s">
        <v>315</v>
      </c>
      <c r="Y98">
        <v>13.2</v>
      </c>
      <c r="Z98" t="s">
        <v>307</v>
      </c>
      <c r="AI98" t="s">
        <v>309</v>
      </c>
      <c r="AK98" t="s">
        <v>310</v>
      </c>
    </row>
    <row r="99" spans="1:37">
      <c r="A99" t="s">
        <v>1023</v>
      </c>
      <c r="B99" t="s">
        <v>1135</v>
      </c>
      <c r="C99" t="s">
        <v>1621</v>
      </c>
      <c r="D99" t="s">
        <v>298</v>
      </c>
      <c r="E99">
        <v>2023</v>
      </c>
      <c r="F99">
        <v>1</v>
      </c>
      <c r="G99">
        <v>3</v>
      </c>
      <c r="H99">
        <v>1</v>
      </c>
      <c r="J99">
        <v>1</v>
      </c>
      <c r="K99" t="s">
        <v>1622</v>
      </c>
      <c r="L99">
        <v>2025</v>
      </c>
      <c r="M99">
        <v>1</v>
      </c>
      <c r="N99" t="s">
        <v>1598</v>
      </c>
      <c r="O99" t="s">
        <v>1617</v>
      </c>
      <c r="P99" t="s">
        <v>1623</v>
      </c>
      <c r="Q99" t="s">
        <v>1624</v>
      </c>
      <c r="R99" t="s">
        <v>1625</v>
      </c>
      <c r="T99">
        <v>2</v>
      </c>
      <c r="W99" t="s">
        <v>564</v>
      </c>
      <c r="X99" t="s">
        <v>315</v>
      </c>
      <c r="Y99">
        <v>13.2</v>
      </c>
      <c r="Z99" t="s">
        <v>307</v>
      </c>
      <c r="AI99" t="s">
        <v>309</v>
      </c>
    </row>
    <row r="100" spans="1:37">
      <c r="A100" t="s">
        <v>1023</v>
      </c>
      <c r="B100" t="s">
        <v>1135</v>
      </c>
      <c r="C100" t="s">
        <v>1621</v>
      </c>
      <c r="D100" t="s">
        <v>298</v>
      </c>
      <c r="E100">
        <v>2023</v>
      </c>
      <c r="F100">
        <v>1</v>
      </c>
      <c r="G100">
        <v>3</v>
      </c>
      <c r="H100">
        <v>1</v>
      </c>
      <c r="J100">
        <v>1</v>
      </c>
      <c r="K100" t="s">
        <v>1622</v>
      </c>
      <c r="L100">
        <v>2025</v>
      </c>
      <c r="M100">
        <v>1</v>
      </c>
      <c r="N100" t="s">
        <v>1598</v>
      </c>
      <c r="O100" t="s">
        <v>1617</v>
      </c>
      <c r="P100" t="s">
        <v>1626</v>
      </c>
      <c r="Q100" t="s">
        <v>1627</v>
      </c>
      <c r="R100" t="s">
        <v>1628</v>
      </c>
      <c r="T100">
        <v>2</v>
      </c>
      <c r="W100" t="s">
        <v>564</v>
      </c>
      <c r="X100" t="s">
        <v>315</v>
      </c>
      <c r="Y100">
        <v>13.2</v>
      </c>
      <c r="Z100" t="s">
        <v>307</v>
      </c>
      <c r="AI100" t="s">
        <v>309</v>
      </c>
    </row>
    <row r="101" spans="1:37" ht="409.6">
      <c r="A101" t="s">
        <v>1023</v>
      </c>
      <c r="B101" t="s">
        <v>1135</v>
      </c>
      <c r="C101" t="s">
        <v>1621</v>
      </c>
      <c r="D101" t="s">
        <v>298</v>
      </c>
      <c r="E101">
        <v>2023</v>
      </c>
      <c r="F101">
        <v>1</v>
      </c>
      <c r="G101">
        <v>3</v>
      </c>
      <c r="H101">
        <v>1</v>
      </c>
      <c r="J101">
        <v>1</v>
      </c>
      <c r="K101" s="234" t="s">
        <v>1629</v>
      </c>
      <c r="L101">
        <v>2025</v>
      </c>
      <c r="M101">
        <v>1</v>
      </c>
      <c r="N101" t="s">
        <v>1598</v>
      </c>
      <c r="O101" t="s">
        <v>1617</v>
      </c>
      <c r="P101" t="s">
        <v>1630</v>
      </c>
      <c r="Q101" t="s">
        <v>1631</v>
      </c>
      <c r="R101" s="234" t="s">
        <v>1632</v>
      </c>
      <c r="S101" t="s">
        <v>519</v>
      </c>
      <c r="T101">
        <v>2</v>
      </c>
      <c r="W101" t="s">
        <v>564</v>
      </c>
      <c r="X101" t="s">
        <v>315</v>
      </c>
      <c r="Y101">
        <v>13.2</v>
      </c>
      <c r="Z101" t="s">
        <v>307</v>
      </c>
    </row>
    <row r="102" spans="1:37" ht="409.6">
      <c r="A102" t="s">
        <v>1023</v>
      </c>
      <c r="B102" t="s">
        <v>1135</v>
      </c>
      <c r="C102" t="s">
        <v>1621</v>
      </c>
      <c r="D102" t="s">
        <v>298</v>
      </c>
      <c r="E102">
        <v>2023</v>
      </c>
      <c r="F102">
        <v>1</v>
      </c>
      <c r="G102">
        <v>3</v>
      </c>
      <c r="H102">
        <v>1</v>
      </c>
      <c r="J102">
        <v>1</v>
      </c>
      <c r="K102" s="234" t="s">
        <v>1633</v>
      </c>
      <c r="L102">
        <v>2025</v>
      </c>
      <c r="M102">
        <v>1</v>
      </c>
      <c r="N102" t="s">
        <v>1598</v>
      </c>
      <c r="O102" t="s">
        <v>1617</v>
      </c>
      <c r="P102" t="s">
        <v>1634</v>
      </c>
      <c r="Q102" t="s">
        <v>1635</v>
      </c>
      <c r="R102" t="s">
        <v>1636</v>
      </c>
      <c r="S102" t="s">
        <v>519</v>
      </c>
      <c r="T102">
        <v>2</v>
      </c>
      <c r="W102" t="s">
        <v>564</v>
      </c>
      <c r="X102" t="s">
        <v>315</v>
      </c>
      <c r="Y102">
        <v>13.2</v>
      </c>
      <c r="Z102" t="s">
        <v>307</v>
      </c>
    </row>
    <row r="103" spans="1:37">
      <c r="A103" t="s">
        <v>1023</v>
      </c>
      <c r="B103" t="s">
        <v>1135</v>
      </c>
      <c r="C103" t="s">
        <v>1142</v>
      </c>
      <c r="D103" t="s">
        <v>110</v>
      </c>
      <c r="E103">
        <v>2023</v>
      </c>
      <c r="F103">
        <v>0</v>
      </c>
      <c r="G103">
        <v>2</v>
      </c>
      <c r="H103">
        <v>0</v>
      </c>
      <c r="I103">
        <v>1</v>
      </c>
      <c r="J103">
        <v>1</v>
      </c>
      <c r="K103" t="s">
        <v>1150</v>
      </c>
      <c r="L103">
        <v>2040</v>
      </c>
      <c r="M103">
        <v>1</v>
      </c>
      <c r="N103" t="s">
        <v>1598</v>
      </c>
      <c r="O103" t="s">
        <v>1617</v>
      </c>
      <c r="P103" t="s">
        <v>1637</v>
      </c>
      <c r="Q103" t="s">
        <v>1151</v>
      </c>
      <c r="R103" t="s">
        <v>1638</v>
      </c>
      <c r="T103">
        <v>2</v>
      </c>
      <c r="U103" t="s">
        <v>331</v>
      </c>
      <c r="W103" t="s">
        <v>564</v>
      </c>
      <c r="X103" t="s">
        <v>315</v>
      </c>
      <c r="Y103">
        <v>13.2</v>
      </c>
      <c r="Z103" t="s">
        <v>307</v>
      </c>
      <c r="AI103" t="s">
        <v>309</v>
      </c>
      <c r="AK103" t="s">
        <v>310</v>
      </c>
    </row>
    <row r="104" spans="1:37">
      <c r="A104" t="s">
        <v>1023</v>
      </c>
      <c r="B104" t="s">
        <v>1158</v>
      </c>
      <c r="C104" t="s">
        <v>1160</v>
      </c>
      <c r="D104" t="s">
        <v>321</v>
      </c>
      <c r="E104">
        <v>2020</v>
      </c>
      <c r="F104">
        <v>0</v>
      </c>
      <c r="G104">
        <v>1</v>
      </c>
      <c r="H104">
        <v>0</v>
      </c>
      <c r="I104">
        <v>0</v>
      </c>
      <c r="J104">
        <v>1</v>
      </c>
      <c r="K104" t="s">
        <v>1162</v>
      </c>
      <c r="L104">
        <v>2024</v>
      </c>
      <c r="M104">
        <v>1</v>
      </c>
      <c r="O104" t="s">
        <v>407</v>
      </c>
      <c r="R104" t="s">
        <v>1639</v>
      </c>
      <c r="T104">
        <v>2</v>
      </c>
      <c r="W104" t="s">
        <v>400</v>
      </c>
      <c r="Y104">
        <v>9.1</v>
      </c>
      <c r="Z104" t="s">
        <v>402</v>
      </c>
      <c r="AA104" t="s">
        <v>216</v>
      </c>
      <c r="AB104" t="s">
        <v>441</v>
      </c>
      <c r="AE104" t="s">
        <v>309</v>
      </c>
    </row>
    <row r="105" spans="1:37">
      <c r="A105" t="s">
        <v>1023</v>
      </c>
      <c r="B105" t="s">
        <v>1165</v>
      </c>
      <c r="C105" t="s">
        <v>1166</v>
      </c>
      <c r="D105" t="s">
        <v>1167</v>
      </c>
      <c r="E105">
        <v>2021</v>
      </c>
      <c r="F105">
        <v>0</v>
      </c>
      <c r="G105">
        <v>1</v>
      </c>
      <c r="H105">
        <v>0</v>
      </c>
      <c r="I105">
        <v>0</v>
      </c>
      <c r="J105">
        <v>1</v>
      </c>
      <c r="K105" t="s">
        <v>1169</v>
      </c>
      <c r="L105">
        <v>2030</v>
      </c>
      <c r="M105">
        <v>1</v>
      </c>
      <c r="O105" t="s">
        <v>1617</v>
      </c>
      <c r="Q105" t="s">
        <v>1170</v>
      </c>
      <c r="R105" t="s">
        <v>1640</v>
      </c>
      <c r="T105">
        <v>2</v>
      </c>
      <c r="W105" t="s">
        <v>451</v>
      </c>
      <c r="X105" t="s">
        <v>416</v>
      </c>
      <c r="Y105">
        <v>9.1</v>
      </c>
      <c r="Z105" t="s">
        <v>402</v>
      </c>
      <c r="AB105" t="s">
        <v>1171</v>
      </c>
      <c r="AE105" t="s">
        <v>309</v>
      </c>
    </row>
    <row r="106" spans="1:37">
      <c r="A106" t="s">
        <v>1023</v>
      </c>
      <c r="B106" t="s">
        <v>1165</v>
      </c>
      <c r="C106" t="s">
        <v>1177</v>
      </c>
      <c r="D106" t="s">
        <v>298</v>
      </c>
      <c r="E106">
        <v>2023</v>
      </c>
      <c r="F106">
        <v>1</v>
      </c>
      <c r="G106">
        <v>3</v>
      </c>
      <c r="H106">
        <v>1</v>
      </c>
      <c r="J106">
        <v>1</v>
      </c>
      <c r="K106" t="s">
        <v>1187</v>
      </c>
      <c r="L106">
        <v>2030</v>
      </c>
      <c r="M106">
        <v>1</v>
      </c>
      <c r="O106" t="s">
        <v>407</v>
      </c>
      <c r="R106" t="s">
        <v>1641</v>
      </c>
      <c r="T106">
        <v>2</v>
      </c>
      <c r="Y106">
        <v>9.1</v>
      </c>
      <c r="Z106" t="s">
        <v>402</v>
      </c>
    </row>
    <row r="107" spans="1:37">
      <c r="A107" t="s">
        <v>1023</v>
      </c>
      <c r="B107" t="s">
        <v>1165</v>
      </c>
      <c r="C107" t="s">
        <v>1177</v>
      </c>
      <c r="D107" t="s">
        <v>298</v>
      </c>
      <c r="E107">
        <v>2023</v>
      </c>
      <c r="F107">
        <v>1</v>
      </c>
      <c r="G107">
        <v>3</v>
      </c>
      <c r="H107">
        <v>1</v>
      </c>
      <c r="J107">
        <v>1</v>
      </c>
      <c r="K107" t="s">
        <v>1189</v>
      </c>
      <c r="L107">
        <v>2030</v>
      </c>
      <c r="M107">
        <v>1</v>
      </c>
      <c r="O107" t="s">
        <v>407</v>
      </c>
      <c r="R107" t="s">
        <v>1641</v>
      </c>
      <c r="T107">
        <v>2</v>
      </c>
      <c r="Y107">
        <v>9.1</v>
      </c>
      <c r="Z107" t="s">
        <v>402</v>
      </c>
    </row>
    <row r="108" spans="1:37">
      <c r="A108" t="s">
        <v>1023</v>
      </c>
      <c r="B108" t="s">
        <v>1195</v>
      </c>
      <c r="C108" t="s">
        <v>1127</v>
      </c>
      <c r="D108" t="s">
        <v>321</v>
      </c>
      <c r="E108">
        <v>2020</v>
      </c>
      <c r="F108">
        <v>0</v>
      </c>
      <c r="G108">
        <v>1</v>
      </c>
      <c r="H108">
        <v>0</v>
      </c>
      <c r="I108">
        <v>0</v>
      </c>
      <c r="J108">
        <v>1</v>
      </c>
      <c r="K108" t="s">
        <v>1199</v>
      </c>
      <c r="L108">
        <v>2030</v>
      </c>
      <c r="M108">
        <v>1</v>
      </c>
      <c r="O108" t="s">
        <v>1527</v>
      </c>
      <c r="Q108" t="s">
        <v>1200</v>
      </c>
      <c r="R108" t="s">
        <v>1642</v>
      </c>
      <c r="T108">
        <v>2</v>
      </c>
      <c r="W108" t="s">
        <v>564</v>
      </c>
      <c r="Y108">
        <v>9.1</v>
      </c>
      <c r="Z108" t="s">
        <v>402</v>
      </c>
      <c r="AA108" t="s">
        <v>199</v>
      </c>
      <c r="AB108" t="s">
        <v>1201</v>
      </c>
      <c r="AI108" t="s">
        <v>309</v>
      </c>
    </row>
    <row r="109" spans="1:37">
      <c r="A109" t="s">
        <v>1023</v>
      </c>
      <c r="B109" t="s">
        <v>1195</v>
      </c>
      <c r="C109" t="s">
        <v>1127</v>
      </c>
      <c r="D109" t="s">
        <v>321</v>
      </c>
      <c r="E109">
        <v>2020</v>
      </c>
      <c r="F109">
        <v>0</v>
      </c>
      <c r="G109">
        <v>1</v>
      </c>
      <c r="H109">
        <v>0</v>
      </c>
      <c r="I109">
        <v>0</v>
      </c>
      <c r="J109">
        <v>1</v>
      </c>
      <c r="K109" t="s">
        <v>1203</v>
      </c>
      <c r="L109">
        <v>2030</v>
      </c>
      <c r="M109">
        <v>1</v>
      </c>
      <c r="O109" t="s">
        <v>1527</v>
      </c>
      <c r="Q109" t="s">
        <v>1204</v>
      </c>
      <c r="R109" t="s">
        <v>1643</v>
      </c>
      <c r="T109">
        <v>2</v>
      </c>
      <c r="W109" t="s">
        <v>564</v>
      </c>
      <c r="Y109">
        <v>9.1</v>
      </c>
      <c r="Z109" t="s">
        <v>402</v>
      </c>
      <c r="AA109" t="s">
        <v>199</v>
      </c>
      <c r="AB109" t="s">
        <v>1205</v>
      </c>
      <c r="AI109" t="s">
        <v>309</v>
      </c>
    </row>
    <row r="110" spans="1:37">
      <c r="A110" t="s">
        <v>1023</v>
      </c>
      <c r="B110" t="s">
        <v>1195</v>
      </c>
      <c r="C110" t="s">
        <v>1127</v>
      </c>
      <c r="D110" t="s">
        <v>321</v>
      </c>
      <c r="E110">
        <v>2020</v>
      </c>
      <c r="F110">
        <v>0</v>
      </c>
      <c r="G110">
        <v>1</v>
      </c>
      <c r="H110">
        <v>0</v>
      </c>
      <c r="I110">
        <v>0</v>
      </c>
      <c r="J110">
        <v>1</v>
      </c>
      <c r="K110" t="s">
        <v>1207</v>
      </c>
      <c r="L110">
        <v>2030</v>
      </c>
      <c r="M110">
        <v>1</v>
      </c>
      <c r="O110" t="s">
        <v>1527</v>
      </c>
      <c r="Q110" t="s">
        <v>1208</v>
      </c>
      <c r="R110" t="s">
        <v>1644</v>
      </c>
      <c r="T110">
        <v>2</v>
      </c>
      <c r="W110" t="s">
        <v>564</v>
      </c>
      <c r="Y110">
        <v>9.1</v>
      </c>
      <c r="Z110" t="s">
        <v>402</v>
      </c>
      <c r="AA110" t="s">
        <v>199</v>
      </c>
      <c r="AB110" t="s">
        <v>1209</v>
      </c>
      <c r="AI110" t="s">
        <v>309</v>
      </c>
    </row>
    <row r="111" spans="1:37">
      <c r="A111" t="s">
        <v>1023</v>
      </c>
      <c r="C111" t="s">
        <v>396</v>
      </c>
      <c r="D111" t="s">
        <v>102</v>
      </c>
      <c r="E111">
        <v>2023</v>
      </c>
      <c r="F111">
        <v>1</v>
      </c>
      <c r="G111">
        <v>3</v>
      </c>
      <c r="H111">
        <v>1</v>
      </c>
      <c r="J111">
        <v>1</v>
      </c>
      <c r="K111" t="s">
        <v>1123</v>
      </c>
      <c r="L111">
        <v>2030</v>
      </c>
      <c r="M111">
        <v>1</v>
      </c>
      <c r="O111" t="s">
        <v>1541</v>
      </c>
      <c r="P111" t="s">
        <v>1645</v>
      </c>
      <c r="Q111" t="s">
        <v>1124</v>
      </c>
      <c r="R111" t="s">
        <v>1646</v>
      </c>
      <c r="S111" t="s">
        <v>1004</v>
      </c>
      <c r="T111">
        <v>3</v>
      </c>
      <c r="Y111">
        <v>7.2</v>
      </c>
      <c r="Z111" t="s">
        <v>388</v>
      </c>
    </row>
    <row r="112" spans="1:37" ht="409.6">
      <c r="A112" t="s">
        <v>1023</v>
      </c>
      <c r="B112" t="s">
        <v>1135</v>
      </c>
      <c r="C112" t="s">
        <v>1127</v>
      </c>
      <c r="D112" t="s">
        <v>321</v>
      </c>
      <c r="E112">
        <v>2020</v>
      </c>
      <c r="F112">
        <v>0</v>
      </c>
      <c r="G112">
        <v>1</v>
      </c>
      <c r="H112">
        <v>0</v>
      </c>
      <c r="I112">
        <v>0</v>
      </c>
      <c r="J112">
        <v>1</v>
      </c>
      <c r="K112" t="s">
        <v>1243</v>
      </c>
      <c r="L112">
        <v>2050</v>
      </c>
      <c r="M112">
        <v>1</v>
      </c>
      <c r="O112" t="s">
        <v>1527</v>
      </c>
      <c r="R112" s="234" t="s">
        <v>1647</v>
      </c>
      <c r="T112">
        <v>3</v>
      </c>
      <c r="W112" t="s">
        <v>564</v>
      </c>
      <c r="Y112">
        <v>3.6</v>
      </c>
      <c r="Z112" t="s">
        <v>1648</v>
      </c>
      <c r="AA112" t="s">
        <v>199</v>
      </c>
      <c r="AB112" t="s">
        <v>1244</v>
      </c>
      <c r="AI112" t="s">
        <v>309</v>
      </c>
    </row>
    <row r="113" spans="1:35">
      <c r="A113" t="s">
        <v>1023</v>
      </c>
      <c r="C113" t="s">
        <v>396</v>
      </c>
      <c r="D113" t="s">
        <v>102</v>
      </c>
      <c r="E113">
        <v>2023</v>
      </c>
      <c r="F113">
        <v>1</v>
      </c>
      <c r="G113">
        <v>3</v>
      </c>
      <c r="H113">
        <v>1</v>
      </c>
      <c r="J113">
        <v>1</v>
      </c>
      <c r="K113" t="s">
        <v>1126</v>
      </c>
      <c r="L113">
        <v>2030</v>
      </c>
      <c r="M113">
        <v>1</v>
      </c>
      <c r="N113" t="s">
        <v>1598</v>
      </c>
      <c r="O113" t="s">
        <v>1541</v>
      </c>
      <c r="Y113">
        <v>7.2</v>
      </c>
      <c r="Z113" t="s">
        <v>388</v>
      </c>
    </row>
    <row r="114" spans="1:35">
      <c r="A114" t="s">
        <v>1023</v>
      </c>
      <c r="C114" t="s">
        <v>591</v>
      </c>
      <c r="D114" t="s">
        <v>321</v>
      </c>
      <c r="E114">
        <v>2023</v>
      </c>
      <c r="F114">
        <v>0</v>
      </c>
      <c r="G114">
        <v>1</v>
      </c>
      <c r="H114">
        <v>0</v>
      </c>
      <c r="I114">
        <v>0</v>
      </c>
      <c r="J114">
        <v>1</v>
      </c>
      <c r="K114" t="s">
        <v>1133</v>
      </c>
      <c r="L114">
        <v>2030</v>
      </c>
      <c r="M114">
        <v>1</v>
      </c>
      <c r="O114" t="s">
        <v>593</v>
      </c>
      <c r="P114" t="s">
        <v>1649</v>
      </c>
      <c r="Q114" t="s">
        <v>1134</v>
      </c>
      <c r="W114" t="s">
        <v>594</v>
      </c>
      <c r="X114" t="s">
        <v>395</v>
      </c>
      <c r="Y114">
        <v>7.3</v>
      </c>
      <c r="Z114" t="s">
        <v>388</v>
      </c>
      <c r="AE114" t="s">
        <v>309</v>
      </c>
    </row>
    <row r="115" spans="1:35">
      <c r="A115" t="s">
        <v>1023</v>
      </c>
      <c r="B115" t="s">
        <v>1165</v>
      </c>
      <c r="C115" t="s">
        <v>1177</v>
      </c>
      <c r="D115" t="s">
        <v>298</v>
      </c>
      <c r="E115">
        <v>2023</v>
      </c>
      <c r="F115">
        <v>1</v>
      </c>
      <c r="G115">
        <v>3</v>
      </c>
      <c r="H115">
        <v>1</v>
      </c>
      <c r="J115">
        <v>1</v>
      </c>
      <c r="K115" t="s">
        <v>1179</v>
      </c>
      <c r="M115">
        <v>1</v>
      </c>
      <c r="O115" t="s">
        <v>1650</v>
      </c>
      <c r="W115" t="s">
        <v>451</v>
      </c>
      <c r="X115" t="s">
        <v>711</v>
      </c>
      <c r="Y115">
        <v>9.4</v>
      </c>
      <c r="Z115" t="s">
        <v>402</v>
      </c>
      <c r="AE115" t="s">
        <v>309</v>
      </c>
    </row>
    <row r="116" spans="1:35">
      <c r="A116" t="s">
        <v>1023</v>
      </c>
      <c r="B116" t="s">
        <v>1165</v>
      </c>
      <c r="C116" t="s">
        <v>1177</v>
      </c>
      <c r="D116" t="s">
        <v>298</v>
      </c>
      <c r="E116">
        <v>2023</v>
      </c>
      <c r="F116">
        <v>1</v>
      </c>
      <c r="G116">
        <v>3</v>
      </c>
      <c r="H116">
        <v>1</v>
      </c>
      <c r="J116">
        <v>1</v>
      </c>
      <c r="K116" t="s">
        <v>1651</v>
      </c>
      <c r="L116">
        <v>2027</v>
      </c>
      <c r="M116">
        <v>1</v>
      </c>
      <c r="O116" t="s">
        <v>1650</v>
      </c>
      <c r="W116" t="s">
        <v>451</v>
      </c>
      <c r="X116" t="s">
        <v>711</v>
      </c>
      <c r="Y116">
        <v>9.1</v>
      </c>
      <c r="Z116" t="s">
        <v>402</v>
      </c>
      <c r="AE116" t="s">
        <v>309</v>
      </c>
    </row>
    <row r="117" spans="1:35">
      <c r="A117" t="s">
        <v>1023</v>
      </c>
      <c r="B117" t="s">
        <v>1165</v>
      </c>
      <c r="C117" t="s">
        <v>1177</v>
      </c>
      <c r="D117" t="s">
        <v>298</v>
      </c>
      <c r="E117">
        <v>2023</v>
      </c>
      <c r="F117">
        <v>1</v>
      </c>
      <c r="G117">
        <v>3</v>
      </c>
      <c r="H117">
        <v>1</v>
      </c>
      <c r="J117">
        <v>1</v>
      </c>
      <c r="K117" t="s">
        <v>1652</v>
      </c>
      <c r="L117">
        <v>2035</v>
      </c>
      <c r="M117">
        <v>1</v>
      </c>
      <c r="O117" t="s">
        <v>1650</v>
      </c>
      <c r="W117" t="s">
        <v>451</v>
      </c>
      <c r="X117" t="s">
        <v>400</v>
      </c>
      <c r="Y117">
        <v>9.1</v>
      </c>
      <c r="Z117" t="s">
        <v>402</v>
      </c>
      <c r="AE117" t="s">
        <v>309</v>
      </c>
      <c r="AF117" t="s">
        <v>310</v>
      </c>
    </row>
    <row r="118" spans="1:35">
      <c r="A118" t="s">
        <v>1023</v>
      </c>
      <c r="B118" t="s">
        <v>1165</v>
      </c>
      <c r="C118" t="s">
        <v>1177</v>
      </c>
      <c r="D118" t="s">
        <v>298</v>
      </c>
      <c r="E118">
        <v>2023</v>
      </c>
      <c r="F118">
        <v>1</v>
      </c>
      <c r="G118">
        <v>3</v>
      </c>
      <c r="H118">
        <v>1</v>
      </c>
      <c r="J118">
        <v>1</v>
      </c>
      <c r="K118" t="s">
        <v>1653</v>
      </c>
      <c r="L118">
        <v>2025</v>
      </c>
      <c r="M118">
        <v>1</v>
      </c>
      <c r="O118" t="s">
        <v>1541</v>
      </c>
      <c r="Y118">
        <v>9.1</v>
      </c>
      <c r="Z118" t="s">
        <v>402</v>
      </c>
    </row>
    <row r="119" spans="1:35">
      <c r="A119" t="s">
        <v>1023</v>
      </c>
      <c r="B119" t="s">
        <v>1165</v>
      </c>
      <c r="C119" t="s">
        <v>1177</v>
      </c>
      <c r="D119" t="s">
        <v>298</v>
      </c>
      <c r="E119">
        <v>2023</v>
      </c>
      <c r="F119">
        <v>1</v>
      </c>
      <c r="G119">
        <v>3</v>
      </c>
      <c r="H119">
        <v>1</v>
      </c>
      <c r="J119">
        <v>1</v>
      </c>
      <c r="K119" t="s">
        <v>1654</v>
      </c>
      <c r="L119">
        <v>2027</v>
      </c>
      <c r="M119">
        <v>1</v>
      </c>
      <c r="O119" t="s">
        <v>1541</v>
      </c>
      <c r="Y119">
        <v>9.1</v>
      </c>
      <c r="Z119" t="s">
        <v>402</v>
      </c>
    </row>
    <row r="120" spans="1:35">
      <c r="A120" t="s">
        <v>1023</v>
      </c>
      <c r="B120" t="s">
        <v>1165</v>
      </c>
      <c r="C120" t="s">
        <v>1177</v>
      </c>
      <c r="D120" t="s">
        <v>298</v>
      </c>
      <c r="E120">
        <v>2023</v>
      </c>
      <c r="F120">
        <v>1</v>
      </c>
      <c r="G120">
        <v>3</v>
      </c>
      <c r="H120">
        <v>1</v>
      </c>
      <c r="J120">
        <v>1</v>
      </c>
      <c r="K120" t="s">
        <v>1655</v>
      </c>
      <c r="L120">
        <v>2030</v>
      </c>
      <c r="M120">
        <v>1</v>
      </c>
      <c r="O120" t="s">
        <v>1541</v>
      </c>
      <c r="Y120">
        <v>9.1</v>
      </c>
      <c r="Z120" t="s">
        <v>402</v>
      </c>
    </row>
    <row r="121" spans="1:35">
      <c r="A121" t="s">
        <v>1023</v>
      </c>
      <c r="B121" t="s">
        <v>1165</v>
      </c>
      <c r="C121" t="s">
        <v>1177</v>
      </c>
      <c r="D121" t="s">
        <v>298</v>
      </c>
      <c r="E121">
        <v>2023</v>
      </c>
      <c r="F121">
        <v>1</v>
      </c>
      <c r="G121">
        <v>3</v>
      </c>
      <c r="H121">
        <v>1</v>
      </c>
      <c r="J121">
        <v>1</v>
      </c>
      <c r="K121" t="s">
        <v>1656</v>
      </c>
      <c r="L121">
        <v>2030</v>
      </c>
      <c r="M121">
        <v>1</v>
      </c>
      <c r="O121" t="s">
        <v>1541</v>
      </c>
      <c r="Y121">
        <v>9.1</v>
      </c>
      <c r="Z121" t="s">
        <v>402</v>
      </c>
    </row>
    <row r="122" spans="1:35">
      <c r="A122" t="s">
        <v>1023</v>
      </c>
      <c r="B122" t="s">
        <v>1165</v>
      </c>
      <c r="C122" t="s">
        <v>1177</v>
      </c>
      <c r="D122" t="s">
        <v>298</v>
      </c>
      <c r="E122">
        <v>2023</v>
      </c>
      <c r="F122">
        <v>1</v>
      </c>
      <c r="G122">
        <v>3</v>
      </c>
      <c r="H122">
        <v>1</v>
      </c>
      <c r="J122">
        <v>1</v>
      </c>
      <c r="K122" t="s">
        <v>1183</v>
      </c>
      <c r="L122">
        <v>2030</v>
      </c>
      <c r="M122">
        <v>1</v>
      </c>
      <c r="O122" t="s">
        <v>1541</v>
      </c>
      <c r="Y122">
        <v>9.1</v>
      </c>
      <c r="Z122" t="s">
        <v>402</v>
      </c>
    </row>
    <row r="123" spans="1:35">
      <c r="A123" t="s">
        <v>1023</v>
      </c>
      <c r="B123" t="s">
        <v>1165</v>
      </c>
      <c r="C123" t="s">
        <v>1177</v>
      </c>
      <c r="D123" t="s">
        <v>298</v>
      </c>
      <c r="E123">
        <v>2023</v>
      </c>
      <c r="F123">
        <v>1</v>
      </c>
      <c r="G123">
        <v>3</v>
      </c>
      <c r="H123">
        <v>1</v>
      </c>
      <c r="J123">
        <v>1</v>
      </c>
      <c r="K123" t="s">
        <v>1185</v>
      </c>
      <c r="L123">
        <v>2031</v>
      </c>
      <c r="M123">
        <v>1</v>
      </c>
      <c r="O123" t="s">
        <v>1650</v>
      </c>
      <c r="W123" t="s">
        <v>451</v>
      </c>
      <c r="X123" t="s">
        <v>400</v>
      </c>
      <c r="Y123">
        <v>9.4</v>
      </c>
      <c r="Z123" t="s">
        <v>402</v>
      </c>
      <c r="AE123" t="s">
        <v>309</v>
      </c>
      <c r="AF123" t="s">
        <v>310</v>
      </c>
    </row>
    <row r="124" spans="1:35">
      <c r="A124" t="s">
        <v>1023</v>
      </c>
      <c r="B124" t="s">
        <v>1165</v>
      </c>
      <c r="C124" t="s">
        <v>1177</v>
      </c>
      <c r="D124" t="s">
        <v>298</v>
      </c>
      <c r="E124">
        <v>2023</v>
      </c>
      <c r="F124">
        <v>1</v>
      </c>
      <c r="G124">
        <v>3</v>
      </c>
      <c r="H124">
        <v>1</v>
      </c>
      <c r="J124">
        <v>1</v>
      </c>
      <c r="K124" t="s">
        <v>1191</v>
      </c>
      <c r="L124">
        <v>2030</v>
      </c>
      <c r="M124">
        <v>1</v>
      </c>
      <c r="O124" t="s">
        <v>1541</v>
      </c>
      <c r="Y124">
        <v>9.1</v>
      </c>
      <c r="Z124" t="s">
        <v>402</v>
      </c>
    </row>
    <row r="125" spans="1:35">
      <c r="A125" t="s">
        <v>1023</v>
      </c>
      <c r="B125" t="s">
        <v>1165</v>
      </c>
      <c r="C125" t="s">
        <v>1177</v>
      </c>
      <c r="D125" t="s">
        <v>298</v>
      </c>
      <c r="E125">
        <v>2023</v>
      </c>
      <c r="F125">
        <v>1</v>
      </c>
      <c r="G125">
        <v>3</v>
      </c>
      <c r="H125">
        <v>1</v>
      </c>
      <c r="J125">
        <v>1</v>
      </c>
      <c r="K125" t="s">
        <v>1657</v>
      </c>
      <c r="L125">
        <v>2030</v>
      </c>
      <c r="M125">
        <v>1</v>
      </c>
      <c r="O125" t="s">
        <v>1650</v>
      </c>
      <c r="W125" t="s">
        <v>451</v>
      </c>
      <c r="Y125">
        <v>9.4</v>
      </c>
      <c r="Z125" t="s">
        <v>402</v>
      </c>
      <c r="AE125" t="s">
        <v>309</v>
      </c>
    </row>
    <row r="126" spans="1:35">
      <c r="A126" t="s">
        <v>1023</v>
      </c>
      <c r="B126" t="s">
        <v>1165</v>
      </c>
      <c r="C126" t="s">
        <v>1177</v>
      </c>
      <c r="D126" t="s">
        <v>298</v>
      </c>
      <c r="E126">
        <v>2023</v>
      </c>
      <c r="F126">
        <v>1</v>
      </c>
      <c r="G126">
        <v>3</v>
      </c>
      <c r="H126">
        <v>1</v>
      </c>
      <c r="J126">
        <v>1</v>
      </c>
      <c r="K126" t="s">
        <v>1193</v>
      </c>
      <c r="L126">
        <v>2030</v>
      </c>
      <c r="M126">
        <v>1</v>
      </c>
      <c r="O126" t="s">
        <v>1650</v>
      </c>
      <c r="W126" t="s">
        <v>451</v>
      </c>
      <c r="Y126">
        <v>9.4</v>
      </c>
      <c r="Z126" t="s">
        <v>402</v>
      </c>
      <c r="AE126" t="s">
        <v>309</v>
      </c>
    </row>
    <row r="127" spans="1:35">
      <c r="A127" t="s">
        <v>1023</v>
      </c>
      <c r="B127" t="s">
        <v>1218</v>
      </c>
      <c r="C127" t="s">
        <v>1127</v>
      </c>
      <c r="D127" t="s">
        <v>321</v>
      </c>
      <c r="E127">
        <v>2020</v>
      </c>
      <c r="F127">
        <v>0</v>
      </c>
      <c r="G127">
        <v>1</v>
      </c>
      <c r="H127">
        <v>0</v>
      </c>
      <c r="I127">
        <v>0</v>
      </c>
      <c r="J127">
        <v>1</v>
      </c>
      <c r="K127" t="s">
        <v>1222</v>
      </c>
      <c r="L127">
        <v>2030</v>
      </c>
      <c r="M127">
        <v>1</v>
      </c>
      <c r="O127" t="s">
        <v>1617</v>
      </c>
      <c r="W127" t="s">
        <v>564</v>
      </c>
      <c r="X127" t="s">
        <v>315</v>
      </c>
      <c r="Y127">
        <v>9.4</v>
      </c>
      <c r="Z127" t="s">
        <v>402</v>
      </c>
      <c r="AA127" t="s">
        <v>190</v>
      </c>
      <c r="AB127" t="s">
        <v>1131</v>
      </c>
      <c r="AI127" t="s">
        <v>309</v>
      </c>
    </row>
    <row r="128" spans="1:35">
      <c r="A128" t="s">
        <v>1023</v>
      </c>
      <c r="B128" t="s">
        <v>1218</v>
      </c>
      <c r="C128" t="s">
        <v>1127</v>
      </c>
      <c r="D128" t="s">
        <v>321</v>
      </c>
      <c r="E128">
        <v>2020</v>
      </c>
      <c r="F128">
        <v>0</v>
      </c>
      <c r="G128">
        <v>1</v>
      </c>
      <c r="H128">
        <v>0</v>
      </c>
      <c r="I128">
        <v>0</v>
      </c>
      <c r="J128">
        <v>1</v>
      </c>
      <c r="K128" t="s">
        <v>1658</v>
      </c>
      <c r="L128">
        <v>2030</v>
      </c>
      <c r="M128">
        <v>1</v>
      </c>
      <c r="O128" t="s">
        <v>1617</v>
      </c>
      <c r="W128" t="s">
        <v>564</v>
      </c>
      <c r="X128" t="s">
        <v>315</v>
      </c>
      <c r="Y128">
        <v>11.2</v>
      </c>
      <c r="Z128" t="s">
        <v>607</v>
      </c>
      <c r="AA128" t="s">
        <v>196</v>
      </c>
      <c r="AB128" t="s">
        <v>1225</v>
      </c>
      <c r="AI128" t="s">
        <v>309</v>
      </c>
    </row>
    <row r="129" spans="1:37">
      <c r="A129" t="s">
        <v>1023</v>
      </c>
      <c r="B129" t="s">
        <v>1218</v>
      </c>
      <c r="C129" t="s">
        <v>1127</v>
      </c>
      <c r="D129" t="s">
        <v>321</v>
      </c>
      <c r="E129">
        <v>2020</v>
      </c>
      <c r="F129">
        <v>0</v>
      </c>
      <c r="G129">
        <v>1</v>
      </c>
      <c r="H129">
        <v>0</v>
      </c>
      <c r="I129">
        <v>0</v>
      </c>
      <c r="J129">
        <v>1</v>
      </c>
      <c r="K129" t="s">
        <v>1227</v>
      </c>
      <c r="L129">
        <v>2030</v>
      </c>
      <c r="M129">
        <v>1</v>
      </c>
      <c r="O129" t="s">
        <v>1617</v>
      </c>
      <c r="W129" t="s">
        <v>564</v>
      </c>
      <c r="X129" t="s">
        <v>315</v>
      </c>
      <c r="Y129">
        <v>9.4</v>
      </c>
      <c r="Z129" t="s">
        <v>402</v>
      </c>
      <c r="AI129" t="s">
        <v>309</v>
      </c>
    </row>
    <row r="130" spans="1:37">
      <c r="A130" t="s">
        <v>1023</v>
      </c>
      <c r="B130" t="s">
        <v>1135</v>
      </c>
      <c r="C130" t="s">
        <v>1247</v>
      </c>
      <c r="D130" t="s">
        <v>321</v>
      </c>
      <c r="E130">
        <v>2021</v>
      </c>
      <c r="F130">
        <v>0</v>
      </c>
      <c r="G130">
        <v>1</v>
      </c>
      <c r="H130">
        <v>0</v>
      </c>
      <c r="I130">
        <v>0</v>
      </c>
      <c r="J130">
        <v>1</v>
      </c>
      <c r="K130" t="s">
        <v>1249</v>
      </c>
      <c r="L130">
        <v>2030</v>
      </c>
      <c r="M130">
        <v>1</v>
      </c>
      <c r="N130" t="s">
        <v>1659</v>
      </c>
      <c r="O130" t="s">
        <v>1660</v>
      </c>
      <c r="R130" t="s">
        <v>1661</v>
      </c>
      <c r="W130" t="s">
        <v>315</v>
      </c>
      <c r="Y130">
        <v>13.2</v>
      </c>
      <c r="Z130" t="s">
        <v>307</v>
      </c>
      <c r="AI130" t="s">
        <v>309</v>
      </c>
      <c r="AK130" t="s">
        <v>310</v>
      </c>
    </row>
    <row r="131" spans="1:37">
      <c r="A131" t="s">
        <v>1258</v>
      </c>
      <c r="B131" t="s">
        <v>1259</v>
      </c>
      <c r="C131" t="s">
        <v>1260</v>
      </c>
      <c r="D131" t="s">
        <v>321</v>
      </c>
      <c r="E131">
        <v>2020</v>
      </c>
      <c r="F131">
        <v>0</v>
      </c>
      <c r="G131">
        <v>1</v>
      </c>
      <c r="H131">
        <v>0</v>
      </c>
      <c r="I131">
        <v>0</v>
      </c>
      <c r="J131">
        <v>1</v>
      </c>
      <c r="K131" t="s">
        <v>1337</v>
      </c>
      <c r="L131">
        <v>2030</v>
      </c>
      <c r="M131">
        <v>1</v>
      </c>
      <c r="N131" t="s">
        <v>1662</v>
      </c>
      <c r="O131" t="s">
        <v>696</v>
      </c>
      <c r="R131" t="s">
        <v>1663</v>
      </c>
      <c r="T131">
        <v>0</v>
      </c>
      <c r="Y131">
        <v>2.2000000000000002</v>
      </c>
      <c r="Z131" t="s">
        <v>877</v>
      </c>
    </row>
    <row r="132" spans="1:37">
      <c r="A132" t="s">
        <v>1258</v>
      </c>
      <c r="B132" t="s">
        <v>1259</v>
      </c>
      <c r="C132" t="s">
        <v>1260</v>
      </c>
      <c r="D132" t="s">
        <v>321</v>
      </c>
      <c r="E132">
        <v>2020</v>
      </c>
      <c r="F132">
        <v>0</v>
      </c>
      <c r="G132">
        <v>1</v>
      </c>
      <c r="H132">
        <v>0</v>
      </c>
      <c r="I132">
        <v>0</v>
      </c>
      <c r="J132">
        <v>1</v>
      </c>
      <c r="K132" t="s">
        <v>1333</v>
      </c>
      <c r="L132">
        <v>2030</v>
      </c>
      <c r="M132">
        <v>1</v>
      </c>
      <c r="N132" t="s">
        <v>1662</v>
      </c>
      <c r="O132" t="s">
        <v>696</v>
      </c>
      <c r="R132" t="s">
        <v>1663</v>
      </c>
      <c r="T132">
        <v>0</v>
      </c>
      <c r="Y132">
        <v>2.2000000000000002</v>
      </c>
      <c r="Z132" t="s">
        <v>877</v>
      </c>
    </row>
    <row r="133" spans="1:37">
      <c r="A133" t="s">
        <v>1258</v>
      </c>
      <c r="B133" t="s">
        <v>1259</v>
      </c>
      <c r="C133" t="s">
        <v>1260</v>
      </c>
      <c r="D133" t="s">
        <v>321</v>
      </c>
      <c r="E133">
        <v>2020</v>
      </c>
      <c r="F133">
        <v>0</v>
      </c>
      <c r="G133">
        <v>1</v>
      </c>
      <c r="H133">
        <v>0</v>
      </c>
      <c r="I133">
        <v>0</v>
      </c>
      <c r="J133">
        <v>1</v>
      </c>
      <c r="K133" t="s">
        <v>1325</v>
      </c>
      <c r="L133">
        <v>2030</v>
      </c>
      <c r="M133">
        <v>1</v>
      </c>
      <c r="N133" t="s">
        <v>1662</v>
      </c>
      <c r="O133" t="s">
        <v>696</v>
      </c>
      <c r="R133" t="s">
        <v>1663</v>
      </c>
      <c r="T133">
        <v>0</v>
      </c>
      <c r="Y133">
        <v>12.8</v>
      </c>
      <c r="Z133" t="s">
        <v>614</v>
      </c>
    </row>
    <row r="134" spans="1:37">
      <c r="A134" t="s">
        <v>1258</v>
      </c>
      <c r="B134" t="s">
        <v>1259</v>
      </c>
      <c r="C134" t="s">
        <v>1260</v>
      </c>
      <c r="D134" t="s">
        <v>321</v>
      </c>
      <c r="E134">
        <v>2020</v>
      </c>
      <c r="F134">
        <v>0</v>
      </c>
      <c r="G134">
        <v>1</v>
      </c>
      <c r="H134">
        <v>0</v>
      </c>
      <c r="I134">
        <v>0</v>
      </c>
      <c r="J134">
        <v>1</v>
      </c>
      <c r="K134" t="s">
        <v>1321</v>
      </c>
      <c r="L134">
        <v>2030</v>
      </c>
      <c r="M134">
        <v>1</v>
      </c>
      <c r="N134" t="s">
        <v>1662</v>
      </c>
      <c r="O134" t="s">
        <v>696</v>
      </c>
      <c r="R134" t="s">
        <v>1664</v>
      </c>
      <c r="T134">
        <v>0</v>
      </c>
      <c r="Y134">
        <v>2.4</v>
      </c>
      <c r="Z134" t="s">
        <v>877</v>
      </c>
    </row>
    <row r="135" spans="1:37">
      <c r="A135" t="s">
        <v>1258</v>
      </c>
      <c r="B135" t="s">
        <v>1259</v>
      </c>
      <c r="C135" t="s">
        <v>1260</v>
      </c>
      <c r="D135" t="s">
        <v>321</v>
      </c>
      <c r="E135">
        <v>2020</v>
      </c>
      <c r="F135">
        <v>0</v>
      </c>
      <c r="G135">
        <v>1</v>
      </c>
      <c r="H135">
        <v>0</v>
      </c>
      <c r="I135">
        <v>0</v>
      </c>
      <c r="J135">
        <v>1</v>
      </c>
      <c r="K135" t="s">
        <v>1297</v>
      </c>
      <c r="L135">
        <v>2030</v>
      </c>
      <c r="M135">
        <v>1</v>
      </c>
      <c r="N135" t="s">
        <v>1662</v>
      </c>
      <c r="O135" t="s">
        <v>696</v>
      </c>
      <c r="P135" t="s">
        <v>1665</v>
      </c>
      <c r="R135" t="s">
        <v>1666</v>
      </c>
      <c r="T135">
        <v>0</v>
      </c>
      <c r="Y135">
        <v>12.3</v>
      </c>
      <c r="Z135" t="s">
        <v>614</v>
      </c>
    </row>
    <row r="136" spans="1:37">
      <c r="A136" t="s">
        <v>1258</v>
      </c>
      <c r="B136" t="s">
        <v>1259</v>
      </c>
      <c r="C136" t="s">
        <v>1260</v>
      </c>
      <c r="D136" t="s">
        <v>321</v>
      </c>
      <c r="E136">
        <v>2020</v>
      </c>
      <c r="F136">
        <v>0</v>
      </c>
      <c r="G136">
        <v>1</v>
      </c>
      <c r="H136">
        <v>0</v>
      </c>
      <c r="I136">
        <v>0</v>
      </c>
      <c r="J136">
        <v>1</v>
      </c>
      <c r="K136" t="s">
        <v>1299</v>
      </c>
      <c r="L136">
        <v>2030</v>
      </c>
      <c r="M136">
        <v>1</v>
      </c>
      <c r="N136" t="s">
        <v>1662</v>
      </c>
      <c r="O136" t="s">
        <v>696</v>
      </c>
      <c r="R136" t="s">
        <v>1667</v>
      </c>
      <c r="T136">
        <v>0</v>
      </c>
      <c r="Y136">
        <v>2.4</v>
      </c>
      <c r="Z136" t="s">
        <v>877</v>
      </c>
    </row>
    <row r="137" spans="1:37">
      <c r="A137" t="s">
        <v>1258</v>
      </c>
      <c r="B137" t="s">
        <v>1259</v>
      </c>
      <c r="C137" t="s">
        <v>1260</v>
      </c>
      <c r="D137" t="s">
        <v>321</v>
      </c>
      <c r="E137">
        <v>2020</v>
      </c>
      <c r="F137">
        <v>0</v>
      </c>
      <c r="G137">
        <v>1</v>
      </c>
      <c r="H137">
        <v>0</v>
      </c>
      <c r="I137">
        <v>0</v>
      </c>
      <c r="J137">
        <v>1</v>
      </c>
      <c r="K137" t="s">
        <v>1319</v>
      </c>
      <c r="L137">
        <v>2030</v>
      </c>
      <c r="M137">
        <v>1</v>
      </c>
      <c r="N137" t="s">
        <v>1662</v>
      </c>
      <c r="O137" t="s">
        <v>696</v>
      </c>
      <c r="R137" t="s">
        <v>1663</v>
      </c>
      <c r="T137">
        <v>0</v>
      </c>
      <c r="Y137">
        <v>8.5</v>
      </c>
      <c r="Z137" t="s">
        <v>1668</v>
      </c>
    </row>
    <row r="138" spans="1:37">
      <c r="A138" t="s">
        <v>1258</v>
      </c>
      <c r="B138" t="s">
        <v>1259</v>
      </c>
      <c r="C138" t="s">
        <v>1260</v>
      </c>
      <c r="D138" t="s">
        <v>321</v>
      </c>
      <c r="E138">
        <v>2020</v>
      </c>
      <c r="F138">
        <v>0</v>
      </c>
      <c r="G138">
        <v>1</v>
      </c>
      <c r="H138">
        <v>0</v>
      </c>
      <c r="I138">
        <v>0</v>
      </c>
      <c r="J138">
        <v>1</v>
      </c>
      <c r="K138" t="s">
        <v>1339</v>
      </c>
      <c r="L138">
        <v>2030</v>
      </c>
      <c r="M138">
        <v>1</v>
      </c>
      <c r="N138" t="s">
        <v>1662</v>
      </c>
      <c r="O138" t="s">
        <v>696</v>
      </c>
      <c r="P138" t="s">
        <v>1669</v>
      </c>
      <c r="R138" t="s">
        <v>1670</v>
      </c>
      <c r="T138">
        <v>1</v>
      </c>
      <c r="Y138">
        <v>2.2000000000000002</v>
      </c>
      <c r="Z138" t="s">
        <v>877</v>
      </c>
    </row>
    <row r="139" spans="1:37">
      <c r="A139" t="s">
        <v>1258</v>
      </c>
      <c r="B139" t="s">
        <v>1259</v>
      </c>
      <c r="C139" t="s">
        <v>1260</v>
      </c>
      <c r="D139" t="s">
        <v>321</v>
      </c>
      <c r="E139">
        <v>2020</v>
      </c>
      <c r="F139">
        <v>0</v>
      </c>
      <c r="G139">
        <v>1</v>
      </c>
      <c r="H139">
        <v>0</v>
      </c>
      <c r="I139">
        <v>0</v>
      </c>
      <c r="J139">
        <v>1</v>
      </c>
      <c r="K139" t="s">
        <v>1291</v>
      </c>
      <c r="L139">
        <v>2030</v>
      </c>
      <c r="M139">
        <v>1</v>
      </c>
      <c r="N139" t="s">
        <v>1662</v>
      </c>
      <c r="O139" t="s">
        <v>696</v>
      </c>
      <c r="P139" t="s">
        <v>1671</v>
      </c>
      <c r="R139" t="s">
        <v>1672</v>
      </c>
      <c r="T139">
        <v>1</v>
      </c>
      <c r="Y139">
        <v>7.3</v>
      </c>
      <c r="Z139" t="s">
        <v>388</v>
      </c>
    </row>
    <row r="140" spans="1:37">
      <c r="A140" t="s">
        <v>1258</v>
      </c>
      <c r="B140" t="s">
        <v>1259</v>
      </c>
      <c r="C140" t="s">
        <v>1260</v>
      </c>
      <c r="D140" t="s">
        <v>321</v>
      </c>
      <c r="E140">
        <v>2020</v>
      </c>
      <c r="F140">
        <v>0</v>
      </c>
      <c r="G140">
        <v>1</v>
      </c>
      <c r="H140">
        <v>0</v>
      </c>
      <c r="I140">
        <v>0</v>
      </c>
      <c r="J140">
        <v>1</v>
      </c>
      <c r="K140" t="s">
        <v>1293</v>
      </c>
      <c r="L140">
        <v>2030</v>
      </c>
      <c r="M140">
        <v>1</v>
      </c>
      <c r="N140" t="s">
        <v>1662</v>
      </c>
      <c r="O140" t="s">
        <v>696</v>
      </c>
      <c r="P140" t="s">
        <v>1673</v>
      </c>
      <c r="R140" t="s">
        <v>1674</v>
      </c>
      <c r="T140">
        <v>1</v>
      </c>
      <c r="Y140">
        <v>15.5</v>
      </c>
      <c r="Z140" t="s">
        <v>799</v>
      </c>
    </row>
    <row r="141" spans="1:37">
      <c r="A141" t="s">
        <v>1258</v>
      </c>
      <c r="B141" t="s">
        <v>1259</v>
      </c>
      <c r="C141" t="s">
        <v>1260</v>
      </c>
      <c r="D141" t="s">
        <v>321</v>
      </c>
      <c r="E141">
        <v>2020</v>
      </c>
      <c r="F141">
        <v>0</v>
      </c>
      <c r="G141">
        <v>1</v>
      </c>
      <c r="H141">
        <v>0</v>
      </c>
      <c r="I141">
        <v>0</v>
      </c>
      <c r="J141">
        <v>1</v>
      </c>
      <c r="K141" t="s">
        <v>1301</v>
      </c>
      <c r="L141">
        <v>2030</v>
      </c>
      <c r="M141">
        <v>1</v>
      </c>
      <c r="N141" t="s">
        <v>1662</v>
      </c>
      <c r="O141" t="s">
        <v>696</v>
      </c>
      <c r="R141" t="s">
        <v>1675</v>
      </c>
      <c r="T141">
        <v>1</v>
      </c>
      <c r="Y141">
        <v>2.4</v>
      </c>
      <c r="Z141" t="s">
        <v>877</v>
      </c>
    </row>
    <row r="142" spans="1:37" ht="320">
      <c r="A142" t="s">
        <v>1258</v>
      </c>
      <c r="B142" t="s">
        <v>1259</v>
      </c>
      <c r="C142" t="s">
        <v>1260</v>
      </c>
      <c r="D142" t="s">
        <v>321</v>
      </c>
      <c r="E142">
        <v>2020</v>
      </c>
      <c r="F142">
        <v>0</v>
      </c>
      <c r="G142">
        <v>1</v>
      </c>
      <c r="H142">
        <v>0</v>
      </c>
      <c r="I142">
        <v>0</v>
      </c>
      <c r="J142">
        <v>1</v>
      </c>
      <c r="K142" t="s">
        <v>1309</v>
      </c>
      <c r="L142">
        <v>2030</v>
      </c>
      <c r="M142">
        <v>1</v>
      </c>
      <c r="N142" t="s">
        <v>1662</v>
      </c>
      <c r="O142" t="s">
        <v>696</v>
      </c>
      <c r="P142" t="s">
        <v>1676</v>
      </c>
      <c r="R142" s="234" t="s">
        <v>1677</v>
      </c>
      <c r="T142">
        <v>1</v>
      </c>
      <c r="Y142">
        <v>2.1</v>
      </c>
      <c r="Z142" t="s">
        <v>877</v>
      </c>
    </row>
    <row r="143" spans="1:37" ht="335">
      <c r="A143" t="s">
        <v>1258</v>
      </c>
      <c r="B143" t="s">
        <v>1259</v>
      </c>
      <c r="C143" t="s">
        <v>1260</v>
      </c>
      <c r="D143" t="s">
        <v>321</v>
      </c>
      <c r="E143">
        <v>2020</v>
      </c>
      <c r="F143">
        <v>0</v>
      </c>
      <c r="G143">
        <v>1</v>
      </c>
      <c r="H143">
        <v>0</v>
      </c>
      <c r="I143">
        <v>0</v>
      </c>
      <c r="J143">
        <v>1</v>
      </c>
      <c r="K143" t="s">
        <v>1317</v>
      </c>
      <c r="L143">
        <v>2030</v>
      </c>
      <c r="M143">
        <v>1</v>
      </c>
      <c r="N143" t="s">
        <v>1662</v>
      </c>
      <c r="O143" t="s">
        <v>696</v>
      </c>
      <c r="P143" t="s">
        <v>1678</v>
      </c>
      <c r="R143" s="234" t="s">
        <v>1679</v>
      </c>
      <c r="T143">
        <v>1</v>
      </c>
      <c r="Y143">
        <v>8.3000000000000007</v>
      </c>
      <c r="Z143" t="s">
        <v>1668</v>
      </c>
    </row>
    <row r="144" spans="1:37">
      <c r="A144" t="s">
        <v>1258</v>
      </c>
      <c r="B144" t="s">
        <v>1259</v>
      </c>
      <c r="C144" t="s">
        <v>1260</v>
      </c>
      <c r="D144" t="s">
        <v>321</v>
      </c>
      <c r="E144">
        <v>2020</v>
      </c>
      <c r="F144">
        <v>0</v>
      </c>
      <c r="G144">
        <v>1</v>
      </c>
      <c r="H144">
        <v>0</v>
      </c>
      <c r="I144">
        <v>0</v>
      </c>
      <c r="J144">
        <v>1</v>
      </c>
      <c r="K144" t="s">
        <v>1341</v>
      </c>
      <c r="L144">
        <v>2030</v>
      </c>
      <c r="M144">
        <v>1</v>
      </c>
      <c r="N144" t="s">
        <v>1662</v>
      </c>
      <c r="O144" t="s">
        <v>696</v>
      </c>
      <c r="P144" t="s">
        <v>1680</v>
      </c>
      <c r="R144" t="s">
        <v>1681</v>
      </c>
      <c r="T144">
        <v>2</v>
      </c>
      <c r="Y144">
        <v>2.4</v>
      </c>
      <c r="Z144" t="s">
        <v>877</v>
      </c>
    </row>
    <row r="145" spans="1:40">
      <c r="A145" t="s">
        <v>1258</v>
      </c>
      <c r="B145" t="s">
        <v>1259</v>
      </c>
      <c r="C145" t="s">
        <v>1260</v>
      </c>
      <c r="D145" t="s">
        <v>321</v>
      </c>
      <c r="E145">
        <v>2020</v>
      </c>
      <c r="F145">
        <v>0</v>
      </c>
      <c r="G145">
        <v>1</v>
      </c>
      <c r="H145">
        <v>0</v>
      </c>
      <c r="I145">
        <v>0</v>
      </c>
      <c r="J145">
        <v>1</v>
      </c>
      <c r="K145" t="s">
        <v>1335</v>
      </c>
      <c r="L145">
        <v>2030</v>
      </c>
      <c r="M145">
        <v>1</v>
      </c>
      <c r="N145" t="s">
        <v>1682</v>
      </c>
      <c r="O145" t="s">
        <v>696</v>
      </c>
      <c r="P145" t="s">
        <v>1683</v>
      </c>
      <c r="R145" t="s">
        <v>1684</v>
      </c>
      <c r="T145">
        <v>2</v>
      </c>
      <c r="Y145">
        <v>2.1</v>
      </c>
      <c r="Z145" t="s">
        <v>877</v>
      </c>
    </row>
    <row r="146" spans="1:40">
      <c r="A146" t="s">
        <v>1258</v>
      </c>
      <c r="B146" t="s">
        <v>1259</v>
      </c>
      <c r="C146" t="s">
        <v>1260</v>
      </c>
      <c r="D146" t="s">
        <v>321</v>
      </c>
      <c r="E146">
        <v>2020</v>
      </c>
      <c r="F146">
        <v>0</v>
      </c>
      <c r="G146">
        <v>1</v>
      </c>
      <c r="H146">
        <v>0</v>
      </c>
      <c r="I146">
        <v>0</v>
      </c>
      <c r="J146">
        <v>1</v>
      </c>
      <c r="K146" t="s">
        <v>1331</v>
      </c>
      <c r="L146">
        <v>2030</v>
      </c>
      <c r="M146">
        <v>1</v>
      </c>
      <c r="N146" t="s">
        <v>1662</v>
      </c>
      <c r="O146" t="s">
        <v>696</v>
      </c>
      <c r="P146" t="s">
        <v>1685</v>
      </c>
      <c r="R146" t="s">
        <v>1686</v>
      </c>
      <c r="T146">
        <v>2</v>
      </c>
      <c r="Y146">
        <v>2.1</v>
      </c>
      <c r="Z146" t="s">
        <v>877</v>
      </c>
    </row>
    <row r="147" spans="1:40">
      <c r="A147" t="s">
        <v>1258</v>
      </c>
      <c r="B147" t="s">
        <v>1259</v>
      </c>
      <c r="C147" t="s">
        <v>1260</v>
      </c>
      <c r="D147" t="s">
        <v>321</v>
      </c>
      <c r="E147">
        <v>2020</v>
      </c>
      <c r="F147">
        <v>0</v>
      </c>
      <c r="G147">
        <v>1</v>
      </c>
      <c r="H147">
        <v>0</v>
      </c>
      <c r="I147">
        <v>0</v>
      </c>
      <c r="J147">
        <v>1</v>
      </c>
      <c r="K147" t="s">
        <v>1329</v>
      </c>
      <c r="L147">
        <v>2030</v>
      </c>
      <c r="M147">
        <v>1</v>
      </c>
      <c r="N147" t="s">
        <v>1662</v>
      </c>
      <c r="O147" t="s">
        <v>696</v>
      </c>
      <c r="P147" t="s">
        <v>1687</v>
      </c>
      <c r="R147" t="s">
        <v>1688</v>
      </c>
      <c r="T147">
        <v>2</v>
      </c>
      <c r="Y147">
        <v>2.1</v>
      </c>
      <c r="Z147" t="s">
        <v>877</v>
      </c>
    </row>
    <row r="148" spans="1:40" ht="144">
      <c r="A148" t="s">
        <v>1258</v>
      </c>
      <c r="B148" t="s">
        <v>1259</v>
      </c>
      <c r="C148" t="s">
        <v>1260</v>
      </c>
      <c r="D148" t="s">
        <v>321</v>
      </c>
      <c r="E148">
        <v>2020</v>
      </c>
      <c r="F148">
        <v>0</v>
      </c>
      <c r="G148">
        <v>1</v>
      </c>
      <c r="H148">
        <v>0</v>
      </c>
      <c r="I148">
        <v>0</v>
      </c>
      <c r="J148">
        <v>1</v>
      </c>
      <c r="K148" t="s">
        <v>1271</v>
      </c>
      <c r="L148">
        <v>2030</v>
      </c>
      <c r="M148">
        <v>1</v>
      </c>
      <c r="N148" s="234" t="s">
        <v>1689</v>
      </c>
      <c r="O148" t="s">
        <v>696</v>
      </c>
      <c r="P148" t="s">
        <v>1690</v>
      </c>
      <c r="Q148" t="s">
        <v>1262</v>
      </c>
      <c r="R148" t="s">
        <v>1691</v>
      </c>
      <c r="S148" t="s">
        <v>303</v>
      </c>
      <c r="T148">
        <v>2</v>
      </c>
      <c r="W148" t="s">
        <v>617</v>
      </c>
      <c r="X148" t="s">
        <v>1265</v>
      </c>
      <c r="Y148">
        <v>12.4</v>
      </c>
      <c r="Z148" t="s">
        <v>614</v>
      </c>
      <c r="AA148" t="s">
        <v>1272</v>
      </c>
      <c r="AB148" s="234" t="s">
        <v>1273</v>
      </c>
      <c r="AC148" t="s">
        <v>1274</v>
      </c>
      <c r="AD148" t="s">
        <v>1269</v>
      </c>
      <c r="AL148" t="s">
        <v>310</v>
      </c>
      <c r="AN148" t="s">
        <v>309</v>
      </c>
    </row>
    <row r="149" spans="1:40" ht="409.6">
      <c r="A149" t="s">
        <v>1258</v>
      </c>
      <c r="B149" t="s">
        <v>1259</v>
      </c>
      <c r="C149" t="s">
        <v>1260</v>
      </c>
      <c r="D149" t="s">
        <v>321</v>
      </c>
      <c r="E149">
        <v>2020</v>
      </c>
      <c r="F149">
        <v>0</v>
      </c>
      <c r="G149">
        <v>1</v>
      </c>
      <c r="H149">
        <v>0</v>
      </c>
      <c r="I149">
        <v>0</v>
      </c>
      <c r="J149">
        <v>1</v>
      </c>
      <c r="K149" t="s">
        <v>1692</v>
      </c>
      <c r="L149">
        <v>2030</v>
      </c>
      <c r="M149">
        <v>1</v>
      </c>
      <c r="N149" t="s">
        <v>1662</v>
      </c>
      <c r="O149" t="s">
        <v>696</v>
      </c>
      <c r="P149" s="234" t="s">
        <v>1693</v>
      </c>
      <c r="Q149" t="s">
        <v>424</v>
      </c>
      <c r="R149" s="234" t="s">
        <v>1694</v>
      </c>
      <c r="S149" t="s">
        <v>363</v>
      </c>
      <c r="T149">
        <v>2</v>
      </c>
      <c r="W149" t="s">
        <v>617</v>
      </c>
      <c r="Y149">
        <v>14.4</v>
      </c>
      <c r="Z149" t="s">
        <v>826</v>
      </c>
      <c r="AA149" t="s">
        <v>1281</v>
      </c>
      <c r="AB149" s="234" t="s">
        <v>1282</v>
      </c>
      <c r="AC149" t="s">
        <v>1283</v>
      </c>
      <c r="AD149" t="s">
        <v>1284</v>
      </c>
      <c r="AL149" t="s">
        <v>310</v>
      </c>
      <c r="AN149" t="s">
        <v>309</v>
      </c>
    </row>
    <row r="150" spans="1:40">
      <c r="A150" t="s">
        <v>1258</v>
      </c>
      <c r="B150" t="s">
        <v>1259</v>
      </c>
      <c r="C150" t="s">
        <v>1260</v>
      </c>
      <c r="D150" t="s">
        <v>321</v>
      </c>
      <c r="E150">
        <v>2020</v>
      </c>
      <c r="F150">
        <v>0</v>
      </c>
      <c r="G150">
        <v>1</v>
      </c>
      <c r="H150">
        <v>0</v>
      </c>
      <c r="I150">
        <v>0</v>
      </c>
      <c r="J150">
        <v>1</v>
      </c>
      <c r="K150" t="s">
        <v>1286</v>
      </c>
      <c r="L150">
        <v>2030</v>
      </c>
      <c r="M150">
        <v>1</v>
      </c>
      <c r="N150" t="s">
        <v>1662</v>
      </c>
      <c r="O150" t="s">
        <v>696</v>
      </c>
      <c r="P150" t="s">
        <v>1695</v>
      </c>
      <c r="R150" t="s">
        <v>1696</v>
      </c>
      <c r="T150">
        <v>2</v>
      </c>
      <c r="Y150">
        <v>13.2</v>
      </c>
      <c r="Z150" t="s">
        <v>307</v>
      </c>
    </row>
    <row r="151" spans="1:40">
      <c r="A151" t="s">
        <v>1258</v>
      </c>
      <c r="B151" t="s">
        <v>1259</v>
      </c>
      <c r="C151" t="s">
        <v>1260</v>
      </c>
      <c r="D151" t="s">
        <v>321</v>
      </c>
      <c r="E151">
        <v>2020</v>
      </c>
      <c r="F151">
        <v>0</v>
      </c>
      <c r="G151">
        <v>1</v>
      </c>
      <c r="H151">
        <v>0</v>
      </c>
      <c r="I151">
        <v>0</v>
      </c>
      <c r="J151">
        <v>1</v>
      </c>
      <c r="K151" t="s">
        <v>1288</v>
      </c>
      <c r="L151">
        <v>2030</v>
      </c>
      <c r="M151">
        <v>1</v>
      </c>
      <c r="N151" t="s">
        <v>1662</v>
      </c>
      <c r="O151" t="s">
        <v>696</v>
      </c>
      <c r="P151" t="s">
        <v>1697</v>
      </c>
      <c r="R151" t="s">
        <v>1698</v>
      </c>
      <c r="T151">
        <v>2</v>
      </c>
      <c r="Y151">
        <v>6.4</v>
      </c>
      <c r="Z151" t="s">
        <v>833</v>
      </c>
    </row>
    <row r="152" spans="1:40">
      <c r="A152" t="s">
        <v>1258</v>
      </c>
      <c r="B152" t="s">
        <v>1259</v>
      </c>
      <c r="C152" t="s">
        <v>1260</v>
      </c>
      <c r="D152" t="s">
        <v>321</v>
      </c>
      <c r="E152">
        <v>2020</v>
      </c>
      <c r="F152">
        <v>0</v>
      </c>
      <c r="G152">
        <v>1</v>
      </c>
      <c r="H152">
        <v>0</v>
      </c>
      <c r="I152">
        <v>0</v>
      </c>
      <c r="J152">
        <v>1</v>
      </c>
      <c r="K152" t="s">
        <v>1699</v>
      </c>
      <c r="L152">
        <v>2030</v>
      </c>
      <c r="M152">
        <v>1</v>
      </c>
      <c r="N152" t="s">
        <v>1662</v>
      </c>
      <c r="O152" t="s">
        <v>696</v>
      </c>
      <c r="P152" t="s">
        <v>1700</v>
      </c>
      <c r="R152" t="s">
        <v>1701</v>
      </c>
      <c r="T152">
        <v>2</v>
      </c>
      <c r="Y152">
        <v>2.4</v>
      </c>
      <c r="Z152" t="s">
        <v>877</v>
      </c>
    </row>
    <row r="153" spans="1:40">
      <c r="A153" t="s">
        <v>1258</v>
      </c>
      <c r="B153" t="s">
        <v>1259</v>
      </c>
      <c r="C153" t="s">
        <v>1260</v>
      </c>
      <c r="D153" t="s">
        <v>321</v>
      </c>
      <c r="E153">
        <v>2020</v>
      </c>
      <c r="F153">
        <v>0</v>
      </c>
      <c r="G153">
        <v>1</v>
      </c>
      <c r="H153">
        <v>0</v>
      </c>
      <c r="I153">
        <v>0</v>
      </c>
      <c r="J153">
        <v>1</v>
      </c>
      <c r="K153" t="s">
        <v>1311</v>
      </c>
      <c r="L153">
        <v>2030</v>
      </c>
      <c r="M153">
        <v>1</v>
      </c>
      <c r="N153" t="s">
        <v>1662</v>
      </c>
      <c r="O153" t="s">
        <v>696</v>
      </c>
      <c r="P153" t="s">
        <v>1702</v>
      </c>
      <c r="R153" t="s">
        <v>1703</v>
      </c>
      <c r="T153">
        <v>2</v>
      </c>
      <c r="Y153">
        <v>8.1999999999999993</v>
      </c>
      <c r="Z153" t="s">
        <v>1668</v>
      </c>
    </row>
    <row r="154" spans="1:40">
      <c r="A154" t="s">
        <v>1258</v>
      </c>
      <c r="B154" t="s">
        <v>1259</v>
      </c>
      <c r="C154" t="s">
        <v>1260</v>
      </c>
      <c r="D154" t="s">
        <v>321</v>
      </c>
      <c r="E154">
        <v>2020</v>
      </c>
      <c r="F154">
        <v>0</v>
      </c>
      <c r="G154">
        <v>1</v>
      </c>
      <c r="H154">
        <v>0</v>
      </c>
      <c r="I154">
        <v>0</v>
      </c>
      <c r="J154">
        <v>1</v>
      </c>
      <c r="K154" t="s">
        <v>1315</v>
      </c>
      <c r="L154">
        <v>2030</v>
      </c>
      <c r="M154">
        <v>1</v>
      </c>
      <c r="N154" t="s">
        <v>1662</v>
      </c>
      <c r="O154" t="s">
        <v>696</v>
      </c>
      <c r="P154" t="s">
        <v>1704</v>
      </c>
      <c r="R154" t="s">
        <v>1705</v>
      </c>
      <c r="T154">
        <v>2</v>
      </c>
      <c r="Y154">
        <v>2.4</v>
      </c>
      <c r="Z154" t="s">
        <v>877</v>
      </c>
    </row>
    <row r="155" spans="1:40">
      <c r="A155" t="s">
        <v>1258</v>
      </c>
      <c r="B155" t="s">
        <v>1259</v>
      </c>
      <c r="C155" t="s">
        <v>1260</v>
      </c>
      <c r="D155" t="s">
        <v>321</v>
      </c>
      <c r="E155">
        <v>2020</v>
      </c>
      <c r="F155">
        <v>0</v>
      </c>
      <c r="G155">
        <v>1</v>
      </c>
      <c r="H155">
        <v>0</v>
      </c>
      <c r="I155">
        <v>0</v>
      </c>
      <c r="J155">
        <v>1</v>
      </c>
      <c r="K155" t="s">
        <v>1264</v>
      </c>
      <c r="L155">
        <v>2030</v>
      </c>
      <c r="M155">
        <v>1</v>
      </c>
      <c r="N155" t="s">
        <v>1662</v>
      </c>
      <c r="O155" t="s">
        <v>696</v>
      </c>
      <c r="P155" t="s">
        <v>1706</v>
      </c>
      <c r="Q155" t="s">
        <v>1262</v>
      </c>
      <c r="R155" t="s">
        <v>1707</v>
      </c>
      <c r="S155" t="s">
        <v>363</v>
      </c>
      <c r="T155">
        <v>3</v>
      </c>
      <c r="W155" t="s">
        <v>617</v>
      </c>
      <c r="X155" t="s">
        <v>1265</v>
      </c>
      <c r="Y155">
        <v>2.4</v>
      </c>
      <c r="Z155" t="s">
        <v>877</v>
      </c>
      <c r="AA155" t="s">
        <v>1266</v>
      </c>
      <c r="AB155" t="s">
        <v>1267</v>
      </c>
      <c r="AC155" t="s">
        <v>1268</v>
      </c>
      <c r="AD155" t="s">
        <v>1269</v>
      </c>
      <c r="AL155" t="s">
        <v>310</v>
      </c>
      <c r="AN155" t="s">
        <v>309</v>
      </c>
    </row>
    <row r="156" spans="1:40" ht="208">
      <c r="A156" t="s">
        <v>1258</v>
      </c>
      <c r="B156" t="s">
        <v>1259</v>
      </c>
      <c r="C156" t="s">
        <v>1260</v>
      </c>
      <c r="D156" t="s">
        <v>321</v>
      </c>
      <c r="E156">
        <v>2020</v>
      </c>
      <c r="F156">
        <v>0</v>
      </c>
      <c r="G156">
        <v>1</v>
      </c>
      <c r="H156">
        <v>0</v>
      </c>
      <c r="I156">
        <v>0</v>
      </c>
      <c r="J156">
        <v>1</v>
      </c>
      <c r="K156" t="s">
        <v>1708</v>
      </c>
      <c r="L156">
        <v>2030</v>
      </c>
      <c r="M156">
        <v>1</v>
      </c>
      <c r="N156" s="234" t="s">
        <v>1709</v>
      </c>
      <c r="O156" t="s">
        <v>696</v>
      </c>
      <c r="P156" t="s">
        <v>1710</v>
      </c>
      <c r="Q156" t="s">
        <v>1262</v>
      </c>
      <c r="R156" t="s">
        <v>1711</v>
      </c>
      <c r="S156" t="s">
        <v>363</v>
      </c>
      <c r="T156">
        <v>3</v>
      </c>
      <c r="W156" t="s">
        <v>617</v>
      </c>
      <c r="X156" t="s">
        <v>1265</v>
      </c>
      <c r="Y156">
        <v>12.4</v>
      </c>
      <c r="Z156" t="s">
        <v>614</v>
      </c>
      <c r="AA156" t="s">
        <v>214</v>
      </c>
      <c r="AB156" t="s">
        <v>1276</v>
      </c>
      <c r="AC156" t="s">
        <v>1277</v>
      </c>
      <c r="AD156" t="s">
        <v>1269</v>
      </c>
      <c r="AL156" t="s">
        <v>310</v>
      </c>
      <c r="AN156" t="s">
        <v>309</v>
      </c>
    </row>
    <row r="157" spans="1:40" ht="208">
      <c r="A157" t="s">
        <v>1258</v>
      </c>
      <c r="B157" t="s">
        <v>1259</v>
      </c>
      <c r="C157" t="s">
        <v>1260</v>
      </c>
      <c r="D157" t="s">
        <v>321</v>
      </c>
      <c r="E157">
        <v>2020</v>
      </c>
      <c r="F157">
        <v>0</v>
      </c>
      <c r="G157">
        <v>1</v>
      </c>
      <c r="H157">
        <v>0</v>
      </c>
      <c r="I157">
        <v>0</v>
      </c>
      <c r="J157">
        <v>1</v>
      </c>
      <c r="K157" t="s">
        <v>1712</v>
      </c>
      <c r="L157">
        <v>2030</v>
      </c>
      <c r="M157">
        <v>1</v>
      </c>
      <c r="N157" s="234" t="s">
        <v>1709</v>
      </c>
      <c r="O157" t="s">
        <v>696</v>
      </c>
      <c r="P157" t="s">
        <v>1713</v>
      </c>
      <c r="Q157" t="s">
        <v>1262</v>
      </c>
      <c r="R157" t="s">
        <v>1714</v>
      </c>
      <c r="S157" t="s">
        <v>363</v>
      </c>
      <c r="T157">
        <v>3</v>
      </c>
      <c r="X157" t="s">
        <v>1265</v>
      </c>
      <c r="Y157">
        <v>12.4</v>
      </c>
      <c r="Z157" t="s">
        <v>614</v>
      </c>
      <c r="AA157" t="s">
        <v>214</v>
      </c>
      <c r="AB157" t="s">
        <v>1277</v>
      </c>
      <c r="AC157" t="s">
        <v>1279</v>
      </c>
      <c r="AD157" t="s">
        <v>1269</v>
      </c>
      <c r="AL157" t="s">
        <v>310</v>
      </c>
      <c r="AN157" t="s">
        <v>309</v>
      </c>
    </row>
    <row r="158" spans="1:40">
      <c r="A158" t="s">
        <v>1258</v>
      </c>
      <c r="B158" t="s">
        <v>1259</v>
      </c>
      <c r="C158" t="s">
        <v>1260</v>
      </c>
      <c r="D158" t="s">
        <v>321</v>
      </c>
      <c r="E158">
        <v>2020</v>
      </c>
      <c r="F158">
        <v>0</v>
      </c>
      <c r="G158">
        <v>1</v>
      </c>
      <c r="H158">
        <v>0</v>
      </c>
      <c r="I158">
        <v>0</v>
      </c>
      <c r="J158">
        <v>1</v>
      </c>
      <c r="K158" t="s">
        <v>1295</v>
      </c>
      <c r="L158">
        <v>2030</v>
      </c>
      <c r="M158">
        <v>1</v>
      </c>
      <c r="N158" t="s">
        <v>1662</v>
      </c>
      <c r="O158" t="s">
        <v>696</v>
      </c>
      <c r="P158" t="s">
        <v>1715</v>
      </c>
      <c r="R158" t="s">
        <v>1716</v>
      </c>
      <c r="T158">
        <v>3</v>
      </c>
      <c r="Y158">
        <v>2.5</v>
      </c>
      <c r="Z158" t="s">
        <v>877</v>
      </c>
    </row>
    <row r="159" spans="1:40" ht="409.6">
      <c r="A159" t="s">
        <v>1258</v>
      </c>
      <c r="B159" t="s">
        <v>1259</v>
      </c>
      <c r="C159" t="s">
        <v>1260</v>
      </c>
      <c r="D159" t="s">
        <v>321</v>
      </c>
      <c r="E159">
        <v>2020</v>
      </c>
      <c r="F159">
        <v>0</v>
      </c>
      <c r="G159">
        <v>1</v>
      </c>
      <c r="H159">
        <v>0</v>
      </c>
      <c r="I159">
        <v>0</v>
      </c>
      <c r="J159">
        <v>1</v>
      </c>
      <c r="K159" t="s">
        <v>1303</v>
      </c>
      <c r="L159">
        <v>2030</v>
      </c>
      <c r="M159">
        <v>1</v>
      </c>
      <c r="N159" t="s">
        <v>1662</v>
      </c>
      <c r="O159" t="s">
        <v>696</v>
      </c>
      <c r="P159" t="s">
        <v>1717</v>
      </c>
      <c r="R159" s="234" t="s">
        <v>1718</v>
      </c>
      <c r="T159">
        <v>3</v>
      </c>
      <c r="Y159">
        <v>2.2999999999999998</v>
      </c>
      <c r="Z159" t="s">
        <v>877</v>
      </c>
    </row>
    <row r="160" spans="1:40" ht="409.6">
      <c r="A160" t="s">
        <v>1258</v>
      </c>
      <c r="B160" t="s">
        <v>1259</v>
      </c>
      <c r="C160" t="s">
        <v>1260</v>
      </c>
      <c r="D160" t="s">
        <v>321</v>
      </c>
      <c r="E160">
        <v>2020</v>
      </c>
      <c r="F160">
        <v>0</v>
      </c>
      <c r="G160">
        <v>1</v>
      </c>
      <c r="H160">
        <v>0</v>
      </c>
      <c r="I160">
        <v>0</v>
      </c>
      <c r="J160">
        <v>1</v>
      </c>
      <c r="K160" t="s">
        <v>1305</v>
      </c>
      <c r="L160">
        <v>2030</v>
      </c>
      <c r="M160">
        <v>1</v>
      </c>
      <c r="N160" t="s">
        <v>1662</v>
      </c>
      <c r="O160" t="s">
        <v>696</v>
      </c>
      <c r="P160" t="s">
        <v>1719</v>
      </c>
      <c r="R160" s="234" t="s">
        <v>1720</v>
      </c>
      <c r="T160">
        <v>3</v>
      </c>
      <c r="Y160">
        <v>2.2999999999999998</v>
      </c>
      <c r="Z160" t="s">
        <v>877</v>
      </c>
    </row>
    <row r="161" spans="1:39" ht="409.6">
      <c r="A161" t="s">
        <v>1258</v>
      </c>
      <c r="B161" t="s">
        <v>1259</v>
      </c>
      <c r="C161" t="s">
        <v>1260</v>
      </c>
      <c r="D161" t="s">
        <v>321</v>
      </c>
      <c r="E161">
        <v>2020</v>
      </c>
      <c r="F161">
        <v>0</v>
      </c>
      <c r="G161">
        <v>1</v>
      </c>
      <c r="H161">
        <v>0</v>
      </c>
      <c r="I161">
        <v>0</v>
      </c>
      <c r="J161">
        <v>1</v>
      </c>
      <c r="K161" t="s">
        <v>1307</v>
      </c>
      <c r="L161">
        <v>2030</v>
      </c>
      <c r="M161">
        <v>1</v>
      </c>
      <c r="N161" t="s">
        <v>1662</v>
      </c>
      <c r="O161" t="s">
        <v>696</v>
      </c>
      <c r="P161" t="s">
        <v>1721</v>
      </c>
      <c r="R161" s="234" t="s">
        <v>1722</v>
      </c>
      <c r="T161">
        <v>3</v>
      </c>
      <c r="Y161">
        <v>2.2999999999999998</v>
      </c>
      <c r="Z161" t="s">
        <v>877</v>
      </c>
    </row>
    <row r="162" spans="1:39" ht="409.6">
      <c r="A162" t="s">
        <v>1258</v>
      </c>
      <c r="B162" t="s">
        <v>1259</v>
      </c>
      <c r="C162" t="s">
        <v>1260</v>
      </c>
      <c r="D162" t="s">
        <v>321</v>
      </c>
      <c r="E162">
        <v>2020</v>
      </c>
      <c r="F162">
        <v>0</v>
      </c>
      <c r="G162">
        <v>1</v>
      </c>
      <c r="H162">
        <v>0</v>
      </c>
      <c r="I162">
        <v>0</v>
      </c>
      <c r="J162">
        <v>1</v>
      </c>
      <c r="K162" t="s">
        <v>1313</v>
      </c>
      <c r="L162">
        <v>2030</v>
      </c>
      <c r="M162">
        <v>1</v>
      </c>
      <c r="N162" t="s">
        <v>1662</v>
      </c>
      <c r="O162" t="s">
        <v>696</v>
      </c>
      <c r="P162" t="s">
        <v>1723</v>
      </c>
      <c r="R162" s="234" t="s">
        <v>1724</v>
      </c>
      <c r="T162">
        <v>3</v>
      </c>
      <c r="Y162">
        <v>9.1</v>
      </c>
      <c r="Z162" t="s">
        <v>402</v>
      </c>
    </row>
    <row r="163" spans="1:39">
      <c r="A163" t="s">
        <v>792</v>
      </c>
      <c r="B163" t="s">
        <v>802</v>
      </c>
      <c r="C163" t="s">
        <v>803</v>
      </c>
      <c r="D163" t="s">
        <v>1376</v>
      </c>
      <c r="E163">
        <v>2023</v>
      </c>
      <c r="F163">
        <v>1</v>
      </c>
      <c r="G163">
        <v>3</v>
      </c>
      <c r="H163">
        <v>1</v>
      </c>
      <c r="J163">
        <v>1</v>
      </c>
      <c r="K163" t="s">
        <v>831</v>
      </c>
      <c r="L163">
        <v>2030</v>
      </c>
      <c r="M163">
        <v>1</v>
      </c>
      <c r="O163" t="s">
        <v>805</v>
      </c>
      <c r="R163" t="s">
        <v>832</v>
      </c>
      <c r="T163">
        <v>0</v>
      </c>
      <c r="Y163">
        <v>6.6</v>
      </c>
      <c r="Z163" t="s">
        <v>833</v>
      </c>
    </row>
    <row r="164" spans="1:39">
      <c r="A164" t="s">
        <v>792</v>
      </c>
      <c r="B164" t="s">
        <v>802</v>
      </c>
      <c r="C164" t="s">
        <v>852</v>
      </c>
      <c r="D164" t="s">
        <v>298</v>
      </c>
      <c r="E164">
        <v>2019</v>
      </c>
      <c r="F164">
        <v>1</v>
      </c>
      <c r="G164">
        <v>3</v>
      </c>
      <c r="H164">
        <v>1</v>
      </c>
      <c r="J164">
        <v>1</v>
      </c>
      <c r="K164" t="s">
        <v>1370</v>
      </c>
      <c r="M164">
        <v>1</v>
      </c>
      <c r="N164" t="s">
        <v>854</v>
      </c>
      <c r="O164" t="s">
        <v>855</v>
      </c>
      <c r="R164" t="s">
        <v>856</v>
      </c>
      <c r="T164">
        <v>0</v>
      </c>
      <c r="W164" t="s">
        <v>594</v>
      </c>
      <c r="Y164">
        <v>14.6</v>
      </c>
      <c r="Z164" t="s">
        <v>826</v>
      </c>
      <c r="AM164" t="s">
        <v>309</v>
      </c>
    </row>
    <row r="165" spans="1:39">
      <c r="A165" t="s">
        <v>792</v>
      </c>
      <c r="B165" t="s">
        <v>857</v>
      </c>
      <c r="C165" t="s">
        <v>857</v>
      </c>
      <c r="D165" t="s">
        <v>321</v>
      </c>
      <c r="E165">
        <v>2020</v>
      </c>
      <c r="F165">
        <v>0</v>
      </c>
      <c r="G165">
        <v>1</v>
      </c>
      <c r="H165">
        <v>0</v>
      </c>
      <c r="I165">
        <v>0</v>
      </c>
      <c r="J165">
        <v>1</v>
      </c>
      <c r="K165" t="s">
        <v>858</v>
      </c>
      <c r="L165">
        <v>2030</v>
      </c>
      <c r="M165">
        <v>1</v>
      </c>
      <c r="O165" t="s">
        <v>859</v>
      </c>
      <c r="R165" t="s">
        <v>860</v>
      </c>
      <c r="S165" t="s">
        <v>861</v>
      </c>
      <c r="T165">
        <v>0</v>
      </c>
      <c r="X165" t="s">
        <v>862</v>
      </c>
      <c r="Y165" t="s">
        <v>863</v>
      </c>
      <c r="Z165" t="s">
        <v>607</v>
      </c>
      <c r="AA165" t="s">
        <v>212</v>
      </c>
      <c r="AM165" t="s">
        <v>309</v>
      </c>
    </row>
    <row r="166" spans="1:39">
      <c r="A166" t="s">
        <v>792</v>
      </c>
      <c r="B166" t="s">
        <v>857</v>
      </c>
      <c r="C166" t="s">
        <v>857</v>
      </c>
      <c r="D166" t="s">
        <v>321</v>
      </c>
      <c r="E166">
        <v>2020</v>
      </c>
      <c r="F166">
        <v>0</v>
      </c>
      <c r="G166">
        <v>1</v>
      </c>
      <c r="H166">
        <v>0</v>
      </c>
      <c r="I166">
        <v>0</v>
      </c>
      <c r="J166">
        <v>1</v>
      </c>
      <c r="K166" t="s">
        <v>869</v>
      </c>
      <c r="L166">
        <v>2030</v>
      </c>
      <c r="M166">
        <v>1</v>
      </c>
      <c r="N166" t="s">
        <v>870</v>
      </c>
      <c r="O166" t="s">
        <v>859</v>
      </c>
      <c r="R166" t="s">
        <v>871</v>
      </c>
      <c r="S166" t="s">
        <v>872</v>
      </c>
      <c r="T166">
        <v>0</v>
      </c>
      <c r="X166" t="s">
        <v>862</v>
      </c>
      <c r="Y166">
        <v>15.5</v>
      </c>
      <c r="Z166" t="s">
        <v>799</v>
      </c>
      <c r="AA166" t="s">
        <v>212</v>
      </c>
    </row>
    <row r="167" spans="1:39">
      <c r="A167" t="s">
        <v>792</v>
      </c>
      <c r="B167" t="s">
        <v>857</v>
      </c>
      <c r="C167" t="s">
        <v>857</v>
      </c>
      <c r="D167" t="s">
        <v>321</v>
      </c>
      <c r="E167">
        <v>2020</v>
      </c>
      <c r="F167">
        <v>0</v>
      </c>
      <c r="G167">
        <v>1</v>
      </c>
      <c r="H167">
        <v>0</v>
      </c>
      <c r="I167">
        <v>0</v>
      </c>
      <c r="J167">
        <v>1</v>
      </c>
      <c r="K167" t="s">
        <v>878</v>
      </c>
      <c r="L167">
        <v>2030</v>
      </c>
      <c r="M167">
        <v>1</v>
      </c>
      <c r="O167" t="s">
        <v>859</v>
      </c>
      <c r="R167" t="s">
        <v>879</v>
      </c>
      <c r="S167" t="s">
        <v>861</v>
      </c>
      <c r="T167">
        <v>0</v>
      </c>
      <c r="X167" t="s">
        <v>862</v>
      </c>
      <c r="Y167">
        <v>2.4</v>
      </c>
      <c r="Z167" t="s">
        <v>877</v>
      </c>
      <c r="AA167" t="s">
        <v>212</v>
      </c>
    </row>
    <row r="168" spans="1:39">
      <c r="A168" t="s">
        <v>792</v>
      </c>
      <c r="B168" t="s">
        <v>793</v>
      </c>
      <c r="C168" t="s">
        <v>794</v>
      </c>
      <c r="D168" t="s">
        <v>321</v>
      </c>
      <c r="E168">
        <v>2021</v>
      </c>
      <c r="F168">
        <v>0</v>
      </c>
      <c r="G168">
        <v>1</v>
      </c>
      <c r="H168">
        <v>0</v>
      </c>
      <c r="I168">
        <v>0</v>
      </c>
      <c r="J168">
        <v>1</v>
      </c>
      <c r="K168" t="s">
        <v>795</v>
      </c>
      <c r="L168">
        <v>2030</v>
      </c>
      <c r="M168">
        <v>1</v>
      </c>
      <c r="O168" t="s">
        <v>796</v>
      </c>
      <c r="R168" t="s">
        <v>797</v>
      </c>
      <c r="T168">
        <v>1</v>
      </c>
      <c r="U168" t="s">
        <v>798</v>
      </c>
      <c r="W168" t="s">
        <v>344</v>
      </c>
      <c r="Y168">
        <v>15.3</v>
      </c>
      <c r="Z168" t="s">
        <v>799</v>
      </c>
      <c r="AA168" t="s">
        <v>190</v>
      </c>
      <c r="AB168" t="s">
        <v>800</v>
      </c>
      <c r="AC168" t="s">
        <v>801</v>
      </c>
      <c r="AM168" t="s">
        <v>309</v>
      </c>
    </row>
    <row r="169" spans="1:39">
      <c r="A169" t="s">
        <v>792</v>
      </c>
      <c r="B169" t="s">
        <v>802</v>
      </c>
      <c r="C169" t="s">
        <v>803</v>
      </c>
      <c r="D169" t="s">
        <v>1376</v>
      </c>
      <c r="E169">
        <v>2023</v>
      </c>
      <c r="F169">
        <v>1</v>
      </c>
      <c r="G169">
        <v>3</v>
      </c>
      <c r="H169">
        <v>1</v>
      </c>
      <c r="J169">
        <v>1</v>
      </c>
      <c r="K169" t="s">
        <v>816</v>
      </c>
      <c r="L169">
        <v>2030</v>
      </c>
      <c r="M169">
        <v>1</v>
      </c>
      <c r="N169" t="s">
        <v>817</v>
      </c>
      <c r="O169" t="s">
        <v>805</v>
      </c>
      <c r="Q169" t="s">
        <v>818</v>
      </c>
      <c r="R169" t="s">
        <v>819</v>
      </c>
      <c r="T169">
        <v>1</v>
      </c>
      <c r="U169" t="s">
        <v>331</v>
      </c>
      <c r="W169" t="s">
        <v>820</v>
      </c>
      <c r="X169" t="s">
        <v>811</v>
      </c>
      <c r="Y169">
        <v>15.5</v>
      </c>
      <c r="Z169" t="s">
        <v>799</v>
      </c>
      <c r="AA169" t="s">
        <v>821</v>
      </c>
      <c r="AB169" t="s">
        <v>822</v>
      </c>
    </row>
    <row r="170" spans="1:39">
      <c r="A170" t="s">
        <v>792</v>
      </c>
      <c r="B170" t="s">
        <v>802</v>
      </c>
      <c r="C170" t="s">
        <v>803</v>
      </c>
      <c r="D170" t="s">
        <v>1376</v>
      </c>
      <c r="E170">
        <v>2023</v>
      </c>
      <c r="F170">
        <v>1</v>
      </c>
      <c r="G170">
        <v>3</v>
      </c>
      <c r="H170">
        <v>0</v>
      </c>
      <c r="J170">
        <v>1</v>
      </c>
      <c r="K170" t="s">
        <v>823</v>
      </c>
      <c r="L170">
        <v>2030</v>
      </c>
      <c r="M170">
        <v>1</v>
      </c>
      <c r="O170" t="s">
        <v>805</v>
      </c>
      <c r="R170" t="s">
        <v>824</v>
      </c>
      <c r="T170">
        <v>1</v>
      </c>
      <c r="Y170" t="s">
        <v>825</v>
      </c>
      <c r="Z170" t="s">
        <v>826</v>
      </c>
    </row>
    <row r="171" spans="1:39">
      <c r="A171" t="s">
        <v>792</v>
      </c>
      <c r="B171" t="s">
        <v>802</v>
      </c>
      <c r="C171" t="s">
        <v>803</v>
      </c>
      <c r="D171" t="s">
        <v>1376</v>
      </c>
      <c r="E171">
        <v>2023</v>
      </c>
      <c r="F171">
        <v>1</v>
      </c>
      <c r="G171">
        <v>3</v>
      </c>
      <c r="H171">
        <v>1</v>
      </c>
      <c r="J171">
        <v>1</v>
      </c>
      <c r="K171" t="s">
        <v>827</v>
      </c>
      <c r="L171">
        <v>2040</v>
      </c>
      <c r="M171">
        <v>1</v>
      </c>
      <c r="O171" t="s">
        <v>805</v>
      </c>
      <c r="R171" t="s">
        <v>828</v>
      </c>
      <c r="T171">
        <v>1</v>
      </c>
      <c r="Y171">
        <v>14.2</v>
      </c>
      <c r="Z171" t="s">
        <v>826</v>
      </c>
    </row>
    <row r="172" spans="1:39">
      <c r="A172" t="s">
        <v>792</v>
      </c>
      <c r="B172" t="s">
        <v>802</v>
      </c>
      <c r="C172" t="s">
        <v>803</v>
      </c>
      <c r="D172" t="s">
        <v>1376</v>
      </c>
      <c r="E172">
        <v>2023</v>
      </c>
      <c r="F172">
        <v>1</v>
      </c>
      <c r="G172">
        <v>3</v>
      </c>
      <c r="H172">
        <v>1</v>
      </c>
      <c r="J172">
        <v>1</v>
      </c>
      <c r="K172" t="s">
        <v>836</v>
      </c>
      <c r="L172">
        <v>2030</v>
      </c>
      <c r="M172">
        <v>1</v>
      </c>
      <c r="O172" t="s">
        <v>805</v>
      </c>
      <c r="R172" t="s">
        <v>837</v>
      </c>
      <c r="T172">
        <v>1</v>
      </c>
      <c r="Y172" t="s">
        <v>1380</v>
      </c>
      <c r="Z172" t="s">
        <v>799</v>
      </c>
    </row>
    <row r="173" spans="1:39">
      <c r="A173" t="s">
        <v>792</v>
      </c>
      <c r="B173" t="s">
        <v>802</v>
      </c>
      <c r="C173" t="s">
        <v>803</v>
      </c>
      <c r="D173" t="s">
        <v>1376</v>
      </c>
      <c r="E173">
        <v>2023</v>
      </c>
      <c r="F173">
        <v>1</v>
      </c>
      <c r="G173">
        <v>3</v>
      </c>
      <c r="H173">
        <v>1</v>
      </c>
      <c r="J173">
        <v>1</v>
      </c>
      <c r="K173" t="s">
        <v>813</v>
      </c>
      <c r="L173">
        <v>2030</v>
      </c>
      <c r="M173">
        <v>1</v>
      </c>
      <c r="N173" t="s">
        <v>814</v>
      </c>
      <c r="R173" t="s">
        <v>815</v>
      </c>
      <c r="T173">
        <v>2</v>
      </c>
      <c r="Y173">
        <v>15.2</v>
      </c>
      <c r="Z173" t="s">
        <v>799</v>
      </c>
    </row>
    <row r="174" spans="1:39" ht="409.6">
      <c r="A174" t="s">
        <v>792</v>
      </c>
      <c r="B174" t="s">
        <v>802</v>
      </c>
      <c r="C174" t="s">
        <v>803</v>
      </c>
      <c r="D174" t="s">
        <v>1376</v>
      </c>
      <c r="E174">
        <v>2023</v>
      </c>
      <c r="F174">
        <v>1</v>
      </c>
      <c r="G174">
        <v>3</v>
      </c>
      <c r="H174">
        <v>1</v>
      </c>
      <c r="J174">
        <v>1</v>
      </c>
      <c r="K174" t="s">
        <v>829</v>
      </c>
      <c r="L174">
        <v>2030</v>
      </c>
      <c r="M174">
        <v>1</v>
      </c>
      <c r="O174" t="s">
        <v>805</v>
      </c>
      <c r="R174" s="234" t="s">
        <v>830</v>
      </c>
      <c r="T174">
        <v>2</v>
      </c>
      <c r="Y174">
        <v>14.2</v>
      </c>
      <c r="Z174" t="s">
        <v>826</v>
      </c>
    </row>
    <row r="175" spans="1:39">
      <c r="A175" t="s">
        <v>792</v>
      </c>
      <c r="B175" t="s">
        <v>802</v>
      </c>
      <c r="C175" t="s">
        <v>803</v>
      </c>
      <c r="D175" t="s">
        <v>1376</v>
      </c>
      <c r="E175">
        <v>2023</v>
      </c>
      <c r="F175">
        <v>1</v>
      </c>
      <c r="G175">
        <v>3</v>
      </c>
      <c r="H175">
        <v>1</v>
      </c>
      <c r="J175">
        <v>1</v>
      </c>
      <c r="K175" t="s">
        <v>834</v>
      </c>
      <c r="M175">
        <v>1</v>
      </c>
      <c r="O175" t="s">
        <v>805</v>
      </c>
      <c r="R175" t="s">
        <v>835</v>
      </c>
      <c r="T175">
        <v>2</v>
      </c>
      <c r="Y175" t="s">
        <v>1380</v>
      </c>
      <c r="Z175" t="s">
        <v>799</v>
      </c>
    </row>
    <row r="176" spans="1:39" ht="272">
      <c r="A176" t="s">
        <v>792</v>
      </c>
      <c r="B176" t="s">
        <v>802</v>
      </c>
      <c r="C176" t="s">
        <v>803</v>
      </c>
      <c r="D176" t="s">
        <v>1376</v>
      </c>
      <c r="E176">
        <v>2023</v>
      </c>
      <c r="F176">
        <v>1</v>
      </c>
      <c r="G176">
        <v>3</v>
      </c>
      <c r="H176">
        <v>1</v>
      </c>
      <c r="J176">
        <v>1</v>
      </c>
      <c r="K176" t="s">
        <v>838</v>
      </c>
      <c r="M176">
        <v>1</v>
      </c>
      <c r="O176" t="s">
        <v>805</v>
      </c>
      <c r="R176" s="234" t="s">
        <v>839</v>
      </c>
      <c r="T176">
        <v>2</v>
      </c>
      <c r="U176" t="s">
        <v>840</v>
      </c>
      <c r="V176" t="s">
        <v>841</v>
      </c>
      <c r="Y176" t="s">
        <v>1380</v>
      </c>
      <c r="Z176" t="s">
        <v>799</v>
      </c>
    </row>
    <row r="177" spans="1:39" ht="380">
      <c r="A177" t="s">
        <v>792</v>
      </c>
      <c r="B177" t="s">
        <v>802</v>
      </c>
      <c r="C177" t="s">
        <v>803</v>
      </c>
      <c r="D177" t="s">
        <v>1376</v>
      </c>
      <c r="E177">
        <v>2023</v>
      </c>
      <c r="F177">
        <v>1</v>
      </c>
      <c r="G177">
        <v>3</v>
      </c>
      <c r="H177">
        <v>1</v>
      </c>
      <c r="J177">
        <v>1</v>
      </c>
      <c r="K177" t="s">
        <v>842</v>
      </c>
      <c r="M177">
        <v>1</v>
      </c>
      <c r="O177" t="s">
        <v>805</v>
      </c>
      <c r="R177" s="234" t="s">
        <v>843</v>
      </c>
      <c r="T177">
        <v>2</v>
      </c>
      <c r="Y177" t="s">
        <v>1380</v>
      </c>
      <c r="Z177" t="s">
        <v>799</v>
      </c>
    </row>
    <row r="178" spans="1:39">
      <c r="A178" t="s">
        <v>792</v>
      </c>
      <c r="B178" t="s">
        <v>802</v>
      </c>
      <c r="C178" t="s">
        <v>803</v>
      </c>
      <c r="D178" t="s">
        <v>1376</v>
      </c>
      <c r="E178">
        <v>2023</v>
      </c>
      <c r="F178">
        <v>1</v>
      </c>
      <c r="G178">
        <v>3</v>
      </c>
      <c r="H178">
        <v>1</v>
      </c>
      <c r="J178">
        <v>1</v>
      </c>
      <c r="K178" t="s">
        <v>844</v>
      </c>
      <c r="L178">
        <v>2030</v>
      </c>
      <c r="M178">
        <v>1</v>
      </c>
      <c r="O178" t="s">
        <v>805</v>
      </c>
      <c r="R178" t="s">
        <v>845</v>
      </c>
      <c r="T178">
        <v>2</v>
      </c>
      <c r="Y178">
        <v>14.2</v>
      </c>
      <c r="Z178" t="s">
        <v>826</v>
      </c>
    </row>
    <row r="179" spans="1:39">
      <c r="A179" t="s">
        <v>792</v>
      </c>
      <c r="B179" t="s">
        <v>802</v>
      </c>
      <c r="C179" t="s">
        <v>846</v>
      </c>
      <c r="D179" t="s">
        <v>321</v>
      </c>
      <c r="E179">
        <v>2023</v>
      </c>
      <c r="F179">
        <v>0</v>
      </c>
      <c r="G179">
        <v>1</v>
      </c>
      <c r="H179">
        <v>0</v>
      </c>
      <c r="I179">
        <v>0</v>
      </c>
      <c r="J179">
        <v>1</v>
      </c>
      <c r="K179" t="s">
        <v>847</v>
      </c>
      <c r="M179">
        <v>1</v>
      </c>
      <c r="O179" t="s">
        <v>593</v>
      </c>
      <c r="R179" t="s">
        <v>848</v>
      </c>
      <c r="S179" t="s">
        <v>849</v>
      </c>
      <c r="T179">
        <v>2</v>
      </c>
      <c r="W179" t="s">
        <v>594</v>
      </c>
      <c r="X179" t="s">
        <v>850</v>
      </c>
      <c r="Y179">
        <v>14.4</v>
      </c>
      <c r="Z179" t="s">
        <v>826</v>
      </c>
      <c r="AB179" t="s">
        <v>851</v>
      </c>
      <c r="AM179" t="s">
        <v>309</v>
      </c>
    </row>
    <row r="180" spans="1:39">
      <c r="A180" t="s">
        <v>792</v>
      </c>
      <c r="B180" t="s">
        <v>857</v>
      </c>
      <c r="C180" t="s">
        <v>857</v>
      </c>
      <c r="D180" t="s">
        <v>321</v>
      </c>
      <c r="E180">
        <v>2020</v>
      </c>
      <c r="F180">
        <v>0</v>
      </c>
      <c r="G180">
        <v>1</v>
      </c>
      <c r="H180">
        <v>0</v>
      </c>
      <c r="I180">
        <v>0</v>
      </c>
      <c r="J180">
        <v>1</v>
      </c>
      <c r="K180" t="s">
        <v>864</v>
      </c>
      <c r="L180">
        <v>2030</v>
      </c>
      <c r="M180">
        <v>1</v>
      </c>
      <c r="N180" t="s">
        <v>865</v>
      </c>
      <c r="O180" t="s">
        <v>859</v>
      </c>
      <c r="R180" t="s">
        <v>866</v>
      </c>
      <c r="S180" t="s">
        <v>303</v>
      </c>
      <c r="T180">
        <v>2</v>
      </c>
      <c r="U180" t="s">
        <v>867</v>
      </c>
      <c r="V180" t="s">
        <v>868</v>
      </c>
      <c r="X180" t="s">
        <v>862</v>
      </c>
      <c r="Y180">
        <v>15.5</v>
      </c>
      <c r="Z180" t="s">
        <v>799</v>
      </c>
      <c r="AA180" t="s">
        <v>212</v>
      </c>
    </row>
    <row r="181" spans="1:39">
      <c r="A181" t="s">
        <v>792</v>
      </c>
      <c r="B181" t="s">
        <v>857</v>
      </c>
      <c r="C181" t="s">
        <v>857</v>
      </c>
      <c r="D181" t="s">
        <v>321</v>
      </c>
      <c r="E181">
        <v>2020</v>
      </c>
      <c r="F181">
        <v>0</v>
      </c>
      <c r="G181">
        <v>1</v>
      </c>
      <c r="H181">
        <v>0</v>
      </c>
      <c r="I181">
        <v>0</v>
      </c>
      <c r="J181">
        <v>1</v>
      </c>
      <c r="K181" t="s">
        <v>873</v>
      </c>
      <c r="L181">
        <v>2030</v>
      </c>
      <c r="M181">
        <v>1</v>
      </c>
      <c r="O181" t="s">
        <v>859</v>
      </c>
      <c r="R181" t="s">
        <v>874</v>
      </c>
      <c r="S181" t="s">
        <v>303</v>
      </c>
      <c r="T181">
        <v>2</v>
      </c>
      <c r="U181" t="s">
        <v>875</v>
      </c>
      <c r="V181" t="s">
        <v>876</v>
      </c>
      <c r="X181" t="s">
        <v>862</v>
      </c>
      <c r="Y181">
        <v>2.4</v>
      </c>
      <c r="Z181" t="s">
        <v>877</v>
      </c>
      <c r="AA181" t="s">
        <v>212</v>
      </c>
      <c r="AM181" t="s">
        <v>309</v>
      </c>
    </row>
    <row r="182" spans="1:39">
      <c r="A182" t="s">
        <v>792</v>
      </c>
      <c r="B182" t="s">
        <v>857</v>
      </c>
      <c r="C182" t="s">
        <v>857</v>
      </c>
      <c r="D182" t="s">
        <v>321</v>
      </c>
      <c r="E182">
        <v>2020</v>
      </c>
      <c r="F182">
        <v>0</v>
      </c>
      <c r="G182">
        <v>1</v>
      </c>
      <c r="H182">
        <v>0</v>
      </c>
      <c r="I182">
        <v>0</v>
      </c>
      <c r="J182">
        <v>1</v>
      </c>
      <c r="K182" t="s">
        <v>887</v>
      </c>
      <c r="L182">
        <v>2030</v>
      </c>
      <c r="M182">
        <v>1</v>
      </c>
      <c r="O182" t="s">
        <v>859</v>
      </c>
      <c r="Q182" t="s">
        <v>888</v>
      </c>
      <c r="R182" t="s">
        <v>889</v>
      </c>
      <c r="S182" t="s">
        <v>303</v>
      </c>
      <c r="T182">
        <v>2</v>
      </c>
      <c r="U182" t="s">
        <v>331</v>
      </c>
      <c r="X182" t="s">
        <v>862</v>
      </c>
      <c r="Y182">
        <v>15.1</v>
      </c>
      <c r="Z182" t="s">
        <v>799</v>
      </c>
      <c r="AA182" t="s">
        <v>212</v>
      </c>
    </row>
    <row r="183" spans="1:39" ht="96">
      <c r="A183" t="s">
        <v>792</v>
      </c>
      <c r="B183" t="s">
        <v>802</v>
      </c>
      <c r="C183" t="s">
        <v>803</v>
      </c>
      <c r="D183" t="s">
        <v>1376</v>
      </c>
      <c r="E183">
        <v>2023</v>
      </c>
      <c r="F183">
        <v>1</v>
      </c>
      <c r="G183">
        <v>3</v>
      </c>
      <c r="H183">
        <v>1</v>
      </c>
      <c r="J183">
        <v>1</v>
      </c>
      <c r="K183" t="s">
        <v>804</v>
      </c>
      <c r="L183">
        <v>2030</v>
      </c>
      <c r="M183">
        <v>1</v>
      </c>
      <c r="O183" t="s">
        <v>805</v>
      </c>
      <c r="R183" s="234" t="s">
        <v>806</v>
      </c>
      <c r="S183" t="s">
        <v>807</v>
      </c>
      <c r="T183">
        <v>3</v>
      </c>
      <c r="U183" t="s">
        <v>808</v>
      </c>
      <c r="V183" t="s">
        <v>809</v>
      </c>
      <c r="W183" t="s">
        <v>810</v>
      </c>
      <c r="X183" t="s">
        <v>811</v>
      </c>
      <c r="Y183">
        <v>15.2</v>
      </c>
      <c r="Z183" t="s">
        <v>799</v>
      </c>
      <c r="AA183" t="s">
        <v>203</v>
      </c>
      <c r="AB183" t="s">
        <v>812</v>
      </c>
    </row>
    <row r="184" spans="1:39" ht="365">
      <c r="A184" t="s">
        <v>792</v>
      </c>
      <c r="B184" t="s">
        <v>857</v>
      </c>
      <c r="C184" t="s">
        <v>857</v>
      </c>
      <c r="D184" t="s">
        <v>321</v>
      </c>
      <c r="E184">
        <v>2020</v>
      </c>
      <c r="F184">
        <v>0</v>
      </c>
      <c r="G184">
        <v>1</v>
      </c>
      <c r="H184">
        <v>0</v>
      </c>
      <c r="I184">
        <v>0</v>
      </c>
      <c r="J184">
        <v>1</v>
      </c>
      <c r="K184" t="s">
        <v>880</v>
      </c>
      <c r="L184">
        <v>2030</v>
      </c>
      <c r="M184">
        <v>1</v>
      </c>
      <c r="N184" s="234" t="s">
        <v>881</v>
      </c>
      <c r="O184" t="s">
        <v>859</v>
      </c>
      <c r="R184" t="s">
        <v>882</v>
      </c>
      <c r="S184" t="s">
        <v>440</v>
      </c>
      <c r="T184">
        <v>3</v>
      </c>
      <c r="U184" t="s">
        <v>331</v>
      </c>
      <c r="X184" t="s">
        <v>862</v>
      </c>
      <c r="Y184">
        <v>12.4</v>
      </c>
      <c r="Z184" t="s">
        <v>614</v>
      </c>
      <c r="AA184" t="s">
        <v>212</v>
      </c>
    </row>
    <row r="185" spans="1:39">
      <c r="A185" t="s">
        <v>792</v>
      </c>
      <c r="B185" t="s">
        <v>857</v>
      </c>
      <c r="C185" t="s">
        <v>857</v>
      </c>
      <c r="D185" t="s">
        <v>321</v>
      </c>
      <c r="E185">
        <v>2020</v>
      </c>
      <c r="F185">
        <v>0</v>
      </c>
      <c r="G185">
        <v>1</v>
      </c>
      <c r="H185">
        <v>0</v>
      </c>
      <c r="I185">
        <v>0</v>
      </c>
      <c r="J185">
        <v>1</v>
      </c>
      <c r="K185" t="s">
        <v>883</v>
      </c>
      <c r="L185">
        <v>2030</v>
      </c>
      <c r="M185">
        <v>1</v>
      </c>
      <c r="O185" t="s">
        <v>859</v>
      </c>
      <c r="Q185" t="s">
        <v>884</v>
      </c>
      <c r="R185" t="s">
        <v>885</v>
      </c>
      <c r="S185" t="s">
        <v>886</v>
      </c>
      <c r="T185">
        <v>3</v>
      </c>
      <c r="U185" t="s">
        <v>331</v>
      </c>
      <c r="X185" t="s">
        <v>862</v>
      </c>
      <c r="Y185">
        <v>15.1</v>
      </c>
      <c r="Z185" t="s">
        <v>799</v>
      </c>
      <c r="AA185" t="s">
        <v>212</v>
      </c>
    </row>
    <row r="186" spans="1:39">
      <c r="A186" t="s">
        <v>792</v>
      </c>
      <c r="B186" t="s">
        <v>802</v>
      </c>
      <c r="C186" t="s">
        <v>803</v>
      </c>
      <c r="D186" t="s">
        <v>1376</v>
      </c>
      <c r="E186">
        <v>2022</v>
      </c>
      <c r="F186">
        <v>1</v>
      </c>
      <c r="G186">
        <v>3</v>
      </c>
      <c r="H186">
        <v>1</v>
      </c>
      <c r="J186">
        <v>1</v>
      </c>
      <c r="K186" t="s">
        <v>804</v>
      </c>
      <c r="L186">
        <v>2030</v>
      </c>
      <c r="M186">
        <v>1</v>
      </c>
      <c r="W186" t="s">
        <v>862</v>
      </c>
      <c r="X186" t="s">
        <v>811</v>
      </c>
      <c r="Y186">
        <v>15.5</v>
      </c>
      <c r="Z186" t="s">
        <v>799</v>
      </c>
      <c r="AB186" t="s">
        <v>916</v>
      </c>
    </row>
    <row r="187" spans="1:39">
      <c r="A187" t="s">
        <v>792</v>
      </c>
      <c r="B187" t="s">
        <v>802</v>
      </c>
      <c r="C187" t="s">
        <v>803</v>
      </c>
      <c r="D187" t="s">
        <v>1376</v>
      </c>
      <c r="E187">
        <v>2023</v>
      </c>
      <c r="F187">
        <v>1</v>
      </c>
      <c r="G187">
        <v>3</v>
      </c>
      <c r="H187">
        <v>1</v>
      </c>
      <c r="J187">
        <v>1</v>
      </c>
      <c r="K187" t="s">
        <v>921</v>
      </c>
      <c r="L187">
        <v>2030</v>
      </c>
      <c r="M187">
        <v>1</v>
      </c>
      <c r="N187" t="s">
        <v>814</v>
      </c>
      <c r="Y187">
        <v>15.2</v>
      </c>
      <c r="Z187" t="s">
        <v>799</v>
      </c>
    </row>
    <row r="188" spans="1:39">
      <c r="A188" t="s">
        <v>792</v>
      </c>
      <c r="B188" t="s">
        <v>802</v>
      </c>
      <c r="C188" t="s">
        <v>803</v>
      </c>
      <c r="D188" t="s">
        <v>1376</v>
      </c>
      <c r="E188">
        <v>2023</v>
      </c>
      <c r="F188">
        <v>1</v>
      </c>
      <c r="G188">
        <v>3</v>
      </c>
      <c r="H188">
        <v>1</v>
      </c>
      <c r="J188">
        <v>1</v>
      </c>
      <c r="K188" t="s">
        <v>922</v>
      </c>
      <c r="L188">
        <v>2030</v>
      </c>
      <c r="M188">
        <v>1</v>
      </c>
      <c r="O188" t="s">
        <v>805</v>
      </c>
      <c r="W188" t="s">
        <v>923</v>
      </c>
      <c r="X188" t="s">
        <v>811</v>
      </c>
      <c r="Y188">
        <v>15.3</v>
      </c>
      <c r="Z188" t="s">
        <v>799</v>
      </c>
    </row>
    <row r="189" spans="1:39">
      <c r="A189" t="s">
        <v>792</v>
      </c>
      <c r="B189" t="s">
        <v>802</v>
      </c>
      <c r="C189" t="s">
        <v>803</v>
      </c>
      <c r="D189" t="s">
        <v>1376</v>
      </c>
      <c r="E189">
        <v>2023</v>
      </c>
      <c r="F189">
        <v>1</v>
      </c>
      <c r="G189">
        <v>3</v>
      </c>
      <c r="H189">
        <v>1</v>
      </c>
      <c r="J189">
        <v>1</v>
      </c>
      <c r="K189" t="s">
        <v>924</v>
      </c>
      <c r="L189">
        <v>2030</v>
      </c>
      <c r="M189">
        <v>1</v>
      </c>
      <c r="N189" t="s">
        <v>925</v>
      </c>
      <c r="O189" t="s">
        <v>805</v>
      </c>
      <c r="R189" t="s">
        <v>926</v>
      </c>
      <c r="W189" t="s">
        <v>820</v>
      </c>
      <c r="X189" t="s">
        <v>811</v>
      </c>
      <c r="Y189">
        <v>2.4</v>
      </c>
      <c r="Z189" t="s">
        <v>877</v>
      </c>
    </row>
    <row r="190" spans="1:39">
      <c r="A190" t="s">
        <v>792</v>
      </c>
      <c r="B190" t="s">
        <v>802</v>
      </c>
      <c r="C190" t="s">
        <v>803</v>
      </c>
      <c r="D190" t="s">
        <v>1376</v>
      </c>
      <c r="E190">
        <v>2023</v>
      </c>
      <c r="F190">
        <v>1</v>
      </c>
      <c r="G190">
        <v>3</v>
      </c>
      <c r="H190">
        <v>1</v>
      </c>
      <c r="J190">
        <v>1</v>
      </c>
      <c r="K190" t="s">
        <v>930</v>
      </c>
      <c r="L190">
        <v>2030</v>
      </c>
      <c r="M190">
        <v>1</v>
      </c>
      <c r="O190" t="s">
        <v>805</v>
      </c>
      <c r="Y190">
        <v>15.5</v>
      </c>
      <c r="Z190" t="s">
        <v>799</v>
      </c>
    </row>
    <row r="191" spans="1:39">
      <c r="A191" t="s">
        <v>792</v>
      </c>
      <c r="B191" t="s">
        <v>802</v>
      </c>
      <c r="C191" t="s">
        <v>803</v>
      </c>
      <c r="D191" t="s">
        <v>1376</v>
      </c>
      <c r="E191">
        <v>2023</v>
      </c>
      <c r="F191">
        <v>1</v>
      </c>
      <c r="G191">
        <v>3</v>
      </c>
      <c r="H191">
        <v>1</v>
      </c>
      <c r="J191">
        <v>1</v>
      </c>
      <c r="K191" t="s">
        <v>931</v>
      </c>
      <c r="L191">
        <v>2030</v>
      </c>
      <c r="M191">
        <v>1</v>
      </c>
      <c r="N191" t="s">
        <v>932</v>
      </c>
      <c r="O191" t="s">
        <v>457</v>
      </c>
      <c r="Y191">
        <v>15.2</v>
      </c>
      <c r="Z191" t="s">
        <v>799</v>
      </c>
    </row>
    <row r="192" spans="1:39">
      <c r="A192" t="s">
        <v>792</v>
      </c>
      <c r="B192" t="s">
        <v>802</v>
      </c>
      <c r="C192" t="s">
        <v>803</v>
      </c>
      <c r="D192" t="s">
        <v>1376</v>
      </c>
      <c r="E192">
        <v>2023</v>
      </c>
      <c r="F192">
        <v>1</v>
      </c>
      <c r="G192">
        <v>3</v>
      </c>
      <c r="H192">
        <v>1</v>
      </c>
      <c r="J192">
        <v>1</v>
      </c>
      <c r="K192" t="s">
        <v>933</v>
      </c>
      <c r="L192">
        <v>2030</v>
      </c>
      <c r="M192">
        <v>1</v>
      </c>
      <c r="N192" t="s">
        <v>932</v>
      </c>
      <c r="O192" t="s">
        <v>457</v>
      </c>
      <c r="Y192">
        <v>11.4</v>
      </c>
      <c r="Z192" t="s">
        <v>607</v>
      </c>
    </row>
    <row r="193" spans="1:41" ht="409.6">
      <c r="A193" t="s">
        <v>792</v>
      </c>
      <c r="B193" t="s">
        <v>802</v>
      </c>
      <c r="C193" t="s">
        <v>803</v>
      </c>
      <c r="D193" t="s">
        <v>1376</v>
      </c>
      <c r="E193">
        <v>2023</v>
      </c>
      <c r="F193">
        <v>1</v>
      </c>
      <c r="G193">
        <v>3</v>
      </c>
      <c r="H193">
        <v>1</v>
      </c>
      <c r="J193">
        <v>1</v>
      </c>
      <c r="K193" s="234" t="s">
        <v>934</v>
      </c>
      <c r="L193">
        <v>2030</v>
      </c>
      <c r="M193">
        <v>1</v>
      </c>
      <c r="N193" t="s">
        <v>932</v>
      </c>
      <c r="O193" t="s">
        <v>457</v>
      </c>
      <c r="Y193">
        <v>11.4</v>
      </c>
      <c r="Z193" t="s">
        <v>607</v>
      </c>
    </row>
    <row r="194" spans="1:41">
      <c r="A194" t="s">
        <v>792</v>
      </c>
      <c r="B194" t="s">
        <v>802</v>
      </c>
      <c r="C194" t="s">
        <v>803</v>
      </c>
      <c r="D194" t="s">
        <v>1376</v>
      </c>
      <c r="E194">
        <v>2023</v>
      </c>
      <c r="F194">
        <v>1</v>
      </c>
      <c r="G194">
        <v>3</v>
      </c>
      <c r="H194">
        <v>1</v>
      </c>
      <c r="J194">
        <v>1</v>
      </c>
      <c r="K194" t="s">
        <v>937</v>
      </c>
      <c r="M194">
        <v>1</v>
      </c>
      <c r="O194" t="s">
        <v>805</v>
      </c>
      <c r="R194" t="s">
        <v>938</v>
      </c>
      <c r="Y194" t="s">
        <v>1380</v>
      </c>
      <c r="Z194" t="s">
        <v>799</v>
      </c>
    </row>
    <row r="195" spans="1:41">
      <c r="A195" t="s">
        <v>792</v>
      </c>
      <c r="B195" t="s">
        <v>802</v>
      </c>
      <c r="C195" t="s">
        <v>803</v>
      </c>
      <c r="D195" t="s">
        <v>1376</v>
      </c>
      <c r="E195">
        <v>2023</v>
      </c>
      <c r="F195">
        <v>1</v>
      </c>
      <c r="G195">
        <v>3</v>
      </c>
      <c r="H195">
        <v>1</v>
      </c>
      <c r="J195">
        <v>1</v>
      </c>
      <c r="K195" t="s">
        <v>941</v>
      </c>
      <c r="L195">
        <v>2030</v>
      </c>
      <c r="M195">
        <v>1</v>
      </c>
      <c r="O195" t="s">
        <v>805</v>
      </c>
      <c r="R195" t="s">
        <v>942</v>
      </c>
      <c r="Y195">
        <v>15.1</v>
      </c>
      <c r="Z195" t="s">
        <v>799</v>
      </c>
    </row>
    <row r="196" spans="1:41">
      <c r="A196" t="s">
        <v>792</v>
      </c>
      <c r="B196" t="s">
        <v>802</v>
      </c>
      <c r="C196" t="s">
        <v>852</v>
      </c>
      <c r="D196" t="s">
        <v>298</v>
      </c>
      <c r="E196">
        <v>2019</v>
      </c>
      <c r="F196">
        <v>1</v>
      </c>
      <c r="G196">
        <v>3</v>
      </c>
      <c r="H196">
        <v>1</v>
      </c>
      <c r="J196">
        <v>1</v>
      </c>
      <c r="K196" t="s">
        <v>944</v>
      </c>
      <c r="M196">
        <v>1</v>
      </c>
      <c r="O196" t="s">
        <v>593</v>
      </c>
      <c r="W196" t="s">
        <v>862</v>
      </c>
      <c r="X196" t="s">
        <v>850</v>
      </c>
      <c r="Y196">
        <v>14.4</v>
      </c>
      <c r="Z196" t="s">
        <v>826</v>
      </c>
      <c r="AM196" t="s">
        <v>309</v>
      </c>
    </row>
    <row r="197" spans="1:41" ht="224">
      <c r="A197" t="s">
        <v>1410</v>
      </c>
      <c r="B197" t="s">
        <v>793</v>
      </c>
      <c r="C197" s="234" t="s">
        <v>1437</v>
      </c>
      <c r="D197" t="s">
        <v>321</v>
      </c>
      <c r="E197">
        <v>2021</v>
      </c>
      <c r="F197">
        <v>0</v>
      </c>
      <c r="G197">
        <v>1</v>
      </c>
      <c r="H197">
        <v>0</v>
      </c>
      <c r="I197">
        <v>0</v>
      </c>
      <c r="J197">
        <v>1</v>
      </c>
      <c r="K197" t="s">
        <v>1458</v>
      </c>
      <c r="L197">
        <v>2030</v>
      </c>
      <c r="M197">
        <v>1</v>
      </c>
      <c r="N197" t="s">
        <v>1725</v>
      </c>
      <c r="O197" t="s">
        <v>602</v>
      </c>
      <c r="P197" t="s">
        <v>1726</v>
      </c>
      <c r="Q197" t="s">
        <v>1459</v>
      </c>
      <c r="R197" s="234" t="s">
        <v>1727</v>
      </c>
      <c r="S197" t="s">
        <v>303</v>
      </c>
      <c r="T197">
        <v>1</v>
      </c>
      <c r="W197" t="s">
        <v>606</v>
      </c>
      <c r="Y197">
        <v>11.6</v>
      </c>
      <c r="Z197" t="s">
        <v>607</v>
      </c>
      <c r="AA197" t="s">
        <v>197</v>
      </c>
      <c r="AB197" t="s">
        <v>1460</v>
      </c>
      <c r="AL197" t="s">
        <v>309</v>
      </c>
    </row>
    <row r="198" spans="1:41">
      <c r="A198" t="s">
        <v>1410</v>
      </c>
      <c r="B198" t="s">
        <v>793</v>
      </c>
      <c r="C198" t="s">
        <v>389</v>
      </c>
      <c r="D198" t="s">
        <v>101</v>
      </c>
      <c r="E198">
        <v>2022</v>
      </c>
      <c r="F198">
        <v>0</v>
      </c>
      <c r="G198">
        <v>2</v>
      </c>
      <c r="H198">
        <v>0</v>
      </c>
      <c r="I198">
        <v>1</v>
      </c>
      <c r="J198">
        <v>1</v>
      </c>
      <c r="K198" t="s">
        <v>1728</v>
      </c>
      <c r="L198">
        <v>2040</v>
      </c>
      <c r="M198">
        <v>1</v>
      </c>
      <c r="N198" t="s">
        <v>391</v>
      </c>
      <c r="O198" t="s">
        <v>392</v>
      </c>
      <c r="R198" t="s">
        <v>1729</v>
      </c>
      <c r="T198">
        <v>2</v>
      </c>
      <c r="W198" t="s">
        <v>606</v>
      </c>
      <c r="X198" t="s">
        <v>1413</v>
      </c>
      <c r="Y198">
        <v>6.3</v>
      </c>
      <c r="Z198" t="s">
        <v>833</v>
      </c>
      <c r="AO198" t="s">
        <v>309</v>
      </c>
    </row>
    <row r="199" spans="1:41">
      <c r="A199" t="s">
        <v>1410</v>
      </c>
      <c r="B199" t="s">
        <v>793</v>
      </c>
      <c r="C199" t="s">
        <v>794</v>
      </c>
      <c r="D199" t="s">
        <v>321</v>
      </c>
      <c r="E199">
        <v>2021</v>
      </c>
      <c r="F199">
        <v>0</v>
      </c>
      <c r="G199">
        <v>1</v>
      </c>
      <c r="H199">
        <v>0</v>
      </c>
      <c r="I199">
        <v>0</v>
      </c>
      <c r="J199">
        <v>1</v>
      </c>
      <c r="K199" t="s">
        <v>1463</v>
      </c>
      <c r="L199">
        <v>2050</v>
      </c>
      <c r="M199">
        <v>1</v>
      </c>
      <c r="O199" t="s">
        <v>796</v>
      </c>
      <c r="P199" t="s">
        <v>1730</v>
      </c>
      <c r="Q199" t="s">
        <v>1464</v>
      </c>
      <c r="R199" t="s">
        <v>1731</v>
      </c>
      <c r="S199" t="s">
        <v>519</v>
      </c>
      <c r="T199">
        <v>2</v>
      </c>
      <c r="W199" t="s">
        <v>923</v>
      </c>
      <c r="X199" t="s">
        <v>1253</v>
      </c>
      <c r="Y199">
        <v>15.3</v>
      </c>
      <c r="Z199" t="s">
        <v>799</v>
      </c>
      <c r="AA199" t="s">
        <v>190</v>
      </c>
      <c r="AB199" t="s">
        <v>1465</v>
      </c>
      <c r="AL199" t="s">
        <v>309</v>
      </c>
    </row>
    <row r="200" spans="1:41" ht="144">
      <c r="A200" t="s">
        <v>1410</v>
      </c>
      <c r="B200" t="s">
        <v>793</v>
      </c>
      <c r="C200" t="s">
        <v>794</v>
      </c>
      <c r="D200" t="s">
        <v>321</v>
      </c>
      <c r="E200">
        <v>2021</v>
      </c>
      <c r="F200">
        <v>0</v>
      </c>
      <c r="G200">
        <v>1</v>
      </c>
      <c r="H200">
        <v>0</v>
      </c>
      <c r="I200">
        <v>0</v>
      </c>
      <c r="J200">
        <v>1</v>
      </c>
      <c r="K200" t="s">
        <v>1732</v>
      </c>
      <c r="L200">
        <v>2030</v>
      </c>
      <c r="M200">
        <v>1</v>
      </c>
      <c r="N200" t="s">
        <v>1733</v>
      </c>
      <c r="O200" t="s">
        <v>1734</v>
      </c>
      <c r="P200" t="s">
        <v>1735</v>
      </c>
      <c r="Q200" t="s">
        <v>1262</v>
      </c>
      <c r="R200" s="234" t="s">
        <v>1736</v>
      </c>
      <c r="S200" t="s">
        <v>519</v>
      </c>
      <c r="T200">
        <v>2</v>
      </c>
      <c r="Y200">
        <v>12.4</v>
      </c>
      <c r="Z200" t="s">
        <v>614</v>
      </c>
    </row>
    <row r="201" spans="1:41" ht="80">
      <c r="A201" t="s">
        <v>1410</v>
      </c>
      <c r="B201" t="s">
        <v>793</v>
      </c>
      <c r="C201" s="234" t="s">
        <v>1437</v>
      </c>
      <c r="D201" t="s">
        <v>321</v>
      </c>
      <c r="E201">
        <v>2021</v>
      </c>
      <c r="F201">
        <v>0</v>
      </c>
      <c r="G201">
        <v>1</v>
      </c>
      <c r="H201">
        <v>0</v>
      </c>
      <c r="I201">
        <v>0</v>
      </c>
      <c r="J201">
        <v>1</v>
      </c>
      <c r="K201" t="s">
        <v>1454</v>
      </c>
      <c r="L201">
        <v>2030</v>
      </c>
      <c r="M201">
        <v>1</v>
      </c>
      <c r="N201" t="s">
        <v>1737</v>
      </c>
      <c r="O201" t="s">
        <v>1734</v>
      </c>
      <c r="P201" t="s">
        <v>1738</v>
      </c>
      <c r="Q201" t="s">
        <v>1455</v>
      </c>
      <c r="R201" t="s">
        <v>1739</v>
      </c>
      <c r="S201" t="s">
        <v>519</v>
      </c>
      <c r="T201">
        <v>2</v>
      </c>
      <c r="W201" t="s">
        <v>1253</v>
      </c>
      <c r="Y201">
        <v>11.1</v>
      </c>
      <c r="Z201" t="s">
        <v>607</v>
      </c>
      <c r="AA201" t="s">
        <v>195</v>
      </c>
      <c r="AB201" t="s">
        <v>1456</v>
      </c>
      <c r="AL201" t="s">
        <v>309</v>
      </c>
    </row>
    <row r="202" spans="1:41" ht="80">
      <c r="A202" t="s">
        <v>1410</v>
      </c>
      <c r="B202" t="s">
        <v>793</v>
      </c>
      <c r="C202" s="234" t="s">
        <v>1437</v>
      </c>
      <c r="D202" t="s">
        <v>321</v>
      </c>
      <c r="E202">
        <v>2021</v>
      </c>
      <c r="F202">
        <v>0</v>
      </c>
      <c r="G202">
        <v>1</v>
      </c>
      <c r="H202">
        <v>0</v>
      </c>
      <c r="I202">
        <v>0</v>
      </c>
      <c r="J202">
        <v>1</v>
      </c>
      <c r="K202" t="s">
        <v>1451</v>
      </c>
      <c r="L202">
        <v>2030</v>
      </c>
      <c r="M202">
        <v>1</v>
      </c>
      <c r="O202" t="s">
        <v>1734</v>
      </c>
      <c r="P202" t="s">
        <v>1740</v>
      </c>
      <c r="Q202" t="s">
        <v>1452</v>
      </c>
      <c r="R202" t="s">
        <v>1741</v>
      </c>
      <c r="S202" t="s">
        <v>519</v>
      </c>
      <c r="T202">
        <v>2</v>
      </c>
      <c r="W202" t="s">
        <v>1253</v>
      </c>
      <c r="X202" t="s">
        <v>862</v>
      </c>
      <c r="Y202">
        <v>12.4</v>
      </c>
      <c r="Z202" t="s">
        <v>614</v>
      </c>
      <c r="AL202" t="s">
        <v>309</v>
      </c>
    </row>
    <row r="203" spans="1:41" ht="80">
      <c r="A203" t="s">
        <v>1410</v>
      </c>
      <c r="B203" t="s">
        <v>793</v>
      </c>
      <c r="C203" s="234" t="s">
        <v>1437</v>
      </c>
      <c r="D203" t="s">
        <v>321</v>
      </c>
      <c r="E203">
        <v>2021</v>
      </c>
      <c r="F203">
        <v>0</v>
      </c>
      <c r="G203">
        <v>1</v>
      </c>
      <c r="H203">
        <v>0</v>
      </c>
      <c r="I203">
        <v>0</v>
      </c>
      <c r="J203">
        <v>1</v>
      </c>
      <c r="K203" t="s">
        <v>1446</v>
      </c>
      <c r="L203">
        <v>2030</v>
      </c>
      <c r="M203">
        <v>1</v>
      </c>
      <c r="O203" t="s">
        <v>1734</v>
      </c>
      <c r="P203" t="s">
        <v>1742</v>
      </c>
      <c r="Q203" t="s">
        <v>1449</v>
      </c>
      <c r="R203" t="s">
        <v>1743</v>
      </c>
      <c r="S203" t="s">
        <v>519</v>
      </c>
      <c r="T203">
        <v>2</v>
      </c>
      <c r="W203" t="s">
        <v>1253</v>
      </c>
      <c r="Y203">
        <v>12.4</v>
      </c>
      <c r="Z203" t="s">
        <v>614</v>
      </c>
    </row>
    <row r="204" spans="1:41" ht="176">
      <c r="A204" t="s">
        <v>1410</v>
      </c>
      <c r="B204" t="s">
        <v>793</v>
      </c>
      <c r="C204" s="234" t="s">
        <v>1437</v>
      </c>
      <c r="D204" t="s">
        <v>321</v>
      </c>
      <c r="E204">
        <v>2021</v>
      </c>
      <c r="F204">
        <v>0</v>
      </c>
      <c r="G204">
        <v>1</v>
      </c>
      <c r="H204">
        <v>0</v>
      </c>
      <c r="I204">
        <v>0</v>
      </c>
      <c r="J204">
        <v>1</v>
      </c>
      <c r="K204" t="s">
        <v>1446</v>
      </c>
      <c r="L204">
        <v>2030</v>
      </c>
      <c r="M204">
        <v>1</v>
      </c>
      <c r="O204" t="s">
        <v>1734</v>
      </c>
      <c r="P204" t="s">
        <v>1744</v>
      </c>
      <c r="Q204" t="s">
        <v>1447</v>
      </c>
      <c r="R204" s="234" t="s">
        <v>1745</v>
      </c>
      <c r="S204" t="s">
        <v>519</v>
      </c>
      <c r="T204">
        <v>2</v>
      </c>
      <c r="W204" t="s">
        <v>1253</v>
      </c>
      <c r="X204" t="s">
        <v>1413</v>
      </c>
      <c r="Y204">
        <v>6.3</v>
      </c>
      <c r="Z204" t="s">
        <v>833</v>
      </c>
      <c r="AL204" t="s">
        <v>309</v>
      </c>
    </row>
    <row r="205" spans="1:41" ht="80">
      <c r="A205" t="s">
        <v>1410</v>
      </c>
      <c r="B205" t="s">
        <v>793</v>
      </c>
      <c r="C205" s="234" t="s">
        <v>1437</v>
      </c>
      <c r="D205" t="s">
        <v>321</v>
      </c>
      <c r="E205">
        <v>2021</v>
      </c>
      <c r="F205">
        <v>0</v>
      </c>
      <c r="G205">
        <v>1</v>
      </c>
      <c r="H205">
        <v>0</v>
      </c>
      <c r="I205">
        <v>0</v>
      </c>
      <c r="J205">
        <v>1</v>
      </c>
      <c r="K205" t="s">
        <v>1746</v>
      </c>
      <c r="L205">
        <v>2030</v>
      </c>
      <c r="M205">
        <v>1</v>
      </c>
      <c r="N205" t="s">
        <v>1733</v>
      </c>
      <c r="O205" t="s">
        <v>1734</v>
      </c>
      <c r="P205" t="s">
        <v>1747</v>
      </c>
      <c r="Q205" t="s">
        <v>1262</v>
      </c>
      <c r="R205" t="s">
        <v>1748</v>
      </c>
      <c r="S205" t="s">
        <v>519</v>
      </c>
      <c r="T205">
        <v>2</v>
      </c>
      <c r="Y205">
        <v>12.4</v>
      </c>
      <c r="Z205" t="s">
        <v>614</v>
      </c>
    </row>
    <row r="206" spans="1:41">
      <c r="A206" t="s">
        <v>1410</v>
      </c>
      <c r="B206" t="s">
        <v>599</v>
      </c>
      <c r="C206" t="s">
        <v>389</v>
      </c>
      <c r="D206" t="s">
        <v>101</v>
      </c>
      <c r="E206">
        <v>2022</v>
      </c>
      <c r="F206">
        <v>0</v>
      </c>
      <c r="G206">
        <v>2</v>
      </c>
      <c r="H206">
        <v>0</v>
      </c>
      <c r="I206">
        <v>1</v>
      </c>
      <c r="J206">
        <v>1</v>
      </c>
      <c r="K206" t="s">
        <v>1415</v>
      </c>
      <c r="L206">
        <v>2040</v>
      </c>
      <c r="M206">
        <v>1</v>
      </c>
      <c r="N206" t="s">
        <v>391</v>
      </c>
      <c r="O206" t="s">
        <v>392</v>
      </c>
      <c r="R206" t="s">
        <v>1749</v>
      </c>
      <c r="T206">
        <v>2</v>
      </c>
      <c r="U206" t="s">
        <v>331</v>
      </c>
      <c r="W206" t="s">
        <v>1413</v>
      </c>
      <c r="Y206">
        <v>6.3</v>
      </c>
      <c r="Z206" t="s">
        <v>833</v>
      </c>
    </row>
    <row r="207" spans="1:41">
      <c r="A207" t="s">
        <v>1410</v>
      </c>
      <c r="B207" t="s">
        <v>793</v>
      </c>
      <c r="C207" t="s">
        <v>389</v>
      </c>
      <c r="D207" t="s">
        <v>101</v>
      </c>
      <c r="E207">
        <v>2022</v>
      </c>
      <c r="F207">
        <v>0</v>
      </c>
      <c r="G207">
        <v>2</v>
      </c>
      <c r="H207">
        <v>0</v>
      </c>
      <c r="I207">
        <v>1</v>
      </c>
      <c r="J207">
        <v>1</v>
      </c>
      <c r="K207" t="s">
        <v>1750</v>
      </c>
      <c r="L207">
        <v>2040</v>
      </c>
      <c r="M207">
        <v>1</v>
      </c>
      <c r="N207" t="s">
        <v>391</v>
      </c>
      <c r="O207" t="s">
        <v>392</v>
      </c>
      <c r="R207" t="s">
        <v>1751</v>
      </c>
      <c r="T207">
        <v>3</v>
      </c>
      <c r="W207" t="s">
        <v>606</v>
      </c>
      <c r="X207" t="s">
        <v>1413</v>
      </c>
      <c r="Y207">
        <v>6.3</v>
      </c>
      <c r="Z207" t="s">
        <v>833</v>
      </c>
      <c r="AO207" t="s">
        <v>309</v>
      </c>
    </row>
    <row r="208" spans="1:41" ht="80">
      <c r="A208" t="s">
        <v>1410</v>
      </c>
      <c r="B208" t="s">
        <v>793</v>
      </c>
      <c r="C208" s="234" t="s">
        <v>1437</v>
      </c>
      <c r="D208" t="s">
        <v>321</v>
      </c>
      <c r="E208">
        <v>2021</v>
      </c>
      <c r="F208">
        <v>0</v>
      </c>
      <c r="G208">
        <v>1</v>
      </c>
      <c r="H208">
        <v>0</v>
      </c>
      <c r="I208">
        <v>0</v>
      </c>
      <c r="J208">
        <v>1</v>
      </c>
      <c r="K208" t="s">
        <v>1442</v>
      </c>
      <c r="L208">
        <v>2030</v>
      </c>
      <c r="M208">
        <v>1</v>
      </c>
      <c r="O208" t="s">
        <v>1734</v>
      </c>
      <c r="P208" t="s">
        <v>1752</v>
      </c>
      <c r="Q208" t="s">
        <v>1443</v>
      </c>
      <c r="R208" t="s">
        <v>1753</v>
      </c>
      <c r="S208" t="s">
        <v>363</v>
      </c>
      <c r="T208">
        <v>3</v>
      </c>
      <c r="U208" t="s">
        <v>1754</v>
      </c>
      <c r="V208" t="s">
        <v>1755</v>
      </c>
      <c r="W208" t="s">
        <v>1253</v>
      </c>
      <c r="Y208">
        <v>3.9</v>
      </c>
      <c r="Z208" t="s">
        <v>1648</v>
      </c>
      <c r="AA208" t="s">
        <v>190</v>
      </c>
      <c r="AB208" t="s">
        <v>1444</v>
      </c>
      <c r="AL208" t="s">
        <v>309</v>
      </c>
    </row>
    <row r="209" spans="1:41" ht="80">
      <c r="A209" t="s">
        <v>1410</v>
      </c>
      <c r="B209" t="s">
        <v>793</v>
      </c>
      <c r="C209" s="234" t="s">
        <v>1437</v>
      </c>
      <c r="D209" t="s">
        <v>321</v>
      </c>
      <c r="E209">
        <v>2021</v>
      </c>
      <c r="F209">
        <v>0</v>
      </c>
      <c r="G209">
        <v>1</v>
      </c>
      <c r="H209">
        <v>0</v>
      </c>
      <c r="I209">
        <v>0</v>
      </c>
      <c r="J209">
        <v>1</v>
      </c>
      <c r="K209" t="s">
        <v>1756</v>
      </c>
      <c r="L209">
        <v>2030</v>
      </c>
      <c r="M209">
        <v>1</v>
      </c>
      <c r="N209" t="s">
        <v>1757</v>
      </c>
      <c r="O209" t="s">
        <v>1734</v>
      </c>
      <c r="P209" t="s">
        <v>1758</v>
      </c>
      <c r="Q209" t="s">
        <v>1262</v>
      </c>
      <c r="R209" t="s">
        <v>1759</v>
      </c>
      <c r="S209" t="s">
        <v>440</v>
      </c>
      <c r="T209">
        <v>3</v>
      </c>
      <c r="W209" t="s">
        <v>923</v>
      </c>
      <c r="X209" t="s">
        <v>1253</v>
      </c>
      <c r="Y209">
        <v>12.4</v>
      </c>
      <c r="Z209" t="s">
        <v>614</v>
      </c>
      <c r="AL209" t="s">
        <v>309</v>
      </c>
    </row>
    <row r="210" spans="1:41" ht="192">
      <c r="A210" t="s">
        <v>1410</v>
      </c>
      <c r="B210" t="s">
        <v>599</v>
      </c>
      <c r="C210" t="s">
        <v>389</v>
      </c>
      <c r="D210" t="s">
        <v>101</v>
      </c>
      <c r="E210">
        <v>2022</v>
      </c>
      <c r="F210">
        <v>0</v>
      </c>
      <c r="G210">
        <v>2</v>
      </c>
      <c r="H210">
        <v>0</v>
      </c>
      <c r="I210">
        <v>1</v>
      </c>
      <c r="J210">
        <v>1</v>
      </c>
      <c r="K210" t="s">
        <v>1417</v>
      </c>
      <c r="L210">
        <v>2040</v>
      </c>
      <c r="M210">
        <v>1</v>
      </c>
      <c r="N210" s="234" t="s">
        <v>1760</v>
      </c>
      <c r="O210" t="s">
        <v>392</v>
      </c>
      <c r="P210" t="s">
        <v>1419</v>
      </c>
      <c r="R210" t="s">
        <v>1761</v>
      </c>
      <c r="T210">
        <v>3</v>
      </c>
      <c r="U210" t="s">
        <v>331</v>
      </c>
      <c r="W210" t="s">
        <v>1413</v>
      </c>
      <c r="X210" t="s">
        <v>1418</v>
      </c>
      <c r="Y210">
        <v>6.2</v>
      </c>
      <c r="Z210" t="s">
        <v>833</v>
      </c>
      <c r="AA210" t="s">
        <v>821</v>
      </c>
      <c r="AB210" t="s">
        <v>1419</v>
      </c>
    </row>
    <row r="211" spans="1:41">
      <c r="A211" t="s">
        <v>1410</v>
      </c>
      <c r="B211" t="s">
        <v>599</v>
      </c>
      <c r="C211" t="s">
        <v>389</v>
      </c>
      <c r="D211" t="s">
        <v>101</v>
      </c>
      <c r="E211">
        <v>2022</v>
      </c>
      <c r="F211">
        <v>0</v>
      </c>
      <c r="G211">
        <v>2</v>
      </c>
      <c r="H211">
        <v>0</v>
      </c>
      <c r="I211">
        <v>1</v>
      </c>
      <c r="J211">
        <v>1</v>
      </c>
      <c r="K211" t="s">
        <v>1412</v>
      </c>
      <c r="L211">
        <v>2040</v>
      </c>
      <c r="M211">
        <v>1</v>
      </c>
      <c r="N211" t="s">
        <v>391</v>
      </c>
      <c r="O211" t="s">
        <v>392</v>
      </c>
      <c r="R211" t="s">
        <v>1762</v>
      </c>
      <c r="S211" t="s">
        <v>1004</v>
      </c>
      <c r="T211">
        <v>3</v>
      </c>
      <c r="U211" t="s">
        <v>331</v>
      </c>
      <c r="W211" t="s">
        <v>606</v>
      </c>
      <c r="X211" t="s">
        <v>1413</v>
      </c>
      <c r="Y211">
        <v>6.3</v>
      </c>
      <c r="Z211" t="s">
        <v>833</v>
      </c>
      <c r="AO211" t="s">
        <v>309</v>
      </c>
    </row>
    <row r="212" spans="1:41">
      <c r="A212" t="s">
        <v>1410</v>
      </c>
      <c r="B212" t="s">
        <v>1426</v>
      </c>
      <c r="C212" t="s">
        <v>1763</v>
      </c>
      <c r="D212" t="s">
        <v>298</v>
      </c>
      <c r="E212">
        <v>2019</v>
      </c>
      <c r="F212">
        <v>1</v>
      </c>
      <c r="G212">
        <v>3</v>
      </c>
      <c r="H212">
        <v>1</v>
      </c>
      <c r="J212">
        <v>1</v>
      </c>
      <c r="K212" t="s">
        <v>1764</v>
      </c>
      <c r="L212">
        <v>2025</v>
      </c>
      <c r="M212">
        <v>1</v>
      </c>
      <c r="O212" t="s">
        <v>1734</v>
      </c>
      <c r="W212" t="s">
        <v>1253</v>
      </c>
      <c r="X212" t="s">
        <v>1265</v>
      </c>
      <c r="Y212">
        <v>12.4</v>
      </c>
      <c r="Z212" t="s">
        <v>614</v>
      </c>
      <c r="AL212" t="s">
        <v>309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J212"/>
  <sheetViews>
    <sheetView workbookViewId="0">
      <selection sqref="A1:BJ212"/>
    </sheetView>
  </sheetViews>
  <sheetFormatPr baseColWidth="10" defaultColWidth="8.83203125" defaultRowHeight="15"/>
  <cols>
    <col min="3" max="3" width="21.5" customWidth="1"/>
    <col min="4" max="4" width="18.1640625" customWidth="1"/>
    <col min="5" max="5" width="18.5" customWidth="1"/>
    <col min="6" max="7" width="12.5" customWidth="1"/>
    <col min="8" max="9" width="21.5" customWidth="1"/>
    <col min="11" max="11" width="9" customWidth="1"/>
    <col min="12" max="12" width="9.83203125" customWidth="1"/>
    <col min="13" max="13" width="11.6640625" customWidth="1"/>
    <col min="14" max="14" width="11.83203125" customWidth="1"/>
    <col min="16" max="16" width="10.5" customWidth="1"/>
    <col min="17" max="17" width="19.1640625" customWidth="1"/>
    <col min="18" max="18" width="23.5" customWidth="1"/>
    <col min="21" max="21" width="17.5" customWidth="1"/>
    <col min="22" max="22" width="46.6640625" customWidth="1"/>
    <col min="23" max="23" width="10.1640625" customWidth="1"/>
    <col min="24" max="24" width="19.5" customWidth="1"/>
    <col min="25" max="25" width="30" customWidth="1"/>
    <col min="26" max="26" width="10.1640625" customWidth="1"/>
    <col min="27" max="27" width="21.5" customWidth="1"/>
    <col min="28" max="28" width="27.1640625" customWidth="1"/>
    <col min="29" max="29" width="35.33203125" customWidth="1"/>
    <col min="30" max="30" width="34.83203125" customWidth="1"/>
  </cols>
  <sheetData>
    <row r="1" spans="1:62">
      <c r="A1" t="s">
        <v>234</v>
      </c>
      <c r="B1" t="s">
        <v>235</v>
      </c>
      <c r="C1" t="s">
        <v>236</v>
      </c>
      <c r="D1" t="s">
        <v>81</v>
      </c>
      <c r="E1" t="s">
        <v>237</v>
      </c>
      <c r="F1" t="s">
        <v>238</v>
      </c>
      <c r="G1" t="s">
        <v>239</v>
      </c>
      <c r="H1" t="s">
        <v>240</v>
      </c>
      <c r="I1" t="s">
        <v>241</v>
      </c>
      <c r="J1" t="s">
        <v>242</v>
      </c>
      <c r="K1" t="s">
        <v>243</v>
      </c>
      <c r="L1" t="s">
        <v>244</v>
      </c>
      <c r="M1" t="s">
        <v>245</v>
      </c>
      <c r="N1" t="s">
        <v>246</v>
      </c>
      <c r="O1" t="s">
        <v>247</v>
      </c>
      <c r="P1" t="s">
        <v>248</v>
      </c>
      <c r="Q1" t="s">
        <v>249</v>
      </c>
      <c r="R1" t="s">
        <v>250</v>
      </c>
      <c r="S1" t="s">
        <v>251</v>
      </c>
      <c r="T1" t="s">
        <v>252</v>
      </c>
      <c r="U1" t="s">
        <v>253</v>
      </c>
      <c r="V1" t="s">
        <v>254</v>
      </c>
      <c r="W1" t="s">
        <v>255</v>
      </c>
      <c r="X1" t="s">
        <v>256</v>
      </c>
      <c r="Y1" t="s">
        <v>257</v>
      </c>
      <c r="Z1" t="s">
        <v>258</v>
      </c>
      <c r="AA1" t="s">
        <v>259</v>
      </c>
      <c r="AB1" t="s">
        <v>260</v>
      </c>
      <c r="AC1" t="s">
        <v>261</v>
      </c>
      <c r="AD1" t="s">
        <v>262</v>
      </c>
      <c r="AE1" t="s">
        <v>263</v>
      </c>
      <c r="AF1" t="s">
        <v>264</v>
      </c>
      <c r="AG1" t="s">
        <v>265</v>
      </c>
      <c r="AH1" t="s">
        <v>266</v>
      </c>
      <c r="AI1" t="s">
        <v>267</v>
      </c>
      <c r="AJ1" t="s">
        <v>268</v>
      </c>
      <c r="AK1" t="s">
        <v>269</v>
      </c>
      <c r="AL1" t="s">
        <v>270</v>
      </c>
      <c r="AM1" t="s">
        <v>271</v>
      </c>
      <c r="AN1" t="s">
        <v>272</v>
      </c>
      <c r="AO1" t="s">
        <v>273</v>
      </c>
      <c r="AP1" t="s">
        <v>274</v>
      </c>
      <c r="AQ1" t="s">
        <v>275</v>
      </c>
      <c r="AR1" t="s">
        <v>276</v>
      </c>
      <c r="AS1" t="s">
        <v>277</v>
      </c>
      <c r="AT1" t="s">
        <v>278</v>
      </c>
      <c r="AU1" t="s">
        <v>279</v>
      </c>
      <c r="AV1" t="s">
        <v>280</v>
      </c>
      <c r="AW1" t="s">
        <v>281</v>
      </c>
      <c r="AX1" t="s">
        <v>282</v>
      </c>
      <c r="AY1" t="s">
        <v>283</v>
      </c>
      <c r="AZ1" t="s">
        <v>284</v>
      </c>
      <c r="BA1" t="s">
        <v>285</v>
      </c>
      <c r="BB1" t="s">
        <v>286</v>
      </c>
      <c r="BC1" t="s">
        <v>287</v>
      </c>
      <c r="BD1" t="s">
        <v>288</v>
      </c>
      <c r="BE1" t="s">
        <v>289</v>
      </c>
      <c r="BF1" t="s">
        <v>290</v>
      </c>
      <c r="BG1" t="s">
        <v>291</v>
      </c>
      <c r="BH1" t="s">
        <v>292</v>
      </c>
      <c r="BI1" t="s">
        <v>293</v>
      </c>
      <c r="BJ1" t="s">
        <v>294</v>
      </c>
    </row>
    <row r="2" spans="1:62" ht="409.6">
      <c r="A2" t="s">
        <v>295</v>
      </c>
      <c r="B2" t="s">
        <v>334</v>
      </c>
      <c r="C2" t="s">
        <v>335</v>
      </c>
      <c r="D2" t="s">
        <v>298</v>
      </c>
      <c r="E2">
        <v>2023</v>
      </c>
      <c r="F2">
        <v>1</v>
      </c>
      <c r="G2">
        <v>3</v>
      </c>
      <c r="H2">
        <v>1</v>
      </c>
      <c r="J2">
        <v>1</v>
      </c>
      <c r="K2" t="s">
        <v>351</v>
      </c>
      <c r="L2">
        <v>2030</v>
      </c>
      <c r="M2">
        <v>1</v>
      </c>
      <c r="N2" t="s">
        <v>352</v>
      </c>
      <c r="O2" t="s">
        <v>337</v>
      </c>
      <c r="P2" t="s">
        <v>353</v>
      </c>
      <c r="Q2" t="s">
        <v>354</v>
      </c>
      <c r="R2" s="234" t="s">
        <v>1543</v>
      </c>
      <c r="S2" t="s">
        <v>356</v>
      </c>
      <c r="T2">
        <v>1</v>
      </c>
      <c r="U2" t="s">
        <v>342</v>
      </c>
      <c r="V2" s="234" t="s">
        <v>357</v>
      </c>
      <c r="W2" t="s">
        <v>344</v>
      </c>
      <c r="X2" t="s">
        <v>345</v>
      </c>
      <c r="Y2">
        <v>13.2</v>
      </c>
      <c r="Z2" t="e">
        <v>#NAME?</v>
      </c>
      <c r="AA2" t="s">
        <v>201</v>
      </c>
      <c r="AB2" t="s">
        <v>346</v>
      </c>
      <c r="AK2" t="s">
        <v>309</v>
      </c>
    </row>
    <row r="3" spans="1:62">
      <c r="A3" t="s">
        <v>295</v>
      </c>
      <c r="B3" t="s">
        <v>296</v>
      </c>
      <c r="C3" t="s">
        <v>297</v>
      </c>
      <c r="D3" t="s">
        <v>298</v>
      </c>
      <c r="E3">
        <v>2021</v>
      </c>
      <c r="F3">
        <v>1</v>
      </c>
      <c r="G3">
        <v>3</v>
      </c>
      <c r="H3">
        <v>1</v>
      </c>
      <c r="J3">
        <v>1</v>
      </c>
      <c r="K3" t="s">
        <v>991</v>
      </c>
      <c r="L3">
        <v>2050</v>
      </c>
      <c r="M3">
        <v>1</v>
      </c>
      <c r="O3" t="s">
        <v>300</v>
      </c>
      <c r="P3" t="s">
        <v>301</v>
      </c>
      <c r="Q3" t="s">
        <v>302</v>
      </c>
      <c r="S3" t="s">
        <v>303</v>
      </c>
      <c r="T3">
        <v>2</v>
      </c>
      <c r="U3" t="s">
        <v>304</v>
      </c>
      <c r="V3" t="s">
        <v>305</v>
      </c>
      <c r="W3" t="s">
        <v>306</v>
      </c>
      <c r="Y3">
        <v>13.2</v>
      </c>
      <c r="Z3" t="e">
        <v>#NAME?</v>
      </c>
      <c r="AA3" t="s">
        <v>190</v>
      </c>
      <c r="AB3" t="s">
        <v>308</v>
      </c>
      <c r="AK3" t="s">
        <v>309</v>
      </c>
      <c r="BA3" t="s">
        <v>310</v>
      </c>
      <c r="BB3" t="s">
        <v>310</v>
      </c>
      <c r="BC3" t="s">
        <v>310</v>
      </c>
      <c r="BI3" t="s">
        <v>310</v>
      </c>
    </row>
    <row r="4" spans="1:62" ht="409.6">
      <c r="A4" t="s">
        <v>295</v>
      </c>
      <c r="B4" t="s">
        <v>296</v>
      </c>
      <c r="C4" t="s">
        <v>297</v>
      </c>
      <c r="D4" t="s">
        <v>298</v>
      </c>
      <c r="E4">
        <v>2021</v>
      </c>
      <c r="F4">
        <v>1</v>
      </c>
      <c r="G4">
        <v>3</v>
      </c>
      <c r="H4">
        <v>1</v>
      </c>
      <c r="J4">
        <v>1</v>
      </c>
      <c r="K4" t="s">
        <v>995</v>
      </c>
      <c r="L4">
        <v>2030</v>
      </c>
      <c r="M4">
        <v>1</v>
      </c>
      <c r="O4" t="s">
        <v>300</v>
      </c>
      <c r="P4" t="s">
        <v>312</v>
      </c>
      <c r="Q4" t="s">
        <v>313</v>
      </c>
      <c r="R4" s="234" t="s">
        <v>1544</v>
      </c>
      <c r="S4" t="s">
        <v>303</v>
      </c>
      <c r="T4">
        <v>2</v>
      </c>
      <c r="U4" t="s">
        <v>304</v>
      </c>
      <c r="V4" t="s">
        <v>305</v>
      </c>
      <c r="W4" t="s">
        <v>306</v>
      </c>
      <c r="X4" t="s">
        <v>315</v>
      </c>
      <c r="Y4">
        <v>13.2</v>
      </c>
      <c r="Z4" t="e">
        <v>#NAME?</v>
      </c>
      <c r="AA4" t="s">
        <v>190</v>
      </c>
      <c r="AB4" t="s">
        <v>308</v>
      </c>
      <c r="AK4" t="s">
        <v>309</v>
      </c>
      <c r="BA4" t="s">
        <v>310</v>
      </c>
      <c r="BB4" t="s">
        <v>310</v>
      </c>
      <c r="BC4" t="s">
        <v>310</v>
      </c>
      <c r="BI4" t="s">
        <v>310</v>
      </c>
    </row>
    <row r="5" spans="1:62">
      <c r="A5" t="s">
        <v>295</v>
      </c>
      <c r="B5" t="s">
        <v>334</v>
      </c>
      <c r="C5" t="s">
        <v>320</v>
      </c>
      <c r="D5" t="s">
        <v>321</v>
      </c>
      <c r="E5">
        <v>2020</v>
      </c>
      <c r="F5">
        <v>0</v>
      </c>
      <c r="G5">
        <v>1</v>
      </c>
      <c r="H5">
        <v>0</v>
      </c>
      <c r="I5">
        <v>0</v>
      </c>
      <c r="J5">
        <v>1</v>
      </c>
      <c r="K5" t="s">
        <v>1002</v>
      </c>
      <c r="L5">
        <v>2030</v>
      </c>
      <c r="M5">
        <v>1</v>
      </c>
      <c r="O5" t="s">
        <v>300</v>
      </c>
      <c r="R5" t="s">
        <v>1545</v>
      </c>
      <c r="T5">
        <v>2</v>
      </c>
      <c r="Y5">
        <v>13.2</v>
      </c>
      <c r="Z5" t="e">
        <v>#NAME?</v>
      </c>
    </row>
    <row r="6" spans="1:62" ht="409.6">
      <c r="A6" t="s">
        <v>295</v>
      </c>
      <c r="B6" t="s">
        <v>334</v>
      </c>
      <c r="C6" t="s">
        <v>376</v>
      </c>
      <c r="D6" t="s">
        <v>102</v>
      </c>
      <c r="E6">
        <v>2023</v>
      </c>
      <c r="F6">
        <v>1</v>
      </c>
      <c r="G6">
        <v>3</v>
      </c>
      <c r="H6">
        <v>1</v>
      </c>
      <c r="J6">
        <v>1</v>
      </c>
      <c r="K6" t="s">
        <v>377</v>
      </c>
      <c r="L6">
        <v>2030</v>
      </c>
      <c r="M6">
        <v>1</v>
      </c>
      <c r="N6" t="s">
        <v>378</v>
      </c>
      <c r="O6" t="s">
        <v>300</v>
      </c>
      <c r="R6" s="234" t="s">
        <v>1765</v>
      </c>
      <c r="T6">
        <v>2</v>
      </c>
      <c r="Y6">
        <v>13.2</v>
      </c>
      <c r="Z6" t="e">
        <v>#NAME?</v>
      </c>
    </row>
    <row r="7" spans="1:62" ht="409.6">
      <c r="A7" t="s">
        <v>295</v>
      </c>
      <c r="B7" t="s">
        <v>334</v>
      </c>
      <c r="C7" t="s">
        <v>358</v>
      </c>
      <c r="D7" t="s">
        <v>298</v>
      </c>
      <c r="E7">
        <v>2023</v>
      </c>
      <c r="F7">
        <v>1</v>
      </c>
      <c r="G7">
        <v>3</v>
      </c>
      <c r="H7">
        <v>1</v>
      </c>
      <c r="J7">
        <v>1</v>
      </c>
      <c r="K7" t="s">
        <v>359</v>
      </c>
      <c r="L7">
        <v>2030</v>
      </c>
      <c r="M7">
        <v>1</v>
      </c>
      <c r="O7" t="s">
        <v>300</v>
      </c>
      <c r="P7" t="s">
        <v>360</v>
      </c>
      <c r="Q7" t="s">
        <v>361</v>
      </c>
      <c r="R7" s="234" t="s">
        <v>1547</v>
      </c>
      <c r="S7" t="s">
        <v>363</v>
      </c>
      <c r="T7">
        <v>2</v>
      </c>
      <c r="W7" t="s">
        <v>306</v>
      </c>
      <c r="Y7">
        <v>13.2</v>
      </c>
      <c r="Z7" t="e">
        <v>#NAME?</v>
      </c>
      <c r="AK7" t="s">
        <v>309</v>
      </c>
    </row>
    <row r="8" spans="1:62" ht="350">
      <c r="A8" t="s">
        <v>295</v>
      </c>
      <c r="B8" t="s">
        <v>334</v>
      </c>
      <c r="C8" t="s">
        <v>335</v>
      </c>
      <c r="D8" t="s">
        <v>298</v>
      </c>
      <c r="E8">
        <v>2023</v>
      </c>
      <c r="F8">
        <v>1</v>
      </c>
      <c r="G8">
        <v>3</v>
      </c>
      <c r="H8">
        <v>1</v>
      </c>
      <c r="J8">
        <v>1</v>
      </c>
      <c r="K8" t="s">
        <v>347</v>
      </c>
      <c r="L8">
        <v>2025</v>
      </c>
      <c r="M8">
        <v>1</v>
      </c>
      <c r="O8" t="s">
        <v>337</v>
      </c>
      <c r="P8" t="s">
        <v>338</v>
      </c>
      <c r="Q8" t="s">
        <v>348</v>
      </c>
      <c r="R8" s="234" t="s">
        <v>1548</v>
      </c>
      <c r="S8" t="s">
        <v>350</v>
      </c>
      <c r="T8">
        <v>2</v>
      </c>
      <c r="U8" t="s">
        <v>342</v>
      </c>
      <c r="V8" t="s">
        <v>343</v>
      </c>
      <c r="W8" t="s">
        <v>344</v>
      </c>
      <c r="X8" t="s">
        <v>345</v>
      </c>
      <c r="Y8">
        <v>13.2</v>
      </c>
      <c r="Z8" t="e">
        <v>#NAME?</v>
      </c>
      <c r="AA8" t="s">
        <v>189</v>
      </c>
      <c r="AB8" t="s">
        <v>346</v>
      </c>
      <c r="AK8" t="s">
        <v>309</v>
      </c>
    </row>
    <row r="9" spans="1:62">
      <c r="A9" t="s">
        <v>295</v>
      </c>
      <c r="B9" t="s">
        <v>334</v>
      </c>
      <c r="C9" t="s">
        <v>335</v>
      </c>
      <c r="D9" t="s">
        <v>298</v>
      </c>
      <c r="E9">
        <v>2023</v>
      </c>
      <c r="F9">
        <v>1</v>
      </c>
      <c r="G9">
        <v>3</v>
      </c>
      <c r="H9">
        <v>1</v>
      </c>
      <c r="J9">
        <v>1</v>
      </c>
      <c r="K9" t="s">
        <v>336</v>
      </c>
      <c r="L9">
        <v>2030</v>
      </c>
      <c r="M9">
        <v>1</v>
      </c>
      <c r="O9" t="s">
        <v>337</v>
      </c>
      <c r="P9" t="s">
        <v>338</v>
      </c>
      <c r="Q9" t="s">
        <v>339</v>
      </c>
      <c r="R9" t="s">
        <v>1549</v>
      </c>
      <c r="S9" t="s">
        <v>341</v>
      </c>
      <c r="T9">
        <v>2</v>
      </c>
      <c r="U9" t="s">
        <v>342</v>
      </c>
      <c r="V9" t="s">
        <v>343</v>
      </c>
      <c r="W9" t="s">
        <v>344</v>
      </c>
      <c r="X9" t="s">
        <v>345</v>
      </c>
      <c r="Y9">
        <v>13.2</v>
      </c>
      <c r="Z9" t="e">
        <v>#NAME?</v>
      </c>
      <c r="AA9" t="s">
        <v>189</v>
      </c>
      <c r="AB9" t="s">
        <v>346</v>
      </c>
      <c r="AK9" t="s">
        <v>309</v>
      </c>
    </row>
    <row r="10" spans="1:62">
      <c r="A10" t="s">
        <v>295</v>
      </c>
      <c r="C10" t="s">
        <v>324</v>
      </c>
      <c r="D10" t="s">
        <v>321</v>
      </c>
      <c r="E10">
        <v>2020</v>
      </c>
      <c r="F10">
        <v>0</v>
      </c>
      <c r="G10">
        <v>1</v>
      </c>
      <c r="H10">
        <v>0</v>
      </c>
      <c r="I10">
        <v>0</v>
      </c>
      <c r="J10">
        <v>1</v>
      </c>
      <c r="K10" t="s">
        <v>1012</v>
      </c>
      <c r="L10">
        <v>2030</v>
      </c>
      <c r="M10">
        <v>1</v>
      </c>
      <c r="O10" t="s">
        <v>326</v>
      </c>
      <c r="P10" t="s">
        <v>327</v>
      </c>
      <c r="Q10" t="s">
        <v>328</v>
      </c>
      <c r="R10" t="s">
        <v>1550</v>
      </c>
      <c r="S10" t="s">
        <v>330</v>
      </c>
      <c r="T10">
        <v>2</v>
      </c>
      <c r="U10" t="s">
        <v>331</v>
      </c>
      <c r="W10" t="s">
        <v>332</v>
      </c>
      <c r="X10" t="s">
        <v>315</v>
      </c>
      <c r="Y10">
        <v>13.2</v>
      </c>
      <c r="Z10" t="e">
        <v>#NAME?</v>
      </c>
      <c r="AA10" t="s">
        <v>197</v>
      </c>
      <c r="AB10" t="s">
        <v>333</v>
      </c>
      <c r="AE10" t="s">
        <v>310</v>
      </c>
      <c r="AJ10" t="s">
        <v>309</v>
      </c>
    </row>
    <row r="11" spans="1:62">
      <c r="A11" t="s">
        <v>295</v>
      </c>
      <c r="C11" t="s">
        <v>316</v>
      </c>
      <c r="D11" t="s">
        <v>110</v>
      </c>
      <c r="E11">
        <v>2022</v>
      </c>
      <c r="F11">
        <v>0</v>
      </c>
      <c r="G11">
        <v>2</v>
      </c>
      <c r="H11">
        <v>0</v>
      </c>
      <c r="I11">
        <v>1</v>
      </c>
      <c r="J11">
        <v>1</v>
      </c>
      <c r="K11" t="s">
        <v>317</v>
      </c>
      <c r="L11">
        <v>2030</v>
      </c>
      <c r="M11">
        <v>1</v>
      </c>
      <c r="O11" t="s">
        <v>300</v>
      </c>
      <c r="R11" t="s">
        <v>1551</v>
      </c>
      <c r="T11">
        <v>2</v>
      </c>
      <c r="W11" t="s">
        <v>315</v>
      </c>
      <c r="Y11">
        <v>13.2</v>
      </c>
      <c r="Z11" t="e">
        <v>#NAME?</v>
      </c>
      <c r="AA11" t="s">
        <v>190</v>
      </c>
      <c r="AB11" t="s">
        <v>319</v>
      </c>
      <c r="AK11" t="s">
        <v>310</v>
      </c>
      <c r="AL11" t="s">
        <v>309</v>
      </c>
    </row>
    <row r="12" spans="1:62">
      <c r="A12" t="s">
        <v>295</v>
      </c>
      <c r="B12" t="s">
        <v>334</v>
      </c>
      <c r="C12" t="s">
        <v>376</v>
      </c>
      <c r="D12" t="s">
        <v>102</v>
      </c>
      <c r="E12">
        <v>2023</v>
      </c>
      <c r="F12">
        <v>1</v>
      </c>
      <c r="G12">
        <v>3</v>
      </c>
      <c r="H12">
        <v>1</v>
      </c>
      <c r="J12">
        <v>1</v>
      </c>
      <c r="K12" t="s">
        <v>380</v>
      </c>
      <c r="L12">
        <v>2030</v>
      </c>
      <c r="M12">
        <v>1</v>
      </c>
      <c r="O12" t="s">
        <v>300</v>
      </c>
      <c r="R12" t="s">
        <v>1552</v>
      </c>
      <c r="T12">
        <v>3</v>
      </c>
      <c r="U12" t="s">
        <v>382</v>
      </c>
      <c r="W12" t="s">
        <v>315</v>
      </c>
      <c r="Y12">
        <v>13.2</v>
      </c>
      <c r="Z12" t="e">
        <v>#NAME?</v>
      </c>
      <c r="AK12" t="s">
        <v>309</v>
      </c>
    </row>
    <row r="13" spans="1:62">
      <c r="A13" t="s">
        <v>403</v>
      </c>
      <c r="B13" t="s">
        <v>426</v>
      </c>
      <c r="C13" t="s">
        <v>396</v>
      </c>
      <c r="D13" t="s">
        <v>102</v>
      </c>
      <c r="E13">
        <v>2023</v>
      </c>
      <c r="F13">
        <v>1</v>
      </c>
      <c r="G13">
        <v>3</v>
      </c>
      <c r="H13">
        <v>1</v>
      </c>
      <c r="J13">
        <v>1</v>
      </c>
      <c r="K13" t="s">
        <v>579</v>
      </c>
      <c r="L13">
        <v>2030</v>
      </c>
      <c r="M13">
        <v>1</v>
      </c>
      <c r="N13" t="s">
        <v>580</v>
      </c>
      <c r="O13" t="s">
        <v>450</v>
      </c>
      <c r="R13" t="s">
        <v>581</v>
      </c>
      <c r="T13">
        <v>0</v>
      </c>
      <c r="W13" t="s">
        <v>451</v>
      </c>
      <c r="Y13">
        <v>9.4</v>
      </c>
      <c r="Z13" t="e">
        <v>#NAME?</v>
      </c>
      <c r="AE13" t="s">
        <v>309</v>
      </c>
    </row>
    <row r="14" spans="1:62">
      <c r="A14" t="s">
        <v>403</v>
      </c>
      <c r="C14" t="s">
        <v>396</v>
      </c>
      <c r="D14" t="s">
        <v>102</v>
      </c>
      <c r="E14">
        <v>2023</v>
      </c>
      <c r="F14">
        <v>1</v>
      </c>
      <c r="G14">
        <v>3</v>
      </c>
      <c r="H14">
        <v>1</v>
      </c>
      <c r="J14">
        <v>1</v>
      </c>
      <c r="K14" t="s">
        <v>582</v>
      </c>
      <c r="L14">
        <v>2030</v>
      </c>
      <c r="M14">
        <v>1</v>
      </c>
      <c r="O14" t="s">
        <v>465</v>
      </c>
      <c r="P14" t="s">
        <v>583</v>
      </c>
      <c r="Q14" t="s">
        <v>584</v>
      </c>
      <c r="R14" t="s">
        <v>585</v>
      </c>
      <c r="T14">
        <v>0</v>
      </c>
      <c r="W14" t="s">
        <v>332</v>
      </c>
      <c r="X14" t="s">
        <v>416</v>
      </c>
      <c r="Y14">
        <v>7.2</v>
      </c>
      <c r="Z14" t="e">
        <v>#NAME?</v>
      </c>
      <c r="AE14" t="s">
        <v>310</v>
      </c>
      <c r="AJ14" t="s">
        <v>309</v>
      </c>
    </row>
    <row r="15" spans="1:62">
      <c r="A15" t="s">
        <v>403</v>
      </c>
      <c r="C15" t="s">
        <v>396</v>
      </c>
      <c r="D15" t="s">
        <v>102</v>
      </c>
      <c r="E15">
        <v>2023</v>
      </c>
      <c r="F15">
        <v>1</v>
      </c>
      <c r="G15">
        <v>3</v>
      </c>
      <c r="H15">
        <v>1</v>
      </c>
      <c r="J15">
        <v>1</v>
      </c>
      <c r="K15" t="s">
        <v>398</v>
      </c>
      <c r="L15">
        <v>2030</v>
      </c>
      <c r="M15">
        <v>1</v>
      </c>
      <c r="N15" t="s">
        <v>438</v>
      </c>
      <c r="O15" t="s">
        <v>407</v>
      </c>
      <c r="R15" t="s">
        <v>1553</v>
      </c>
      <c r="S15" t="s">
        <v>473</v>
      </c>
      <c r="T15">
        <v>1</v>
      </c>
      <c r="Y15">
        <v>7.2</v>
      </c>
      <c r="Z15" t="e">
        <v>#NAME?</v>
      </c>
    </row>
    <row r="16" spans="1:62">
      <c r="A16" t="s">
        <v>403</v>
      </c>
      <c r="B16" t="s">
        <v>462</v>
      </c>
      <c r="C16" t="s">
        <v>324</v>
      </c>
      <c r="D16" t="s">
        <v>321</v>
      </c>
      <c r="E16">
        <v>2020</v>
      </c>
      <c r="F16">
        <v>0</v>
      </c>
      <c r="G16">
        <v>1</v>
      </c>
      <c r="H16">
        <v>0</v>
      </c>
      <c r="I16">
        <v>0</v>
      </c>
      <c r="J16">
        <v>1</v>
      </c>
      <c r="K16" t="s">
        <v>504</v>
      </c>
      <c r="L16">
        <v>2030</v>
      </c>
      <c r="M16">
        <v>1</v>
      </c>
      <c r="O16" t="s">
        <v>465</v>
      </c>
      <c r="P16" t="s">
        <v>505</v>
      </c>
      <c r="Q16" t="s">
        <v>506</v>
      </c>
      <c r="R16" t="s">
        <v>507</v>
      </c>
      <c r="S16" t="s">
        <v>494</v>
      </c>
      <c r="T16">
        <v>1</v>
      </c>
      <c r="U16" t="s">
        <v>508</v>
      </c>
      <c r="V16" t="s">
        <v>509</v>
      </c>
      <c r="W16" t="s">
        <v>332</v>
      </c>
      <c r="X16" t="s">
        <v>468</v>
      </c>
      <c r="Y16">
        <v>7.3</v>
      </c>
      <c r="Z16" t="e">
        <v>#NAME?</v>
      </c>
      <c r="AA16" t="s">
        <v>192</v>
      </c>
      <c r="AB16" t="s">
        <v>510</v>
      </c>
      <c r="AE16" t="s">
        <v>310</v>
      </c>
      <c r="AJ16" t="s">
        <v>309</v>
      </c>
    </row>
    <row r="17" spans="1:42">
      <c r="A17" t="s">
        <v>403</v>
      </c>
      <c r="B17" t="s">
        <v>462</v>
      </c>
      <c r="C17" t="s">
        <v>463</v>
      </c>
      <c r="D17" t="s">
        <v>101</v>
      </c>
      <c r="E17">
        <v>2021</v>
      </c>
      <c r="F17">
        <v>0</v>
      </c>
      <c r="G17">
        <v>2</v>
      </c>
      <c r="H17">
        <v>0</v>
      </c>
      <c r="I17">
        <v>1</v>
      </c>
      <c r="J17">
        <v>1</v>
      </c>
      <c r="K17" t="s">
        <v>490</v>
      </c>
      <c r="L17">
        <v>2030</v>
      </c>
      <c r="M17">
        <v>1</v>
      </c>
      <c r="O17" t="s">
        <v>465</v>
      </c>
      <c r="P17" t="s">
        <v>491</v>
      </c>
      <c r="Q17" t="s">
        <v>492</v>
      </c>
      <c r="R17" t="s">
        <v>493</v>
      </c>
      <c r="S17" t="s">
        <v>494</v>
      </c>
      <c r="T17">
        <v>1</v>
      </c>
      <c r="U17" t="s">
        <v>331</v>
      </c>
      <c r="W17" t="s">
        <v>332</v>
      </c>
      <c r="X17" t="s">
        <v>468</v>
      </c>
      <c r="Y17">
        <v>7.3</v>
      </c>
      <c r="Z17" t="e">
        <v>#NAME?</v>
      </c>
      <c r="AE17" t="s">
        <v>310</v>
      </c>
      <c r="AJ17" t="s">
        <v>309</v>
      </c>
    </row>
    <row r="18" spans="1:42">
      <c r="A18" t="s">
        <v>403</v>
      </c>
      <c r="B18" t="s">
        <v>404</v>
      </c>
      <c r="C18" t="s">
        <v>405</v>
      </c>
      <c r="D18" t="s">
        <v>321</v>
      </c>
      <c r="E18">
        <v>2022</v>
      </c>
      <c r="F18">
        <v>0</v>
      </c>
      <c r="G18">
        <v>1</v>
      </c>
      <c r="H18">
        <v>0</v>
      </c>
      <c r="I18">
        <v>0</v>
      </c>
      <c r="J18">
        <v>1</v>
      </c>
      <c r="K18" t="s">
        <v>406</v>
      </c>
      <c r="L18">
        <v>2030</v>
      </c>
      <c r="M18">
        <v>1</v>
      </c>
      <c r="O18" t="s">
        <v>407</v>
      </c>
      <c r="R18" t="s">
        <v>408</v>
      </c>
      <c r="T18">
        <v>1</v>
      </c>
      <c r="U18" t="s">
        <v>331</v>
      </c>
      <c r="W18" t="s">
        <v>400</v>
      </c>
      <c r="X18" t="s">
        <v>401</v>
      </c>
      <c r="Y18">
        <v>9.4</v>
      </c>
      <c r="Z18" t="e">
        <v>#NAME?</v>
      </c>
      <c r="AF18" t="s">
        <v>309</v>
      </c>
      <c r="AP18" t="s">
        <v>310</v>
      </c>
    </row>
    <row r="19" spans="1:42" ht="409.6">
      <c r="A19" t="s">
        <v>403</v>
      </c>
      <c r="C19" t="s">
        <v>405</v>
      </c>
      <c r="D19" t="s">
        <v>321</v>
      </c>
      <c r="E19">
        <v>2022</v>
      </c>
      <c r="F19">
        <v>0</v>
      </c>
      <c r="G19">
        <v>1</v>
      </c>
      <c r="H19">
        <v>0</v>
      </c>
      <c r="I19">
        <v>0</v>
      </c>
      <c r="J19">
        <v>1</v>
      </c>
      <c r="K19" t="s">
        <v>442</v>
      </c>
      <c r="L19">
        <v>2030</v>
      </c>
      <c r="M19">
        <v>1</v>
      </c>
      <c r="N19" s="234" t="s">
        <v>443</v>
      </c>
      <c r="O19" t="s">
        <v>407</v>
      </c>
      <c r="R19" t="s">
        <v>1554</v>
      </c>
      <c r="S19" t="s">
        <v>445</v>
      </c>
      <c r="T19">
        <v>2</v>
      </c>
      <c r="U19" t="s">
        <v>331</v>
      </c>
      <c r="W19" t="s">
        <v>400</v>
      </c>
      <c r="Y19">
        <v>9.1</v>
      </c>
      <c r="Z19" t="e">
        <v>#NAME?</v>
      </c>
      <c r="AA19" t="s">
        <v>216</v>
      </c>
      <c r="AB19" t="s">
        <v>441</v>
      </c>
      <c r="AE19" t="s">
        <v>310</v>
      </c>
      <c r="AF19" t="s">
        <v>309</v>
      </c>
    </row>
    <row r="20" spans="1:42">
      <c r="A20" t="s">
        <v>403</v>
      </c>
      <c r="B20" t="s">
        <v>334</v>
      </c>
      <c r="C20" t="s">
        <v>150</v>
      </c>
      <c r="D20" t="s">
        <v>321</v>
      </c>
      <c r="E20">
        <v>2022</v>
      </c>
      <c r="F20">
        <v>0</v>
      </c>
      <c r="G20">
        <v>1</v>
      </c>
      <c r="H20">
        <v>0</v>
      </c>
      <c r="I20">
        <v>0</v>
      </c>
      <c r="J20">
        <v>1</v>
      </c>
      <c r="K20" t="s">
        <v>455</v>
      </c>
      <c r="L20">
        <v>2025</v>
      </c>
      <c r="M20">
        <v>1</v>
      </c>
      <c r="N20" t="s">
        <v>456</v>
      </c>
      <c r="O20" t="s">
        <v>457</v>
      </c>
      <c r="R20" t="s">
        <v>458</v>
      </c>
      <c r="T20">
        <v>2</v>
      </c>
      <c r="W20" t="s">
        <v>416</v>
      </c>
      <c r="Y20">
        <v>7.2</v>
      </c>
      <c r="Z20" t="e">
        <v>#NAME?</v>
      </c>
      <c r="AB20" t="s">
        <v>459</v>
      </c>
      <c r="AC20" t="s">
        <v>460</v>
      </c>
      <c r="AD20" t="s">
        <v>461</v>
      </c>
      <c r="AE20" t="s">
        <v>310</v>
      </c>
      <c r="AJ20" t="s">
        <v>309</v>
      </c>
    </row>
    <row r="21" spans="1:42">
      <c r="A21" t="s">
        <v>403</v>
      </c>
      <c r="B21" t="s">
        <v>462</v>
      </c>
      <c r="C21" t="s">
        <v>405</v>
      </c>
      <c r="D21" t="s">
        <v>321</v>
      </c>
      <c r="E21">
        <v>2022</v>
      </c>
      <c r="F21">
        <v>0</v>
      </c>
      <c r="G21">
        <v>1</v>
      </c>
      <c r="H21">
        <v>0</v>
      </c>
      <c r="I21">
        <v>0</v>
      </c>
      <c r="J21">
        <v>1</v>
      </c>
      <c r="K21" t="s">
        <v>527</v>
      </c>
      <c r="L21">
        <v>2027</v>
      </c>
      <c r="M21">
        <v>1</v>
      </c>
      <c r="N21" t="s">
        <v>528</v>
      </c>
      <c r="O21" t="s">
        <v>465</v>
      </c>
      <c r="P21" t="s">
        <v>529</v>
      </c>
      <c r="Q21" t="s">
        <v>530</v>
      </c>
      <c r="R21" t="s">
        <v>531</v>
      </c>
      <c r="S21" t="s">
        <v>519</v>
      </c>
      <c r="T21">
        <v>2</v>
      </c>
      <c r="U21" t="s">
        <v>331</v>
      </c>
      <c r="W21" t="s">
        <v>395</v>
      </c>
      <c r="Y21">
        <v>7.3</v>
      </c>
      <c r="Z21" t="e">
        <v>#NAME?</v>
      </c>
      <c r="AA21" t="s">
        <v>196</v>
      </c>
      <c r="AB21" t="s">
        <v>532</v>
      </c>
      <c r="AE21" t="s">
        <v>309</v>
      </c>
    </row>
    <row r="22" spans="1:42">
      <c r="A22" t="s">
        <v>403</v>
      </c>
      <c r="C22" t="s">
        <v>150</v>
      </c>
      <c r="D22" t="s">
        <v>321</v>
      </c>
      <c r="E22">
        <v>2022</v>
      </c>
      <c r="F22">
        <v>0</v>
      </c>
      <c r="G22">
        <v>1</v>
      </c>
      <c r="H22">
        <v>0</v>
      </c>
      <c r="I22">
        <v>0</v>
      </c>
      <c r="J22">
        <v>1</v>
      </c>
      <c r="K22" t="s">
        <v>537</v>
      </c>
      <c r="L22">
        <v>2030</v>
      </c>
      <c r="M22">
        <v>1</v>
      </c>
      <c r="O22" t="s">
        <v>538</v>
      </c>
      <c r="R22" t="s">
        <v>1555</v>
      </c>
      <c r="S22" t="s">
        <v>303</v>
      </c>
      <c r="T22">
        <v>2</v>
      </c>
      <c r="W22" t="s">
        <v>416</v>
      </c>
      <c r="Y22">
        <v>7.2</v>
      </c>
      <c r="Z22" t="e">
        <v>#NAME?</v>
      </c>
      <c r="AA22" t="s">
        <v>217</v>
      </c>
      <c r="AB22" t="s">
        <v>540</v>
      </c>
      <c r="AE22" t="s">
        <v>309</v>
      </c>
    </row>
    <row r="23" spans="1:42" ht="176">
      <c r="A23" t="s">
        <v>403</v>
      </c>
      <c r="C23" t="s">
        <v>150</v>
      </c>
      <c r="D23" t="s">
        <v>321</v>
      </c>
      <c r="E23">
        <v>2022</v>
      </c>
      <c r="F23">
        <v>0</v>
      </c>
      <c r="G23">
        <v>1</v>
      </c>
      <c r="H23">
        <v>0</v>
      </c>
      <c r="I23">
        <v>0</v>
      </c>
      <c r="J23">
        <v>1</v>
      </c>
      <c r="K23" t="s">
        <v>541</v>
      </c>
      <c r="L23">
        <v>2030</v>
      </c>
      <c r="M23">
        <v>1</v>
      </c>
      <c r="O23" t="s">
        <v>538</v>
      </c>
      <c r="R23" s="234" t="s">
        <v>1556</v>
      </c>
      <c r="S23" t="s">
        <v>303</v>
      </c>
      <c r="T23">
        <v>2</v>
      </c>
      <c r="U23" t="s">
        <v>331</v>
      </c>
      <c r="W23" t="s">
        <v>416</v>
      </c>
      <c r="Y23">
        <v>7.2</v>
      </c>
      <c r="Z23" t="e">
        <v>#NAME?</v>
      </c>
      <c r="AE23" t="s">
        <v>309</v>
      </c>
    </row>
    <row r="24" spans="1:42">
      <c r="A24" t="s">
        <v>403</v>
      </c>
      <c r="C24" t="s">
        <v>150</v>
      </c>
      <c r="D24" t="s">
        <v>321</v>
      </c>
      <c r="E24">
        <v>2022</v>
      </c>
      <c r="F24">
        <v>0</v>
      </c>
      <c r="G24">
        <v>1</v>
      </c>
      <c r="H24">
        <v>0</v>
      </c>
      <c r="I24">
        <v>0</v>
      </c>
      <c r="J24">
        <v>1</v>
      </c>
      <c r="K24" t="s">
        <v>543</v>
      </c>
      <c r="L24">
        <v>2030</v>
      </c>
      <c r="M24">
        <v>1</v>
      </c>
      <c r="O24" t="s">
        <v>538</v>
      </c>
      <c r="R24" t="s">
        <v>1557</v>
      </c>
      <c r="S24" t="s">
        <v>303</v>
      </c>
      <c r="T24">
        <v>2</v>
      </c>
      <c r="U24" t="s">
        <v>331</v>
      </c>
      <c r="W24" t="s">
        <v>416</v>
      </c>
      <c r="Y24">
        <v>7.2</v>
      </c>
      <c r="Z24" t="e">
        <v>#NAME?</v>
      </c>
      <c r="AA24" t="s">
        <v>217</v>
      </c>
      <c r="AB24" t="s">
        <v>540</v>
      </c>
      <c r="AE24" t="s">
        <v>309</v>
      </c>
    </row>
    <row r="25" spans="1:42">
      <c r="A25" t="s">
        <v>403</v>
      </c>
      <c r="C25" t="s">
        <v>396</v>
      </c>
      <c r="D25" t="s">
        <v>102</v>
      </c>
      <c r="E25">
        <v>2023</v>
      </c>
      <c r="F25">
        <v>1</v>
      </c>
      <c r="G25">
        <v>3</v>
      </c>
      <c r="H25">
        <v>1</v>
      </c>
      <c r="J25">
        <v>1</v>
      </c>
      <c r="K25" t="s">
        <v>548</v>
      </c>
      <c r="L25">
        <v>2030</v>
      </c>
      <c r="M25">
        <v>1</v>
      </c>
      <c r="O25" t="s">
        <v>429</v>
      </c>
      <c r="P25" t="s">
        <v>549</v>
      </c>
      <c r="Q25">
        <v>0.42499999999999999</v>
      </c>
      <c r="R25" t="s">
        <v>1766</v>
      </c>
      <c r="S25" t="s">
        <v>363</v>
      </c>
      <c r="T25">
        <v>2</v>
      </c>
      <c r="U25" t="s">
        <v>433</v>
      </c>
      <c r="V25" t="s">
        <v>551</v>
      </c>
      <c r="Y25">
        <v>7.2</v>
      </c>
      <c r="Z25" t="e">
        <v>#NAME?</v>
      </c>
      <c r="AA25" t="s">
        <v>197</v>
      </c>
      <c r="AB25" t="s">
        <v>552</v>
      </c>
      <c r="AE25" t="s">
        <v>309</v>
      </c>
    </row>
    <row r="26" spans="1:42">
      <c r="A26" t="s">
        <v>403</v>
      </c>
      <c r="C26" t="s">
        <v>396</v>
      </c>
      <c r="D26" t="s">
        <v>102</v>
      </c>
      <c r="E26">
        <v>2023</v>
      </c>
      <c r="F26">
        <v>1</v>
      </c>
      <c r="G26">
        <v>3</v>
      </c>
      <c r="H26">
        <v>1</v>
      </c>
      <c r="J26">
        <v>1</v>
      </c>
      <c r="K26" t="s">
        <v>555</v>
      </c>
      <c r="L26">
        <v>2030</v>
      </c>
      <c r="M26">
        <v>1</v>
      </c>
      <c r="O26" t="s">
        <v>429</v>
      </c>
      <c r="P26" t="s">
        <v>556</v>
      </c>
      <c r="Q26" t="s">
        <v>557</v>
      </c>
      <c r="R26" t="s">
        <v>1559</v>
      </c>
      <c r="S26" t="s">
        <v>559</v>
      </c>
      <c r="T26">
        <v>2</v>
      </c>
      <c r="W26" t="s">
        <v>416</v>
      </c>
      <c r="X26" t="s">
        <v>401</v>
      </c>
      <c r="Y26">
        <v>7.2</v>
      </c>
      <c r="Z26" t="e">
        <v>#NAME?</v>
      </c>
      <c r="AA26" t="s">
        <v>197</v>
      </c>
      <c r="AB26" t="s">
        <v>560</v>
      </c>
      <c r="AE26" t="s">
        <v>309</v>
      </c>
      <c r="AP26" t="s">
        <v>310</v>
      </c>
    </row>
    <row r="27" spans="1:42">
      <c r="A27" t="s">
        <v>403</v>
      </c>
      <c r="C27" t="s">
        <v>396</v>
      </c>
      <c r="D27" t="s">
        <v>102</v>
      </c>
      <c r="E27">
        <v>2023</v>
      </c>
      <c r="F27">
        <v>1</v>
      </c>
      <c r="G27">
        <v>3</v>
      </c>
      <c r="H27">
        <v>1</v>
      </c>
      <c r="J27">
        <v>1</v>
      </c>
      <c r="K27" t="s">
        <v>561</v>
      </c>
      <c r="L27">
        <v>2030</v>
      </c>
      <c r="M27">
        <v>1</v>
      </c>
      <c r="N27" t="s">
        <v>1560</v>
      </c>
      <c r="O27" t="s">
        <v>429</v>
      </c>
      <c r="P27" t="s">
        <v>562</v>
      </c>
      <c r="Q27">
        <v>0.28999999999999998</v>
      </c>
      <c r="R27" t="s">
        <v>1767</v>
      </c>
      <c r="S27" t="s">
        <v>330</v>
      </c>
      <c r="T27">
        <v>2</v>
      </c>
      <c r="U27" t="s">
        <v>331</v>
      </c>
      <c r="W27" t="s">
        <v>564</v>
      </c>
      <c r="X27" t="s">
        <v>315</v>
      </c>
      <c r="Y27">
        <v>13.2</v>
      </c>
      <c r="Z27" t="e">
        <v>#NAME?</v>
      </c>
      <c r="AA27" t="s">
        <v>190</v>
      </c>
      <c r="AB27" t="s">
        <v>565</v>
      </c>
      <c r="AE27" t="s">
        <v>310</v>
      </c>
      <c r="AI27" t="s">
        <v>309</v>
      </c>
      <c r="AK27" t="s">
        <v>310</v>
      </c>
    </row>
    <row r="28" spans="1:42">
      <c r="A28" t="s">
        <v>403</v>
      </c>
      <c r="C28" t="s">
        <v>396</v>
      </c>
      <c r="D28" t="s">
        <v>102</v>
      </c>
      <c r="E28">
        <v>2023</v>
      </c>
      <c r="F28">
        <v>1</v>
      </c>
      <c r="G28">
        <v>3</v>
      </c>
      <c r="H28">
        <v>1</v>
      </c>
      <c r="J28">
        <v>1</v>
      </c>
      <c r="K28" t="s">
        <v>566</v>
      </c>
      <c r="L28">
        <v>2030</v>
      </c>
      <c r="M28">
        <v>1</v>
      </c>
      <c r="O28" t="s">
        <v>429</v>
      </c>
      <c r="P28" t="s">
        <v>567</v>
      </c>
      <c r="Q28" t="s">
        <v>568</v>
      </c>
      <c r="R28" t="s">
        <v>1768</v>
      </c>
      <c r="S28" t="s">
        <v>569</v>
      </c>
      <c r="T28">
        <v>2</v>
      </c>
      <c r="U28" t="s">
        <v>331</v>
      </c>
      <c r="W28" t="s">
        <v>416</v>
      </c>
      <c r="Y28">
        <v>7.2</v>
      </c>
      <c r="Z28" t="e">
        <v>#NAME?</v>
      </c>
      <c r="AA28" t="s">
        <v>197</v>
      </c>
      <c r="AB28" t="s">
        <v>570</v>
      </c>
      <c r="AE28" t="s">
        <v>309</v>
      </c>
    </row>
    <row r="29" spans="1:42">
      <c r="A29" t="s">
        <v>403</v>
      </c>
      <c r="C29" t="s">
        <v>396</v>
      </c>
      <c r="D29" t="s">
        <v>102</v>
      </c>
      <c r="E29">
        <v>2023</v>
      </c>
      <c r="F29">
        <v>1</v>
      </c>
      <c r="G29">
        <v>3</v>
      </c>
      <c r="H29">
        <v>1</v>
      </c>
      <c r="J29">
        <v>1</v>
      </c>
      <c r="K29" t="s">
        <v>1032</v>
      </c>
      <c r="L29">
        <v>2030</v>
      </c>
      <c r="M29">
        <v>1</v>
      </c>
      <c r="N29" t="s">
        <v>1563</v>
      </c>
      <c r="O29" t="s">
        <v>429</v>
      </c>
      <c r="P29" t="s">
        <v>572</v>
      </c>
      <c r="Q29">
        <v>0.65</v>
      </c>
      <c r="R29" t="s">
        <v>573</v>
      </c>
      <c r="S29" t="s">
        <v>363</v>
      </c>
      <c r="T29">
        <v>2</v>
      </c>
      <c r="U29" t="s">
        <v>433</v>
      </c>
      <c r="W29" t="s">
        <v>416</v>
      </c>
      <c r="Y29">
        <v>7.2</v>
      </c>
      <c r="Z29" t="e">
        <v>#NAME?</v>
      </c>
      <c r="AE29" t="s">
        <v>309</v>
      </c>
    </row>
    <row r="30" spans="1:42">
      <c r="A30" t="s">
        <v>403</v>
      </c>
      <c r="C30" t="s">
        <v>396</v>
      </c>
      <c r="D30" t="s">
        <v>102</v>
      </c>
      <c r="E30">
        <v>2023</v>
      </c>
      <c r="F30">
        <v>1</v>
      </c>
      <c r="G30">
        <v>3</v>
      </c>
      <c r="H30">
        <v>1</v>
      </c>
      <c r="J30">
        <v>1</v>
      </c>
      <c r="K30" t="s">
        <v>574</v>
      </c>
      <c r="L30">
        <v>2030</v>
      </c>
      <c r="M30">
        <v>1</v>
      </c>
      <c r="O30" t="s">
        <v>465</v>
      </c>
      <c r="P30" t="s">
        <v>575</v>
      </c>
      <c r="Q30" t="s">
        <v>576</v>
      </c>
      <c r="R30" t="s">
        <v>1564</v>
      </c>
      <c r="S30" t="s">
        <v>330</v>
      </c>
      <c r="T30">
        <v>2</v>
      </c>
      <c r="W30" t="s">
        <v>395</v>
      </c>
      <c r="Y30">
        <v>7.2</v>
      </c>
      <c r="Z30" t="e">
        <v>#NAME?</v>
      </c>
      <c r="AA30" t="s">
        <v>201</v>
      </c>
      <c r="AB30" t="s">
        <v>578</v>
      </c>
      <c r="AE30" t="s">
        <v>309</v>
      </c>
    </row>
    <row r="31" spans="1:42">
      <c r="A31" t="s">
        <v>403</v>
      </c>
      <c r="B31" t="s">
        <v>462</v>
      </c>
      <c r="C31" t="s">
        <v>511</v>
      </c>
      <c r="D31" t="s">
        <v>102</v>
      </c>
      <c r="E31">
        <v>2023</v>
      </c>
      <c r="F31">
        <v>1</v>
      </c>
      <c r="G31">
        <v>3</v>
      </c>
      <c r="H31">
        <v>1</v>
      </c>
      <c r="J31">
        <v>1</v>
      </c>
      <c r="K31" t="s">
        <v>595</v>
      </c>
      <c r="L31">
        <v>2030</v>
      </c>
      <c r="M31">
        <v>1</v>
      </c>
      <c r="O31" t="s">
        <v>465</v>
      </c>
      <c r="P31" t="s">
        <v>596</v>
      </c>
      <c r="Q31">
        <v>0.03</v>
      </c>
      <c r="R31" t="s">
        <v>597</v>
      </c>
      <c r="S31" t="s">
        <v>330</v>
      </c>
      <c r="T31">
        <v>2</v>
      </c>
      <c r="U31" t="s">
        <v>498</v>
      </c>
      <c r="W31" t="s">
        <v>332</v>
      </c>
      <c r="X31" t="s">
        <v>395</v>
      </c>
      <c r="Y31">
        <v>7.3</v>
      </c>
      <c r="Z31" t="e">
        <v>#NAME?</v>
      </c>
      <c r="AB31" t="s">
        <v>499</v>
      </c>
      <c r="AJ31" t="s">
        <v>309</v>
      </c>
    </row>
    <row r="32" spans="1:42">
      <c r="A32" t="s">
        <v>403</v>
      </c>
      <c r="B32" t="s">
        <v>462</v>
      </c>
      <c r="C32" t="s">
        <v>511</v>
      </c>
      <c r="D32" t="s">
        <v>102</v>
      </c>
      <c r="E32">
        <v>2023</v>
      </c>
      <c r="F32">
        <v>1</v>
      </c>
      <c r="G32">
        <v>3</v>
      </c>
      <c r="H32">
        <v>1</v>
      </c>
      <c r="J32">
        <v>1</v>
      </c>
      <c r="K32" t="s">
        <v>587</v>
      </c>
      <c r="L32">
        <v>2030</v>
      </c>
      <c r="M32">
        <v>1</v>
      </c>
      <c r="O32" t="s">
        <v>465</v>
      </c>
      <c r="P32" t="s">
        <v>588</v>
      </c>
      <c r="Q32">
        <v>1.9E-2</v>
      </c>
      <c r="R32" t="s">
        <v>589</v>
      </c>
      <c r="S32" t="s">
        <v>330</v>
      </c>
      <c r="T32">
        <v>2</v>
      </c>
      <c r="U32" t="s">
        <v>498</v>
      </c>
      <c r="W32" t="s">
        <v>468</v>
      </c>
      <c r="Y32">
        <v>7.3</v>
      </c>
      <c r="Z32" t="e">
        <v>#NAME?</v>
      </c>
      <c r="AA32" t="s">
        <v>197</v>
      </c>
      <c r="AB32" t="s">
        <v>590</v>
      </c>
      <c r="AE32" t="s">
        <v>309</v>
      </c>
    </row>
    <row r="33" spans="1:36" ht="144">
      <c r="A33" t="s">
        <v>403</v>
      </c>
      <c r="B33" t="s">
        <v>462</v>
      </c>
      <c r="C33" t="s">
        <v>511</v>
      </c>
      <c r="D33" t="s">
        <v>102</v>
      </c>
      <c r="E33">
        <v>2023</v>
      </c>
      <c r="F33">
        <v>1</v>
      </c>
      <c r="G33">
        <v>3</v>
      </c>
      <c r="H33">
        <v>1</v>
      </c>
      <c r="J33">
        <v>1</v>
      </c>
      <c r="K33" t="s">
        <v>515</v>
      </c>
      <c r="L33">
        <v>2030</v>
      </c>
      <c r="M33">
        <v>1</v>
      </c>
      <c r="O33" t="s">
        <v>465</v>
      </c>
      <c r="P33" t="s">
        <v>516</v>
      </c>
      <c r="Q33" t="s">
        <v>517</v>
      </c>
      <c r="R33" s="234" t="s">
        <v>1565</v>
      </c>
      <c r="S33" t="s">
        <v>519</v>
      </c>
      <c r="T33">
        <v>2</v>
      </c>
      <c r="U33" t="s">
        <v>331</v>
      </c>
      <c r="W33" t="s">
        <v>468</v>
      </c>
      <c r="Y33">
        <v>7.3</v>
      </c>
      <c r="Z33" t="e">
        <v>#NAME?</v>
      </c>
      <c r="AA33" t="s">
        <v>201</v>
      </c>
      <c r="AB33" t="s">
        <v>520</v>
      </c>
      <c r="AE33" t="s">
        <v>309</v>
      </c>
    </row>
    <row r="34" spans="1:36">
      <c r="A34" t="s">
        <v>403</v>
      </c>
      <c r="C34" t="s">
        <v>511</v>
      </c>
      <c r="D34" t="s">
        <v>102</v>
      </c>
      <c r="E34">
        <v>2023</v>
      </c>
      <c r="F34">
        <v>1</v>
      </c>
      <c r="G34">
        <v>3</v>
      </c>
      <c r="H34">
        <v>1</v>
      </c>
      <c r="J34">
        <v>1</v>
      </c>
      <c r="K34" t="s">
        <v>513</v>
      </c>
      <c r="L34">
        <v>2030</v>
      </c>
      <c r="M34">
        <v>1</v>
      </c>
      <c r="O34" t="s">
        <v>465</v>
      </c>
      <c r="R34" t="s">
        <v>1566</v>
      </c>
      <c r="S34" t="s">
        <v>330</v>
      </c>
      <c r="T34">
        <v>2</v>
      </c>
      <c r="Y34">
        <v>7.3</v>
      </c>
      <c r="Z34" t="e">
        <v>#NAME?</v>
      </c>
    </row>
    <row r="35" spans="1:36">
      <c r="A35" t="s">
        <v>403</v>
      </c>
      <c r="B35" t="s">
        <v>462</v>
      </c>
      <c r="C35" t="s">
        <v>511</v>
      </c>
      <c r="D35" t="s">
        <v>102</v>
      </c>
      <c r="E35">
        <v>2023</v>
      </c>
      <c r="F35">
        <v>1</v>
      </c>
      <c r="G35">
        <v>3</v>
      </c>
      <c r="H35">
        <v>1</v>
      </c>
      <c r="J35">
        <v>1</v>
      </c>
      <c r="K35" t="s">
        <v>512</v>
      </c>
      <c r="L35">
        <v>2030</v>
      </c>
      <c r="M35">
        <v>1</v>
      </c>
      <c r="O35" t="s">
        <v>465</v>
      </c>
      <c r="R35" t="s">
        <v>329</v>
      </c>
      <c r="S35" t="s">
        <v>330</v>
      </c>
      <c r="T35">
        <v>2</v>
      </c>
      <c r="Y35">
        <v>7.3</v>
      </c>
      <c r="Z35" t="e">
        <v>#NAME?</v>
      </c>
    </row>
    <row r="36" spans="1:36">
      <c r="A36" t="s">
        <v>403</v>
      </c>
      <c r="B36" t="s">
        <v>462</v>
      </c>
      <c r="C36" t="s">
        <v>324</v>
      </c>
      <c r="D36" t="s">
        <v>321</v>
      </c>
      <c r="E36">
        <v>2020</v>
      </c>
      <c r="F36">
        <v>0</v>
      </c>
      <c r="G36">
        <v>1</v>
      </c>
      <c r="H36">
        <v>0</v>
      </c>
      <c r="I36">
        <v>0</v>
      </c>
      <c r="J36">
        <v>1</v>
      </c>
      <c r="K36" t="s">
        <v>500</v>
      </c>
      <c r="L36">
        <v>2030</v>
      </c>
      <c r="M36">
        <v>1</v>
      </c>
      <c r="O36" t="s">
        <v>465</v>
      </c>
      <c r="P36" t="s">
        <v>501</v>
      </c>
      <c r="Q36" t="s">
        <v>502</v>
      </c>
      <c r="R36" t="s">
        <v>1567</v>
      </c>
      <c r="S36" t="s">
        <v>330</v>
      </c>
      <c r="T36">
        <v>2</v>
      </c>
      <c r="U36" t="s">
        <v>498</v>
      </c>
      <c r="W36" t="s">
        <v>332</v>
      </c>
      <c r="X36" t="s">
        <v>468</v>
      </c>
      <c r="Y36">
        <v>7.3</v>
      </c>
      <c r="Z36" t="e">
        <v>#NAME?</v>
      </c>
      <c r="AB36" t="s">
        <v>499</v>
      </c>
      <c r="AE36" t="s">
        <v>310</v>
      </c>
      <c r="AJ36" t="s">
        <v>309</v>
      </c>
    </row>
    <row r="37" spans="1:36">
      <c r="A37" t="s">
        <v>403</v>
      </c>
      <c r="B37" t="s">
        <v>462</v>
      </c>
      <c r="C37" t="s">
        <v>463</v>
      </c>
      <c r="D37" t="s">
        <v>101</v>
      </c>
      <c r="E37">
        <v>2021</v>
      </c>
      <c r="F37">
        <v>0</v>
      </c>
      <c r="G37">
        <v>2</v>
      </c>
      <c r="H37">
        <v>0</v>
      </c>
      <c r="I37">
        <v>1</v>
      </c>
      <c r="J37">
        <v>1</v>
      </c>
      <c r="K37" t="s">
        <v>495</v>
      </c>
      <c r="L37">
        <v>2030</v>
      </c>
      <c r="M37">
        <v>1</v>
      </c>
      <c r="O37" t="s">
        <v>465</v>
      </c>
      <c r="P37" t="s">
        <v>496</v>
      </c>
      <c r="Q37" t="s">
        <v>497</v>
      </c>
      <c r="R37" t="s">
        <v>329</v>
      </c>
      <c r="S37" t="s">
        <v>330</v>
      </c>
      <c r="T37">
        <v>2</v>
      </c>
      <c r="U37" t="s">
        <v>498</v>
      </c>
      <c r="W37" t="s">
        <v>332</v>
      </c>
      <c r="X37" t="s">
        <v>468</v>
      </c>
      <c r="Y37">
        <v>7.3</v>
      </c>
      <c r="Z37" t="e">
        <v>#NAME?</v>
      </c>
      <c r="AB37" t="s">
        <v>499</v>
      </c>
      <c r="AE37" t="s">
        <v>310</v>
      </c>
      <c r="AJ37" t="s">
        <v>309</v>
      </c>
    </row>
    <row r="38" spans="1:36">
      <c r="A38" t="s">
        <v>403</v>
      </c>
      <c r="B38" t="s">
        <v>409</v>
      </c>
      <c r="C38" t="s">
        <v>410</v>
      </c>
      <c r="D38" t="s">
        <v>321</v>
      </c>
      <c r="E38">
        <v>2020</v>
      </c>
      <c r="F38">
        <v>0</v>
      </c>
      <c r="G38">
        <v>1</v>
      </c>
      <c r="H38">
        <v>0</v>
      </c>
      <c r="I38">
        <v>0</v>
      </c>
      <c r="J38">
        <v>1</v>
      </c>
      <c r="K38" t="s">
        <v>419</v>
      </c>
      <c r="L38">
        <v>2030</v>
      </c>
      <c r="M38">
        <v>1</v>
      </c>
      <c r="O38" t="s">
        <v>412</v>
      </c>
      <c r="P38" t="s">
        <v>420</v>
      </c>
      <c r="Q38" t="s">
        <v>421</v>
      </c>
      <c r="R38" t="s">
        <v>1568</v>
      </c>
      <c r="T38">
        <v>2</v>
      </c>
      <c r="W38" t="s">
        <v>416</v>
      </c>
      <c r="Y38">
        <v>7.2</v>
      </c>
      <c r="Z38" t="e">
        <v>#NAME?</v>
      </c>
      <c r="AA38" t="s">
        <v>417</v>
      </c>
      <c r="AB38" t="s">
        <v>418</v>
      </c>
      <c r="AE38" t="s">
        <v>309</v>
      </c>
    </row>
    <row r="39" spans="1:36">
      <c r="A39" t="s">
        <v>403</v>
      </c>
      <c r="B39" t="s">
        <v>409</v>
      </c>
      <c r="C39" t="s">
        <v>410</v>
      </c>
      <c r="D39" t="s">
        <v>321</v>
      </c>
      <c r="E39">
        <v>2020</v>
      </c>
      <c r="F39">
        <v>0</v>
      </c>
      <c r="G39">
        <v>1</v>
      </c>
      <c r="H39">
        <v>0</v>
      </c>
      <c r="I39">
        <v>0</v>
      </c>
      <c r="J39">
        <v>1</v>
      </c>
      <c r="K39" t="s">
        <v>411</v>
      </c>
      <c r="L39">
        <v>2030</v>
      </c>
      <c r="M39">
        <v>1</v>
      </c>
      <c r="O39" t="s">
        <v>412</v>
      </c>
      <c r="P39" t="s">
        <v>413</v>
      </c>
      <c r="Q39" t="s">
        <v>414</v>
      </c>
      <c r="R39" t="s">
        <v>1569</v>
      </c>
      <c r="T39">
        <v>2</v>
      </c>
      <c r="W39" t="s">
        <v>416</v>
      </c>
      <c r="Y39">
        <v>7.2</v>
      </c>
      <c r="Z39" t="e">
        <v>#NAME?</v>
      </c>
      <c r="AA39" t="s">
        <v>417</v>
      </c>
      <c r="AB39" t="s">
        <v>418</v>
      </c>
      <c r="AE39" t="s">
        <v>309</v>
      </c>
    </row>
    <row r="40" spans="1:36">
      <c r="A40" t="s">
        <v>403</v>
      </c>
      <c r="C40" t="s">
        <v>389</v>
      </c>
      <c r="D40" t="s">
        <v>101</v>
      </c>
      <c r="E40">
        <v>2022</v>
      </c>
      <c r="F40">
        <v>0</v>
      </c>
      <c r="G40">
        <v>2</v>
      </c>
      <c r="H40">
        <v>0</v>
      </c>
      <c r="I40">
        <v>1</v>
      </c>
      <c r="J40">
        <v>1</v>
      </c>
      <c r="K40" t="s">
        <v>390</v>
      </c>
      <c r="L40">
        <v>2040</v>
      </c>
      <c r="M40">
        <v>1</v>
      </c>
      <c r="N40" t="s">
        <v>391</v>
      </c>
      <c r="O40" t="s">
        <v>392</v>
      </c>
      <c r="R40" t="s">
        <v>393</v>
      </c>
      <c r="S40" t="s">
        <v>1004</v>
      </c>
      <c r="T40">
        <v>3</v>
      </c>
      <c r="U40" t="s">
        <v>331</v>
      </c>
      <c r="W40" t="s">
        <v>395</v>
      </c>
      <c r="Y40">
        <v>13.2</v>
      </c>
      <c r="Z40" t="e">
        <v>#NAME?</v>
      </c>
      <c r="AE40" t="s">
        <v>309</v>
      </c>
    </row>
    <row r="41" spans="1:36">
      <c r="A41" t="s">
        <v>403</v>
      </c>
      <c r="B41" t="s">
        <v>426</v>
      </c>
      <c r="C41" t="s">
        <v>427</v>
      </c>
      <c r="D41" t="s">
        <v>321</v>
      </c>
      <c r="E41">
        <v>2020</v>
      </c>
      <c r="F41">
        <v>0</v>
      </c>
      <c r="G41">
        <v>1</v>
      </c>
      <c r="H41">
        <v>0</v>
      </c>
      <c r="I41">
        <v>0</v>
      </c>
      <c r="J41">
        <v>1</v>
      </c>
      <c r="K41" t="s">
        <v>428</v>
      </c>
      <c r="L41">
        <v>2030</v>
      </c>
      <c r="M41">
        <v>1</v>
      </c>
      <c r="O41" t="s">
        <v>429</v>
      </c>
      <c r="P41" t="s">
        <v>430</v>
      </c>
      <c r="Q41" t="s">
        <v>431</v>
      </c>
      <c r="R41" t="s">
        <v>1571</v>
      </c>
      <c r="S41" t="s">
        <v>363</v>
      </c>
      <c r="T41">
        <v>3</v>
      </c>
      <c r="U41" t="s">
        <v>433</v>
      </c>
      <c r="V41" t="s">
        <v>434</v>
      </c>
      <c r="W41" t="s">
        <v>416</v>
      </c>
      <c r="Y41">
        <v>7.2</v>
      </c>
      <c r="Z41" t="e">
        <v>#NAME?</v>
      </c>
      <c r="AE41" t="s">
        <v>309</v>
      </c>
    </row>
    <row r="42" spans="1:36">
      <c r="A42" t="s">
        <v>403</v>
      </c>
      <c r="C42" t="s">
        <v>396</v>
      </c>
      <c r="D42" t="s">
        <v>102</v>
      </c>
      <c r="E42">
        <v>2023</v>
      </c>
      <c r="F42">
        <v>1</v>
      </c>
      <c r="G42">
        <v>3</v>
      </c>
      <c r="H42">
        <v>1</v>
      </c>
      <c r="J42">
        <v>1</v>
      </c>
      <c r="K42" t="s">
        <v>553</v>
      </c>
      <c r="L42">
        <v>2030</v>
      </c>
      <c r="M42">
        <v>1</v>
      </c>
      <c r="O42" t="s">
        <v>429</v>
      </c>
      <c r="Y42">
        <v>7.2</v>
      </c>
      <c r="Z42" t="e">
        <v>#NAME?</v>
      </c>
    </row>
    <row r="43" spans="1:36">
      <c r="A43" t="s">
        <v>403</v>
      </c>
      <c r="C43" t="s">
        <v>396</v>
      </c>
      <c r="D43" t="s">
        <v>102</v>
      </c>
      <c r="E43">
        <v>2023</v>
      </c>
      <c r="F43">
        <v>1</v>
      </c>
      <c r="G43">
        <v>3</v>
      </c>
      <c r="H43">
        <v>1</v>
      </c>
      <c r="J43">
        <v>1</v>
      </c>
      <c r="K43" t="s">
        <v>554</v>
      </c>
      <c r="L43">
        <v>2030</v>
      </c>
      <c r="M43">
        <v>1</v>
      </c>
      <c r="O43" t="s">
        <v>465</v>
      </c>
      <c r="Y43">
        <v>7.2</v>
      </c>
      <c r="Z43" t="e">
        <v>#NAME?</v>
      </c>
    </row>
    <row r="44" spans="1:36">
      <c r="A44" t="s">
        <v>403</v>
      </c>
      <c r="B44" t="s">
        <v>462</v>
      </c>
      <c r="C44" t="s">
        <v>463</v>
      </c>
      <c r="D44" t="s">
        <v>101</v>
      </c>
      <c r="E44">
        <v>2021</v>
      </c>
      <c r="F44">
        <v>0</v>
      </c>
      <c r="G44">
        <v>2</v>
      </c>
      <c r="H44">
        <v>0</v>
      </c>
      <c r="I44">
        <v>1</v>
      </c>
      <c r="J44">
        <v>1</v>
      </c>
      <c r="K44" t="s">
        <v>488</v>
      </c>
      <c r="L44">
        <v>2030</v>
      </c>
      <c r="M44">
        <v>1</v>
      </c>
      <c r="O44" t="s">
        <v>465</v>
      </c>
      <c r="P44" t="s">
        <v>489</v>
      </c>
      <c r="Q44">
        <v>1</v>
      </c>
      <c r="R44" t="s">
        <v>467</v>
      </c>
      <c r="W44" t="s">
        <v>332</v>
      </c>
      <c r="X44" t="s">
        <v>468</v>
      </c>
      <c r="Y44">
        <v>7.3</v>
      </c>
      <c r="Z44" t="e">
        <v>#NAME?</v>
      </c>
      <c r="AE44" t="s">
        <v>310</v>
      </c>
      <c r="AJ44" t="s">
        <v>309</v>
      </c>
    </row>
    <row r="45" spans="1:36">
      <c r="A45" t="s">
        <v>403</v>
      </c>
      <c r="B45" t="s">
        <v>462</v>
      </c>
      <c r="C45" t="s">
        <v>463</v>
      </c>
      <c r="D45" t="s">
        <v>101</v>
      </c>
      <c r="E45">
        <v>2021</v>
      </c>
      <c r="F45">
        <v>0</v>
      </c>
      <c r="G45">
        <v>2</v>
      </c>
      <c r="H45">
        <v>0</v>
      </c>
      <c r="I45">
        <v>1</v>
      </c>
      <c r="J45">
        <v>1</v>
      </c>
      <c r="K45" t="s">
        <v>481</v>
      </c>
      <c r="L45">
        <v>2030</v>
      </c>
      <c r="M45">
        <v>1</v>
      </c>
      <c r="O45" t="s">
        <v>465</v>
      </c>
      <c r="P45" t="s">
        <v>482</v>
      </c>
      <c r="Q45">
        <v>1</v>
      </c>
      <c r="R45" t="s">
        <v>467</v>
      </c>
      <c r="W45" t="s">
        <v>332</v>
      </c>
      <c r="X45" t="s">
        <v>468</v>
      </c>
      <c r="Y45">
        <v>7.3</v>
      </c>
      <c r="Z45" t="e">
        <v>#NAME?</v>
      </c>
      <c r="AE45" t="s">
        <v>310</v>
      </c>
      <c r="AJ45" t="s">
        <v>309</v>
      </c>
    </row>
    <row r="46" spans="1:36">
      <c r="A46" t="s">
        <v>403</v>
      </c>
      <c r="B46" t="s">
        <v>462</v>
      </c>
      <c r="C46" t="s">
        <v>463</v>
      </c>
      <c r="D46" t="s">
        <v>101</v>
      </c>
      <c r="E46">
        <v>2021</v>
      </c>
      <c r="F46">
        <v>0</v>
      </c>
      <c r="G46">
        <v>2</v>
      </c>
      <c r="H46">
        <v>0</v>
      </c>
      <c r="I46">
        <v>1</v>
      </c>
      <c r="J46">
        <v>1</v>
      </c>
      <c r="K46" t="s">
        <v>477</v>
      </c>
      <c r="L46">
        <v>2050</v>
      </c>
      <c r="M46">
        <v>1</v>
      </c>
      <c r="O46" t="s">
        <v>326</v>
      </c>
      <c r="P46" t="s">
        <v>478</v>
      </c>
      <c r="Q46">
        <v>1</v>
      </c>
      <c r="R46" t="s">
        <v>467</v>
      </c>
      <c r="W46" t="s">
        <v>332</v>
      </c>
      <c r="X46" t="s">
        <v>468</v>
      </c>
      <c r="Y46">
        <v>7.3</v>
      </c>
      <c r="Z46" t="e">
        <v>#NAME?</v>
      </c>
      <c r="AE46" t="s">
        <v>310</v>
      </c>
      <c r="AJ46" t="s">
        <v>309</v>
      </c>
    </row>
    <row r="47" spans="1:36">
      <c r="A47" t="s">
        <v>403</v>
      </c>
      <c r="B47" t="s">
        <v>462</v>
      </c>
      <c r="C47" t="s">
        <v>463</v>
      </c>
      <c r="D47" t="s">
        <v>101</v>
      </c>
      <c r="E47">
        <v>2021</v>
      </c>
      <c r="F47">
        <v>0</v>
      </c>
      <c r="G47">
        <v>2</v>
      </c>
      <c r="H47">
        <v>0</v>
      </c>
      <c r="I47">
        <v>1</v>
      </c>
      <c r="J47">
        <v>1</v>
      </c>
      <c r="K47" t="s">
        <v>475</v>
      </c>
      <c r="L47">
        <v>2030</v>
      </c>
      <c r="M47">
        <v>1</v>
      </c>
      <c r="O47" t="s">
        <v>465</v>
      </c>
      <c r="P47" t="s">
        <v>476</v>
      </c>
      <c r="Q47">
        <v>1</v>
      </c>
      <c r="R47" t="s">
        <v>467</v>
      </c>
      <c r="W47" t="s">
        <v>332</v>
      </c>
      <c r="X47" t="s">
        <v>468</v>
      </c>
      <c r="Y47">
        <v>7.2</v>
      </c>
      <c r="Z47" t="e">
        <v>#NAME?</v>
      </c>
      <c r="AE47" t="s">
        <v>310</v>
      </c>
      <c r="AJ47" t="s">
        <v>309</v>
      </c>
    </row>
    <row r="48" spans="1:36">
      <c r="A48" t="s">
        <v>403</v>
      </c>
      <c r="B48" t="s">
        <v>462</v>
      </c>
      <c r="C48" t="s">
        <v>463</v>
      </c>
      <c r="D48" t="s">
        <v>101</v>
      </c>
      <c r="E48">
        <v>2021</v>
      </c>
      <c r="F48">
        <v>0</v>
      </c>
      <c r="G48">
        <v>2</v>
      </c>
      <c r="H48">
        <v>0</v>
      </c>
      <c r="I48">
        <v>1</v>
      </c>
      <c r="J48">
        <v>1</v>
      </c>
      <c r="K48" t="s">
        <v>1572</v>
      </c>
      <c r="L48">
        <v>2030</v>
      </c>
      <c r="M48">
        <v>1</v>
      </c>
      <c r="O48" t="s">
        <v>465</v>
      </c>
      <c r="P48" t="s">
        <v>466</v>
      </c>
      <c r="R48" t="s">
        <v>467</v>
      </c>
      <c r="W48" t="s">
        <v>332</v>
      </c>
      <c r="X48" t="s">
        <v>468</v>
      </c>
      <c r="Y48">
        <v>7.3</v>
      </c>
      <c r="Z48" t="e">
        <v>#NAME?</v>
      </c>
      <c r="AE48" t="s">
        <v>310</v>
      </c>
      <c r="AJ48" t="s">
        <v>309</v>
      </c>
    </row>
    <row r="49" spans="1:41">
      <c r="A49" t="s">
        <v>598</v>
      </c>
      <c r="B49" t="s">
        <v>740</v>
      </c>
      <c r="C49" t="s">
        <v>742</v>
      </c>
      <c r="D49" t="s">
        <v>110</v>
      </c>
      <c r="E49">
        <v>2023</v>
      </c>
      <c r="F49">
        <v>0</v>
      </c>
      <c r="G49">
        <v>2</v>
      </c>
      <c r="H49">
        <v>0</v>
      </c>
      <c r="I49">
        <v>1</v>
      </c>
      <c r="J49">
        <v>1</v>
      </c>
      <c r="K49" t="s">
        <v>743</v>
      </c>
      <c r="L49">
        <v>2040</v>
      </c>
      <c r="M49">
        <v>1</v>
      </c>
      <c r="O49" t="s">
        <v>744</v>
      </c>
      <c r="R49" t="s">
        <v>1769</v>
      </c>
      <c r="T49">
        <v>0</v>
      </c>
      <c r="U49" t="s">
        <v>331</v>
      </c>
      <c r="W49" t="s">
        <v>401</v>
      </c>
      <c r="Y49">
        <v>12.2</v>
      </c>
      <c r="Z49" t="e">
        <v>#NAME?</v>
      </c>
    </row>
    <row r="50" spans="1:41" ht="409.6">
      <c r="A50" t="s">
        <v>598</v>
      </c>
      <c r="B50" t="s">
        <v>706</v>
      </c>
      <c r="C50" t="s">
        <v>707</v>
      </c>
      <c r="D50" t="s">
        <v>298</v>
      </c>
      <c r="E50">
        <v>2023</v>
      </c>
      <c r="F50">
        <v>1</v>
      </c>
      <c r="G50">
        <v>3</v>
      </c>
      <c r="H50">
        <v>1</v>
      </c>
      <c r="J50">
        <v>1</v>
      </c>
      <c r="K50" s="234" t="s">
        <v>732</v>
      </c>
      <c r="L50">
        <v>2023</v>
      </c>
      <c r="M50">
        <v>1</v>
      </c>
      <c r="N50" t="s">
        <v>733</v>
      </c>
      <c r="O50" t="s">
        <v>709</v>
      </c>
      <c r="P50" t="s">
        <v>734</v>
      </c>
      <c r="Q50" t="s">
        <v>735</v>
      </c>
      <c r="R50" s="234" t="s">
        <v>1573</v>
      </c>
      <c r="T50">
        <v>0</v>
      </c>
      <c r="U50" t="s">
        <v>331</v>
      </c>
      <c r="W50" t="s">
        <v>711</v>
      </c>
      <c r="X50" t="s">
        <v>623</v>
      </c>
      <c r="Y50">
        <v>12.6</v>
      </c>
      <c r="Z50" t="e">
        <v>#NAME?</v>
      </c>
      <c r="AO50" t="s">
        <v>309</v>
      </c>
    </row>
    <row r="51" spans="1:41">
      <c r="A51" t="s">
        <v>598</v>
      </c>
      <c r="B51" t="s">
        <v>706</v>
      </c>
      <c r="C51" t="s">
        <v>707</v>
      </c>
      <c r="D51" t="s">
        <v>298</v>
      </c>
      <c r="E51">
        <v>2023</v>
      </c>
      <c r="F51">
        <v>1</v>
      </c>
      <c r="G51">
        <v>3</v>
      </c>
      <c r="H51">
        <v>1</v>
      </c>
      <c r="J51">
        <v>1</v>
      </c>
      <c r="K51" t="s">
        <v>728</v>
      </c>
      <c r="L51">
        <v>2028</v>
      </c>
      <c r="M51">
        <v>1</v>
      </c>
      <c r="O51" t="s">
        <v>709</v>
      </c>
      <c r="P51" t="s">
        <v>729</v>
      </c>
      <c r="Q51" t="s">
        <v>730</v>
      </c>
      <c r="R51" t="s">
        <v>731</v>
      </c>
      <c r="T51">
        <v>0</v>
      </c>
      <c r="U51" t="s">
        <v>331</v>
      </c>
      <c r="W51" t="s">
        <v>711</v>
      </c>
      <c r="X51" t="s">
        <v>623</v>
      </c>
      <c r="Y51">
        <v>12.6</v>
      </c>
      <c r="Z51" t="e">
        <v>#NAME?</v>
      </c>
    </row>
    <row r="52" spans="1:41" ht="365">
      <c r="A52" t="s">
        <v>598</v>
      </c>
      <c r="B52" t="s">
        <v>706</v>
      </c>
      <c r="C52" t="s">
        <v>707</v>
      </c>
      <c r="D52" t="s">
        <v>298</v>
      </c>
      <c r="E52">
        <v>2023</v>
      </c>
      <c r="F52">
        <v>1</v>
      </c>
      <c r="G52">
        <v>3</v>
      </c>
      <c r="H52">
        <v>1</v>
      </c>
      <c r="J52">
        <v>1</v>
      </c>
      <c r="K52" s="234" t="s">
        <v>724</v>
      </c>
      <c r="L52">
        <v>2031</v>
      </c>
      <c r="M52">
        <v>1</v>
      </c>
      <c r="O52" t="s">
        <v>709</v>
      </c>
      <c r="P52" t="s">
        <v>725</v>
      </c>
      <c r="Q52" t="s">
        <v>726</v>
      </c>
      <c r="R52" t="s">
        <v>727</v>
      </c>
      <c r="T52">
        <v>0</v>
      </c>
      <c r="U52" t="s">
        <v>331</v>
      </c>
      <c r="W52" t="s">
        <v>711</v>
      </c>
      <c r="X52" t="s">
        <v>623</v>
      </c>
      <c r="Y52">
        <v>12.5</v>
      </c>
      <c r="Z52" t="e">
        <v>#NAME?</v>
      </c>
    </row>
    <row r="53" spans="1:41" ht="350">
      <c r="A53" t="s">
        <v>598</v>
      </c>
      <c r="B53" t="s">
        <v>706</v>
      </c>
      <c r="C53" t="s">
        <v>707</v>
      </c>
      <c r="D53" t="s">
        <v>298</v>
      </c>
      <c r="E53">
        <v>2023</v>
      </c>
      <c r="F53">
        <v>1</v>
      </c>
      <c r="G53">
        <v>3</v>
      </c>
      <c r="H53">
        <v>1</v>
      </c>
      <c r="J53">
        <v>1</v>
      </c>
      <c r="K53" s="234" t="s">
        <v>720</v>
      </c>
      <c r="L53">
        <v>2027</v>
      </c>
      <c r="M53">
        <v>1</v>
      </c>
      <c r="O53" t="s">
        <v>709</v>
      </c>
      <c r="P53" t="s">
        <v>721</v>
      </c>
      <c r="Q53" t="s">
        <v>722</v>
      </c>
      <c r="R53" t="s">
        <v>723</v>
      </c>
      <c r="T53">
        <v>0</v>
      </c>
      <c r="U53" t="s">
        <v>331</v>
      </c>
      <c r="W53" t="s">
        <v>711</v>
      </c>
      <c r="X53" t="s">
        <v>623</v>
      </c>
      <c r="Y53">
        <v>12.5</v>
      </c>
      <c r="Z53" t="e">
        <v>#NAME?</v>
      </c>
    </row>
    <row r="54" spans="1:41">
      <c r="A54" t="s">
        <v>598</v>
      </c>
      <c r="B54" t="s">
        <v>599</v>
      </c>
      <c r="C54" t="s">
        <v>646</v>
      </c>
      <c r="D54" t="s">
        <v>110</v>
      </c>
      <c r="E54">
        <v>2022</v>
      </c>
      <c r="F54">
        <v>0</v>
      </c>
      <c r="G54">
        <v>2</v>
      </c>
      <c r="H54">
        <v>0</v>
      </c>
      <c r="I54">
        <v>1</v>
      </c>
      <c r="J54">
        <v>1</v>
      </c>
      <c r="K54" t="s">
        <v>688</v>
      </c>
      <c r="L54">
        <v>2030</v>
      </c>
      <c r="M54">
        <v>1</v>
      </c>
      <c r="N54" t="s">
        <v>689</v>
      </c>
      <c r="O54" t="s">
        <v>636</v>
      </c>
      <c r="P54" t="s">
        <v>690</v>
      </c>
      <c r="Q54" t="s">
        <v>691</v>
      </c>
      <c r="R54" t="s">
        <v>692</v>
      </c>
      <c r="T54">
        <v>0</v>
      </c>
      <c r="U54" t="s">
        <v>331</v>
      </c>
      <c r="W54" t="s">
        <v>623</v>
      </c>
      <c r="Y54">
        <v>12.5</v>
      </c>
      <c r="Z54" t="e">
        <v>#NAME?</v>
      </c>
      <c r="AA54" t="s">
        <v>197</v>
      </c>
      <c r="AB54" t="s">
        <v>675</v>
      </c>
      <c r="AO54" t="s">
        <v>309</v>
      </c>
    </row>
    <row r="55" spans="1:41">
      <c r="A55" t="s">
        <v>598</v>
      </c>
      <c r="B55" t="s">
        <v>768</v>
      </c>
      <c r="C55" t="s">
        <v>774</v>
      </c>
      <c r="D55" t="s">
        <v>321</v>
      </c>
      <c r="E55">
        <v>2020</v>
      </c>
      <c r="F55">
        <v>0</v>
      </c>
      <c r="G55">
        <v>1</v>
      </c>
      <c r="H55">
        <v>0</v>
      </c>
      <c r="I55">
        <v>0</v>
      </c>
      <c r="J55">
        <v>1</v>
      </c>
      <c r="K55" t="s">
        <v>775</v>
      </c>
      <c r="L55">
        <v>2030</v>
      </c>
      <c r="M55">
        <v>1</v>
      </c>
      <c r="O55" t="s">
        <v>602</v>
      </c>
      <c r="P55" t="s">
        <v>776</v>
      </c>
      <c r="Q55">
        <v>0.23400000000000001</v>
      </c>
      <c r="R55" t="s">
        <v>1770</v>
      </c>
      <c r="S55" t="s">
        <v>519</v>
      </c>
      <c r="T55">
        <v>1</v>
      </c>
      <c r="U55" t="s">
        <v>778</v>
      </c>
      <c r="V55" t="s">
        <v>779</v>
      </c>
      <c r="W55" t="s">
        <v>623</v>
      </c>
      <c r="Y55">
        <v>12.5</v>
      </c>
      <c r="Z55" t="e">
        <v>#NAME?</v>
      </c>
      <c r="AB55" t="s">
        <v>780</v>
      </c>
      <c r="AO55" t="s">
        <v>309</v>
      </c>
    </row>
    <row r="56" spans="1:41">
      <c r="A56" t="s">
        <v>598</v>
      </c>
      <c r="B56" t="s">
        <v>706</v>
      </c>
      <c r="C56" t="s">
        <v>707</v>
      </c>
      <c r="D56" t="s">
        <v>298</v>
      </c>
      <c r="E56">
        <v>2023</v>
      </c>
      <c r="F56">
        <v>1</v>
      </c>
      <c r="G56">
        <v>3</v>
      </c>
      <c r="H56">
        <v>1</v>
      </c>
      <c r="J56">
        <v>1</v>
      </c>
      <c r="K56" t="s">
        <v>737</v>
      </c>
      <c r="M56">
        <v>1</v>
      </c>
      <c r="O56" t="s">
        <v>709</v>
      </c>
      <c r="R56" t="s">
        <v>738</v>
      </c>
      <c r="T56">
        <v>1</v>
      </c>
      <c r="U56" t="s">
        <v>331</v>
      </c>
      <c r="W56" t="s">
        <v>711</v>
      </c>
      <c r="X56" t="s">
        <v>623</v>
      </c>
      <c r="Y56">
        <v>12.6</v>
      </c>
      <c r="Z56" t="e">
        <v>#NAME?</v>
      </c>
    </row>
    <row r="57" spans="1:41">
      <c r="A57" t="s">
        <v>598</v>
      </c>
      <c r="B57" t="s">
        <v>599</v>
      </c>
      <c r="C57" t="s">
        <v>646</v>
      </c>
      <c r="D57" t="s">
        <v>110</v>
      </c>
      <c r="E57">
        <v>2022</v>
      </c>
      <c r="F57">
        <v>0</v>
      </c>
      <c r="G57">
        <v>2</v>
      </c>
      <c r="H57">
        <v>0</v>
      </c>
      <c r="I57">
        <v>1</v>
      </c>
      <c r="J57">
        <v>1</v>
      </c>
      <c r="K57" t="s">
        <v>676</v>
      </c>
      <c r="L57">
        <v>2030</v>
      </c>
      <c r="M57">
        <v>1</v>
      </c>
      <c r="O57" t="s">
        <v>648</v>
      </c>
      <c r="P57" t="s">
        <v>677</v>
      </c>
      <c r="Q57" t="s">
        <v>678</v>
      </c>
      <c r="R57" t="s">
        <v>1574</v>
      </c>
      <c r="S57" t="s">
        <v>356</v>
      </c>
      <c r="T57">
        <v>1</v>
      </c>
      <c r="U57" t="s">
        <v>331</v>
      </c>
      <c r="W57" t="s">
        <v>606</v>
      </c>
      <c r="X57" t="s">
        <v>623</v>
      </c>
      <c r="Y57">
        <v>12.5</v>
      </c>
      <c r="Z57" t="e">
        <v>#NAME?</v>
      </c>
      <c r="AO57" t="s">
        <v>309</v>
      </c>
    </row>
    <row r="58" spans="1:41" ht="32">
      <c r="A58" t="s">
        <v>598</v>
      </c>
      <c r="B58" t="s">
        <v>768</v>
      </c>
      <c r="C58" t="s">
        <v>774</v>
      </c>
      <c r="D58" t="s">
        <v>321</v>
      </c>
      <c r="E58">
        <v>2020</v>
      </c>
      <c r="F58">
        <v>0</v>
      </c>
      <c r="G58">
        <v>1</v>
      </c>
      <c r="H58">
        <v>0</v>
      </c>
      <c r="I58">
        <v>0</v>
      </c>
      <c r="J58">
        <v>1</v>
      </c>
      <c r="K58" t="s">
        <v>787</v>
      </c>
      <c r="L58">
        <v>2030</v>
      </c>
      <c r="M58">
        <v>1</v>
      </c>
      <c r="O58" t="s">
        <v>602</v>
      </c>
      <c r="P58" t="s">
        <v>788</v>
      </c>
      <c r="Q58">
        <v>0.5</v>
      </c>
      <c r="R58" t="s">
        <v>1771</v>
      </c>
      <c r="S58" t="s">
        <v>519</v>
      </c>
      <c r="T58">
        <v>2</v>
      </c>
      <c r="U58" t="s">
        <v>784</v>
      </c>
      <c r="V58" s="234" t="s">
        <v>790</v>
      </c>
      <c r="W58" t="s">
        <v>606</v>
      </c>
      <c r="Y58">
        <v>11.6</v>
      </c>
      <c r="Z58" t="e">
        <v>#NAME?</v>
      </c>
      <c r="AA58" t="s">
        <v>197</v>
      </c>
      <c r="AB58" t="s">
        <v>624</v>
      </c>
      <c r="AC58" t="s">
        <v>791</v>
      </c>
      <c r="AO58" t="s">
        <v>309</v>
      </c>
    </row>
    <row r="59" spans="1:41">
      <c r="A59" t="s">
        <v>598</v>
      </c>
      <c r="B59" t="s">
        <v>768</v>
      </c>
      <c r="C59" t="s">
        <v>774</v>
      </c>
      <c r="D59" t="s">
        <v>321</v>
      </c>
      <c r="E59">
        <v>2020</v>
      </c>
      <c r="F59">
        <v>0</v>
      </c>
      <c r="G59">
        <v>1</v>
      </c>
      <c r="H59">
        <v>0</v>
      </c>
      <c r="I59">
        <v>0</v>
      </c>
      <c r="J59">
        <v>1</v>
      </c>
      <c r="K59" t="s">
        <v>781</v>
      </c>
      <c r="L59">
        <v>2035</v>
      </c>
      <c r="M59">
        <v>1</v>
      </c>
      <c r="O59" t="s">
        <v>602</v>
      </c>
      <c r="P59" t="s">
        <v>782</v>
      </c>
      <c r="Q59">
        <v>0.1</v>
      </c>
      <c r="R59" t="s">
        <v>1772</v>
      </c>
      <c r="T59">
        <v>2</v>
      </c>
      <c r="U59" t="s">
        <v>784</v>
      </c>
      <c r="V59" t="s">
        <v>785</v>
      </c>
      <c r="W59" t="s">
        <v>606</v>
      </c>
      <c r="Y59">
        <v>11.6</v>
      </c>
      <c r="Z59" t="e">
        <v>#NAME?</v>
      </c>
      <c r="AA59" t="s">
        <v>197</v>
      </c>
      <c r="AB59" t="s">
        <v>786</v>
      </c>
      <c r="AO59" t="s">
        <v>309</v>
      </c>
    </row>
    <row r="60" spans="1:41" ht="409.6">
      <c r="A60" t="s">
        <v>598</v>
      </c>
      <c r="B60" t="s">
        <v>740</v>
      </c>
      <c r="C60" t="s">
        <v>745</v>
      </c>
      <c r="D60" t="s">
        <v>110</v>
      </c>
      <c r="E60">
        <v>2023</v>
      </c>
      <c r="F60">
        <v>0</v>
      </c>
      <c r="G60">
        <v>2</v>
      </c>
      <c r="H60">
        <v>0</v>
      </c>
      <c r="I60">
        <v>1</v>
      </c>
      <c r="J60">
        <v>1</v>
      </c>
      <c r="K60" t="s">
        <v>762</v>
      </c>
      <c r="L60">
        <v>2030</v>
      </c>
      <c r="M60">
        <v>1</v>
      </c>
      <c r="N60" t="s">
        <v>763</v>
      </c>
      <c r="O60" t="s">
        <v>744</v>
      </c>
      <c r="P60" t="s">
        <v>764</v>
      </c>
      <c r="Q60">
        <v>0.1</v>
      </c>
      <c r="R60" s="234" t="s">
        <v>1773</v>
      </c>
      <c r="T60">
        <v>2</v>
      </c>
      <c r="U60" t="s">
        <v>498</v>
      </c>
      <c r="W60" t="s">
        <v>401</v>
      </c>
      <c r="Y60">
        <v>12.2</v>
      </c>
      <c r="Z60" t="e">
        <v>#NAME?</v>
      </c>
      <c r="AA60" t="s">
        <v>754</v>
      </c>
      <c r="AB60" t="s">
        <v>760</v>
      </c>
      <c r="AC60" t="s">
        <v>761</v>
      </c>
    </row>
    <row r="61" spans="1:41" ht="409.6">
      <c r="A61" t="s">
        <v>598</v>
      </c>
      <c r="B61" t="s">
        <v>740</v>
      </c>
      <c r="C61" t="s">
        <v>745</v>
      </c>
      <c r="D61" t="s">
        <v>110</v>
      </c>
      <c r="E61">
        <v>2023</v>
      </c>
      <c r="F61">
        <v>0</v>
      </c>
      <c r="G61">
        <v>2</v>
      </c>
      <c r="H61">
        <v>0</v>
      </c>
      <c r="I61">
        <v>1</v>
      </c>
      <c r="J61">
        <v>1</v>
      </c>
      <c r="K61" t="s">
        <v>756</v>
      </c>
      <c r="L61">
        <v>2030</v>
      </c>
      <c r="M61">
        <v>1</v>
      </c>
      <c r="N61" t="s">
        <v>757</v>
      </c>
      <c r="O61" t="s">
        <v>744</v>
      </c>
      <c r="P61" t="s">
        <v>758</v>
      </c>
      <c r="Q61">
        <v>0.4</v>
      </c>
      <c r="R61" s="234" t="s">
        <v>1774</v>
      </c>
      <c r="T61">
        <v>2</v>
      </c>
      <c r="U61" t="s">
        <v>331</v>
      </c>
      <c r="W61" t="s">
        <v>401</v>
      </c>
      <c r="Y61">
        <v>12.2</v>
      </c>
      <c r="Z61" t="e">
        <v>#NAME?</v>
      </c>
      <c r="AA61" t="s">
        <v>754</v>
      </c>
      <c r="AB61" t="s">
        <v>760</v>
      </c>
      <c r="AC61" t="s">
        <v>761</v>
      </c>
    </row>
    <row r="62" spans="1:41" ht="409.6">
      <c r="A62" t="s">
        <v>598</v>
      </c>
      <c r="B62" t="s">
        <v>740</v>
      </c>
      <c r="C62" t="s">
        <v>745</v>
      </c>
      <c r="D62" t="s">
        <v>110</v>
      </c>
      <c r="E62">
        <v>2023</v>
      </c>
      <c r="F62">
        <v>0</v>
      </c>
      <c r="G62">
        <v>2</v>
      </c>
      <c r="H62">
        <v>0</v>
      </c>
      <c r="I62">
        <v>1</v>
      </c>
      <c r="J62">
        <v>1</v>
      </c>
      <c r="K62" t="s">
        <v>750</v>
      </c>
      <c r="L62">
        <v>2030</v>
      </c>
      <c r="M62">
        <v>1</v>
      </c>
      <c r="N62" t="s">
        <v>751</v>
      </c>
      <c r="O62" t="s">
        <v>744</v>
      </c>
      <c r="P62" t="s">
        <v>752</v>
      </c>
      <c r="Q62">
        <v>0.15</v>
      </c>
      <c r="R62" s="234" t="s">
        <v>1775</v>
      </c>
      <c r="T62">
        <v>2</v>
      </c>
      <c r="U62" t="s">
        <v>331</v>
      </c>
      <c r="W62" t="s">
        <v>401</v>
      </c>
      <c r="X62" t="s">
        <v>623</v>
      </c>
      <c r="Y62">
        <v>12.2</v>
      </c>
      <c r="Z62" t="e">
        <v>#NAME?</v>
      </c>
      <c r="AA62" t="s">
        <v>754</v>
      </c>
      <c r="AB62" t="s">
        <v>755</v>
      </c>
    </row>
    <row r="63" spans="1:41">
      <c r="A63" t="s">
        <v>598</v>
      </c>
      <c r="B63" t="s">
        <v>740</v>
      </c>
      <c r="C63" t="s">
        <v>745</v>
      </c>
      <c r="D63" t="s">
        <v>110</v>
      </c>
      <c r="E63">
        <v>2023</v>
      </c>
      <c r="F63">
        <v>0</v>
      </c>
      <c r="G63">
        <v>2</v>
      </c>
      <c r="H63">
        <v>0</v>
      </c>
      <c r="I63">
        <v>1</v>
      </c>
      <c r="J63">
        <v>1</v>
      </c>
      <c r="K63" t="s">
        <v>746</v>
      </c>
      <c r="L63">
        <v>2030</v>
      </c>
      <c r="M63">
        <v>1</v>
      </c>
      <c r="O63" t="s">
        <v>744</v>
      </c>
      <c r="P63" t="s">
        <v>747</v>
      </c>
      <c r="Q63">
        <v>0.65</v>
      </c>
      <c r="R63" t="s">
        <v>1776</v>
      </c>
      <c r="T63">
        <v>2</v>
      </c>
      <c r="U63" t="s">
        <v>331</v>
      </c>
      <c r="W63" t="s">
        <v>401</v>
      </c>
      <c r="Y63">
        <v>12.2</v>
      </c>
      <c r="Z63" t="e">
        <v>#NAME?</v>
      </c>
      <c r="AA63" t="s">
        <v>749</v>
      </c>
    </row>
    <row r="64" spans="1:41" ht="409.6">
      <c r="A64" t="s">
        <v>598</v>
      </c>
      <c r="B64" t="s">
        <v>706</v>
      </c>
      <c r="C64" t="s">
        <v>707</v>
      </c>
      <c r="D64" t="s">
        <v>298</v>
      </c>
      <c r="E64">
        <v>2023</v>
      </c>
      <c r="F64">
        <v>1</v>
      </c>
      <c r="G64">
        <v>3</v>
      </c>
      <c r="H64">
        <v>1</v>
      </c>
      <c r="J64">
        <v>1</v>
      </c>
      <c r="K64" s="234" t="s">
        <v>715</v>
      </c>
      <c r="L64">
        <v>2030</v>
      </c>
      <c r="M64">
        <v>1</v>
      </c>
      <c r="O64" t="s">
        <v>709</v>
      </c>
      <c r="R64" t="s">
        <v>716</v>
      </c>
      <c r="T64">
        <v>2</v>
      </c>
      <c r="U64" t="s">
        <v>331</v>
      </c>
      <c r="W64" t="s">
        <v>711</v>
      </c>
      <c r="X64" t="s">
        <v>623</v>
      </c>
      <c r="Y64">
        <v>12.5</v>
      </c>
      <c r="Z64" t="e">
        <v>#NAME?</v>
      </c>
    </row>
    <row r="65" spans="1:41" ht="350">
      <c r="A65" t="s">
        <v>598</v>
      </c>
      <c r="B65" t="s">
        <v>706</v>
      </c>
      <c r="C65" t="s">
        <v>707</v>
      </c>
      <c r="D65" t="s">
        <v>298</v>
      </c>
      <c r="E65">
        <v>2023</v>
      </c>
      <c r="F65">
        <v>1</v>
      </c>
      <c r="G65">
        <v>3</v>
      </c>
      <c r="H65">
        <v>1</v>
      </c>
      <c r="J65">
        <v>1</v>
      </c>
      <c r="K65" s="234" t="s">
        <v>708</v>
      </c>
      <c r="L65">
        <v>2027</v>
      </c>
      <c r="M65">
        <v>1</v>
      </c>
      <c r="O65" t="s">
        <v>709</v>
      </c>
      <c r="R65" t="s">
        <v>710</v>
      </c>
      <c r="T65">
        <v>2</v>
      </c>
      <c r="U65" t="s">
        <v>331</v>
      </c>
      <c r="W65" t="s">
        <v>711</v>
      </c>
      <c r="X65" t="s">
        <v>623</v>
      </c>
      <c r="Y65">
        <v>12.5</v>
      </c>
      <c r="Z65" t="e">
        <v>#NAME?</v>
      </c>
    </row>
    <row r="66" spans="1:41" ht="208">
      <c r="A66" t="s">
        <v>598</v>
      </c>
      <c r="B66" t="s">
        <v>599</v>
      </c>
      <c r="C66" t="s">
        <v>608</v>
      </c>
      <c r="D66" t="s">
        <v>101</v>
      </c>
      <c r="E66">
        <v>2023</v>
      </c>
      <c r="F66">
        <v>0</v>
      </c>
      <c r="G66">
        <v>2</v>
      </c>
      <c r="H66">
        <v>0</v>
      </c>
      <c r="I66">
        <v>1</v>
      </c>
      <c r="J66">
        <v>1</v>
      </c>
      <c r="K66" t="s">
        <v>703</v>
      </c>
      <c r="L66">
        <v>2030</v>
      </c>
      <c r="M66">
        <v>1</v>
      </c>
      <c r="N66" s="234" t="s">
        <v>704</v>
      </c>
      <c r="O66" t="s">
        <v>696</v>
      </c>
      <c r="P66" t="s">
        <v>697</v>
      </c>
      <c r="Q66" t="s">
        <v>705</v>
      </c>
      <c r="R66" t="s">
        <v>1777</v>
      </c>
      <c r="S66" t="s">
        <v>519</v>
      </c>
      <c r="T66">
        <v>2</v>
      </c>
      <c r="U66" t="s">
        <v>700</v>
      </c>
      <c r="V66" t="s">
        <v>701</v>
      </c>
      <c r="W66" t="s">
        <v>606</v>
      </c>
      <c r="X66" t="s">
        <v>617</v>
      </c>
      <c r="Y66">
        <v>12.3</v>
      </c>
      <c r="Z66" t="e">
        <v>#NAME?</v>
      </c>
      <c r="AA66" t="s">
        <v>702</v>
      </c>
      <c r="AB66" t="s">
        <v>618</v>
      </c>
    </row>
    <row r="67" spans="1:41" ht="272">
      <c r="A67" t="s">
        <v>598</v>
      </c>
      <c r="B67" t="s">
        <v>599</v>
      </c>
      <c r="C67" t="s">
        <v>608</v>
      </c>
      <c r="D67" t="s">
        <v>101</v>
      </c>
      <c r="E67">
        <v>2023</v>
      </c>
      <c r="F67">
        <v>0</v>
      </c>
      <c r="G67">
        <v>2</v>
      </c>
      <c r="H67">
        <v>0</v>
      </c>
      <c r="I67">
        <v>1</v>
      </c>
      <c r="J67">
        <v>1</v>
      </c>
      <c r="K67" t="s">
        <v>694</v>
      </c>
      <c r="L67">
        <v>2030</v>
      </c>
      <c r="M67">
        <v>1</v>
      </c>
      <c r="N67" s="234" t="s">
        <v>695</v>
      </c>
      <c r="O67" t="s">
        <v>696</v>
      </c>
      <c r="P67" t="s">
        <v>697</v>
      </c>
      <c r="Q67" t="s">
        <v>698</v>
      </c>
      <c r="R67" t="s">
        <v>1777</v>
      </c>
      <c r="S67" t="s">
        <v>519</v>
      </c>
      <c r="T67">
        <v>2</v>
      </c>
      <c r="U67" t="s">
        <v>700</v>
      </c>
      <c r="V67" t="s">
        <v>701</v>
      </c>
      <c r="W67" t="s">
        <v>606</v>
      </c>
      <c r="X67" t="s">
        <v>617</v>
      </c>
      <c r="Y67">
        <v>12.3</v>
      </c>
      <c r="Z67" t="e">
        <v>#NAME?</v>
      </c>
      <c r="AA67" t="s">
        <v>702</v>
      </c>
      <c r="AB67" t="s">
        <v>618</v>
      </c>
    </row>
    <row r="68" spans="1:41" ht="409.6">
      <c r="A68" t="s">
        <v>598</v>
      </c>
      <c r="B68" t="s">
        <v>599</v>
      </c>
      <c r="C68" t="s">
        <v>646</v>
      </c>
      <c r="D68" t="s">
        <v>110</v>
      </c>
      <c r="E68">
        <v>2022</v>
      </c>
      <c r="F68">
        <v>0</v>
      </c>
      <c r="G68">
        <v>2</v>
      </c>
      <c r="H68">
        <v>0</v>
      </c>
      <c r="I68">
        <v>1</v>
      </c>
      <c r="J68">
        <v>1</v>
      </c>
      <c r="K68" s="234" t="s">
        <v>685</v>
      </c>
      <c r="L68">
        <v>2030</v>
      </c>
      <c r="M68">
        <v>1</v>
      </c>
      <c r="N68" t="s">
        <v>686</v>
      </c>
      <c r="O68" t="s">
        <v>636</v>
      </c>
      <c r="R68" t="s">
        <v>687</v>
      </c>
      <c r="S68" t="s">
        <v>303</v>
      </c>
      <c r="T68">
        <v>2</v>
      </c>
      <c r="U68" t="s">
        <v>331</v>
      </c>
      <c r="W68" t="s">
        <v>640</v>
      </c>
      <c r="X68" t="s">
        <v>623</v>
      </c>
      <c r="Y68">
        <v>12.5</v>
      </c>
      <c r="Z68" t="e">
        <v>#NAME?</v>
      </c>
      <c r="AO68" t="s">
        <v>309</v>
      </c>
    </row>
    <row r="69" spans="1:41">
      <c r="A69" t="s">
        <v>598</v>
      </c>
      <c r="B69" t="s">
        <v>599</v>
      </c>
      <c r="C69" t="s">
        <v>646</v>
      </c>
      <c r="D69" t="s">
        <v>110</v>
      </c>
      <c r="E69">
        <v>2022</v>
      </c>
      <c r="F69">
        <v>0</v>
      </c>
      <c r="G69">
        <v>2</v>
      </c>
      <c r="H69">
        <v>0</v>
      </c>
      <c r="I69">
        <v>1</v>
      </c>
      <c r="J69">
        <v>1</v>
      </c>
      <c r="K69" t="s">
        <v>671</v>
      </c>
      <c r="L69">
        <v>2030</v>
      </c>
      <c r="M69">
        <v>1</v>
      </c>
      <c r="O69" t="s">
        <v>648</v>
      </c>
      <c r="P69" t="s">
        <v>672</v>
      </c>
      <c r="Q69" t="s">
        <v>673</v>
      </c>
      <c r="R69" t="s">
        <v>1577</v>
      </c>
      <c r="S69" t="s">
        <v>363</v>
      </c>
      <c r="T69">
        <v>2</v>
      </c>
      <c r="U69" t="s">
        <v>331</v>
      </c>
      <c r="W69" t="s">
        <v>606</v>
      </c>
      <c r="X69" t="s">
        <v>623</v>
      </c>
      <c r="Y69">
        <v>12.5</v>
      </c>
      <c r="Z69" t="e">
        <v>#NAME?</v>
      </c>
      <c r="AA69" t="s">
        <v>197</v>
      </c>
      <c r="AB69" t="s">
        <v>675</v>
      </c>
      <c r="AO69" t="s">
        <v>309</v>
      </c>
    </row>
    <row r="70" spans="1:41">
      <c r="A70" t="s">
        <v>598</v>
      </c>
      <c r="B70" t="s">
        <v>599</v>
      </c>
      <c r="C70" t="s">
        <v>646</v>
      </c>
      <c r="D70" t="s">
        <v>110</v>
      </c>
      <c r="E70">
        <v>2022</v>
      </c>
      <c r="F70">
        <v>0</v>
      </c>
      <c r="G70">
        <v>2</v>
      </c>
      <c r="H70">
        <v>0</v>
      </c>
      <c r="I70">
        <v>1</v>
      </c>
      <c r="J70">
        <v>1</v>
      </c>
      <c r="K70" t="s">
        <v>667</v>
      </c>
      <c r="L70">
        <v>2030</v>
      </c>
      <c r="M70">
        <v>1</v>
      </c>
      <c r="O70" t="s">
        <v>648</v>
      </c>
      <c r="P70" t="s">
        <v>668</v>
      </c>
      <c r="Q70" t="s">
        <v>669</v>
      </c>
      <c r="R70" t="s">
        <v>1578</v>
      </c>
      <c r="S70" t="s">
        <v>519</v>
      </c>
      <c r="T70">
        <v>2</v>
      </c>
      <c r="U70" t="s">
        <v>331</v>
      </c>
      <c r="W70" t="s">
        <v>640</v>
      </c>
      <c r="X70" t="s">
        <v>623</v>
      </c>
      <c r="Y70">
        <v>12.5</v>
      </c>
      <c r="Z70" t="e">
        <v>#NAME?</v>
      </c>
      <c r="AO70" t="s">
        <v>309</v>
      </c>
    </row>
    <row r="71" spans="1:41">
      <c r="A71" t="s">
        <v>598</v>
      </c>
      <c r="B71" t="s">
        <v>599</v>
      </c>
      <c r="C71" t="s">
        <v>634</v>
      </c>
      <c r="D71" t="s">
        <v>102</v>
      </c>
      <c r="E71">
        <v>2019</v>
      </c>
      <c r="F71">
        <v>1</v>
      </c>
      <c r="G71">
        <v>3</v>
      </c>
      <c r="H71">
        <v>1</v>
      </c>
      <c r="J71">
        <v>1</v>
      </c>
      <c r="K71" t="s">
        <v>641</v>
      </c>
      <c r="L71">
        <v>2030</v>
      </c>
      <c r="M71">
        <v>1</v>
      </c>
      <c r="O71" t="s">
        <v>636</v>
      </c>
      <c r="P71" t="s">
        <v>642</v>
      </c>
      <c r="Q71" t="s">
        <v>643</v>
      </c>
      <c r="R71" t="s">
        <v>1579</v>
      </c>
      <c r="S71" t="s">
        <v>303</v>
      </c>
      <c r="T71">
        <v>2</v>
      </c>
      <c r="U71" t="s">
        <v>331</v>
      </c>
      <c r="W71" t="s">
        <v>640</v>
      </c>
      <c r="X71" t="s">
        <v>623</v>
      </c>
      <c r="Y71">
        <v>12.5</v>
      </c>
      <c r="Z71" t="e">
        <v>#NAME?</v>
      </c>
      <c r="AO71" t="s">
        <v>309</v>
      </c>
    </row>
    <row r="72" spans="1:41">
      <c r="A72" t="s">
        <v>598</v>
      </c>
      <c r="B72" t="s">
        <v>599</v>
      </c>
      <c r="C72" t="s">
        <v>634</v>
      </c>
      <c r="D72" t="s">
        <v>102</v>
      </c>
      <c r="E72">
        <v>2019</v>
      </c>
      <c r="F72">
        <v>1</v>
      </c>
      <c r="G72">
        <v>3</v>
      </c>
      <c r="H72">
        <v>1</v>
      </c>
      <c r="J72">
        <v>1</v>
      </c>
      <c r="K72" t="s">
        <v>635</v>
      </c>
      <c r="L72">
        <v>2029</v>
      </c>
      <c r="M72">
        <v>1</v>
      </c>
      <c r="O72" t="s">
        <v>636</v>
      </c>
      <c r="P72" t="s">
        <v>637</v>
      </c>
      <c r="Q72" t="s">
        <v>638</v>
      </c>
      <c r="R72" t="s">
        <v>1580</v>
      </c>
      <c r="S72" t="s">
        <v>363</v>
      </c>
      <c r="T72">
        <v>2</v>
      </c>
      <c r="U72" t="s">
        <v>331</v>
      </c>
      <c r="W72" t="s">
        <v>640</v>
      </c>
      <c r="X72" t="s">
        <v>623</v>
      </c>
      <c r="Y72">
        <v>11.6</v>
      </c>
      <c r="Z72" t="e">
        <v>#NAME?</v>
      </c>
      <c r="AO72" t="s">
        <v>309</v>
      </c>
    </row>
    <row r="73" spans="1:41">
      <c r="A73" t="s">
        <v>598</v>
      </c>
      <c r="B73" t="s">
        <v>599</v>
      </c>
      <c r="C73" t="s">
        <v>608</v>
      </c>
      <c r="D73" t="s">
        <v>102</v>
      </c>
      <c r="E73">
        <v>2018</v>
      </c>
      <c r="F73">
        <v>1</v>
      </c>
      <c r="G73">
        <v>3</v>
      </c>
      <c r="H73">
        <v>1</v>
      </c>
      <c r="J73">
        <v>1</v>
      </c>
      <c r="K73" t="s">
        <v>619</v>
      </c>
      <c r="L73">
        <v>2025</v>
      </c>
      <c r="M73">
        <v>1</v>
      </c>
      <c r="O73" t="s">
        <v>602</v>
      </c>
      <c r="P73" t="s">
        <v>620</v>
      </c>
      <c r="Q73" t="s">
        <v>621</v>
      </c>
      <c r="R73" t="s">
        <v>1581</v>
      </c>
      <c r="S73" t="s">
        <v>303</v>
      </c>
      <c r="T73">
        <v>2</v>
      </c>
      <c r="U73" t="s">
        <v>331</v>
      </c>
      <c r="W73" t="s">
        <v>623</v>
      </c>
      <c r="X73" t="s">
        <v>606</v>
      </c>
      <c r="Y73">
        <v>11.6</v>
      </c>
      <c r="Z73" t="e">
        <v>#NAME?</v>
      </c>
      <c r="AA73" t="s">
        <v>197</v>
      </c>
      <c r="AB73" t="s">
        <v>624</v>
      </c>
      <c r="AO73" t="s">
        <v>309</v>
      </c>
    </row>
    <row r="74" spans="1:41" ht="409.6">
      <c r="A74" t="s">
        <v>598</v>
      </c>
      <c r="B74" t="s">
        <v>706</v>
      </c>
      <c r="C74" t="s">
        <v>707</v>
      </c>
      <c r="D74" t="s">
        <v>298</v>
      </c>
      <c r="E74">
        <v>2023</v>
      </c>
      <c r="F74">
        <v>1</v>
      </c>
      <c r="G74">
        <v>3</v>
      </c>
      <c r="H74">
        <v>1</v>
      </c>
      <c r="J74">
        <v>1</v>
      </c>
      <c r="K74" s="234" t="s">
        <v>717</v>
      </c>
      <c r="L74">
        <v>2030</v>
      </c>
      <c r="M74">
        <v>1</v>
      </c>
      <c r="N74" t="s">
        <v>718</v>
      </c>
      <c r="O74" t="s">
        <v>709</v>
      </c>
      <c r="R74" s="234" t="s">
        <v>1582</v>
      </c>
      <c r="T74">
        <v>3</v>
      </c>
      <c r="U74" t="s">
        <v>331</v>
      </c>
      <c r="W74" t="s">
        <v>711</v>
      </c>
      <c r="X74" t="s">
        <v>623</v>
      </c>
      <c r="Y74">
        <v>12.5</v>
      </c>
      <c r="Z74" t="e">
        <v>#NAME?</v>
      </c>
      <c r="AO74" t="s">
        <v>309</v>
      </c>
    </row>
    <row r="75" spans="1:41" ht="409.6">
      <c r="A75" t="s">
        <v>598</v>
      </c>
      <c r="B75" t="s">
        <v>706</v>
      </c>
      <c r="C75" t="s">
        <v>707</v>
      </c>
      <c r="D75" t="s">
        <v>298</v>
      </c>
      <c r="E75">
        <v>2023</v>
      </c>
      <c r="F75">
        <v>1</v>
      </c>
      <c r="G75">
        <v>3</v>
      </c>
      <c r="H75">
        <v>1</v>
      </c>
      <c r="J75">
        <v>1</v>
      </c>
      <c r="K75" s="234" t="s">
        <v>712</v>
      </c>
      <c r="L75">
        <v>2027</v>
      </c>
      <c r="M75">
        <v>1</v>
      </c>
      <c r="N75" t="s">
        <v>713</v>
      </c>
      <c r="O75" t="s">
        <v>709</v>
      </c>
      <c r="R75" t="s">
        <v>1583</v>
      </c>
      <c r="T75">
        <v>3</v>
      </c>
      <c r="U75" t="s">
        <v>331</v>
      </c>
      <c r="W75" t="s">
        <v>711</v>
      </c>
      <c r="X75" t="s">
        <v>623</v>
      </c>
      <c r="Y75">
        <v>12.5</v>
      </c>
      <c r="Z75" t="e">
        <v>#NAME?</v>
      </c>
    </row>
    <row r="76" spans="1:41">
      <c r="A76" t="s">
        <v>598</v>
      </c>
      <c r="B76" t="s">
        <v>599</v>
      </c>
      <c r="C76" t="s">
        <v>646</v>
      </c>
      <c r="D76" t="s">
        <v>110</v>
      </c>
      <c r="E76">
        <v>2022</v>
      </c>
      <c r="F76">
        <v>0</v>
      </c>
      <c r="G76">
        <v>2</v>
      </c>
      <c r="H76">
        <v>0</v>
      </c>
      <c r="I76">
        <v>1</v>
      </c>
      <c r="J76">
        <v>1</v>
      </c>
      <c r="K76" t="s">
        <v>680</v>
      </c>
      <c r="L76">
        <v>2025</v>
      </c>
      <c r="M76">
        <v>1</v>
      </c>
      <c r="O76" t="s">
        <v>636</v>
      </c>
      <c r="P76" t="s">
        <v>681</v>
      </c>
      <c r="Q76" t="s">
        <v>682</v>
      </c>
      <c r="R76" t="s">
        <v>1576</v>
      </c>
      <c r="S76" t="s">
        <v>363</v>
      </c>
      <c r="T76">
        <v>3</v>
      </c>
      <c r="U76" t="s">
        <v>331</v>
      </c>
      <c r="W76" t="s">
        <v>640</v>
      </c>
      <c r="Y76">
        <v>12.5</v>
      </c>
      <c r="Z76" t="e">
        <v>#NAME?</v>
      </c>
      <c r="AA76" t="s">
        <v>197</v>
      </c>
      <c r="AB76" t="s">
        <v>684</v>
      </c>
      <c r="AO76" t="s">
        <v>309</v>
      </c>
    </row>
    <row r="77" spans="1:41">
      <c r="A77" t="s">
        <v>598</v>
      </c>
      <c r="B77" t="s">
        <v>599</v>
      </c>
      <c r="C77" t="s">
        <v>646</v>
      </c>
      <c r="D77" t="s">
        <v>110</v>
      </c>
      <c r="E77">
        <v>2022</v>
      </c>
      <c r="F77">
        <v>0</v>
      </c>
      <c r="G77">
        <v>2</v>
      </c>
      <c r="H77">
        <v>0</v>
      </c>
      <c r="I77">
        <v>1</v>
      </c>
      <c r="J77">
        <v>1</v>
      </c>
      <c r="K77" t="s">
        <v>664</v>
      </c>
      <c r="L77">
        <v>2030</v>
      </c>
      <c r="M77">
        <v>1</v>
      </c>
      <c r="O77" t="s">
        <v>648</v>
      </c>
      <c r="P77" t="s">
        <v>665</v>
      </c>
      <c r="Q77" t="s">
        <v>643</v>
      </c>
      <c r="R77" t="s">
        <v>1584</v>
      </c>
      <c r="S77" t="s">
        <v>363</v>
      </c>
      <c r="T77">
        <v>3</v>
      </c>
      <c r="U77" t="s">
        <v>331</v>
      </c>
      <c r="W77" t="s">
        <v>623</v>
      </c>
      <c r="X77" t="s">
        <v>606</v>
      </c>
      <c r="Y77">
        <v>12.5</v>
      </c>
      <c r="Z77" t="e">
        <v>#NAME?</v>
      </c>
      <c r="AO77" t="s">
        <v>309</v>
      </c>
    </row>
    <row r="78" spans="1:41">
      <c r="A78" t="s">
        <v>598</v>
      </c>
      <c r="B78" t="s">
        <v>599</v>
      </c>
      <c r="C78" t="s">
        <v>646</v>
      </c>
      <c r="D78" t="s">
        <v>110</v>
      </c>
      <c r="E78">
        <v>2022</v>
      </c>
      <c r="F78">
        <v>0</v>
      </c>
      <c r="G78">
        <v>2</v>
      </c>
      <c r="H78">
        <v>0</v>
      </c>
      <c r="I78">
        <v>1</v>
      </c>
      <c r="J78">
        <v>1</v>
      </c>
      <c r="K78" t="s">
        <v>660</v>
      </c>
      <c r="L78">
        <v>2030</v>
      </c>
      <c r="M78">
        <v>1</v>
      </c>
      <c r="O78" t="s">
        <v>648</v>
      </c>
      <c r="P78" t="s">
        <v>661</v>
      </c>
      <c r="Q78" t="s">
        <v>662</v>
      </c>
      <c r="R78" t="s">
        <v>1585</v>
      </c>
      <c r="S78" t="s">
        <v>363</v>
      </c>
      <c r="T78">
        <v>3</v>
      </c>
      <c r="U78" t="s">
        <v>331</v>
      </c>
      <c r="W78" t="s">
        <v>623</v>
      </c>
      <c r="X78" t="s">
        <v>606</v>
      </c>
      <c r="Y78">
        <v>12.5</v>
      </c>
      <c r="Z78" t="e">
        <v>#NAME?</v>
      </c>
      <c r="AO78" t="s">
        <v>309</v>
      </c>
    </row>
    <row r="79" spans="1:41">
      <c r="A79" t="s">
        <v>598</v>
      </c>
      <c r="B79" t="s">
        <v>599</v>
      </c>
      <c r="C79" t="s">
        <v>646</v>
      </c>
      <c r="D79" t="s">
        <v>110</v>
      </c>
      <c r="E79">
        <v>2022</v>
      </c>
      <c r="F79">
        <v>0</v>
      </c>
      <c r="G79">
        <v>2</v>
      </c>
      <c r="H79">
        <v>0</v>
      </c>
      <c r="I79">
        <v>1</v>
      </c>
      <c r="J79">
        <v>1</v>
      </c>
      <c r="K79" t="s">
        <v>656</v>
      </c>
      <c r="L79">
        <v>2030</v>
      </c>
      <c r="M79">
        <v>1</v>
      </c>
      <c r="O79" t="s">
        <v>648</v>
      </c>
      <c r="P79" t="s">
        <v>657</v>
      </c>
      <c r="Q79" t="s">
        <v>658</v>
      </c>
      <c r="R79" t="s">
        <v>1586</v>
      </c>
      <c r="S79" t="s">
        <v>363</v>
      </c>
      <c r="T79">
        <v>3</v>
      </c>
      <c r="U79" t="s">
        <v>331</v>
      </c>
      <c r="W79" t="s">
        <v>623</v>
      </c>
      <c r="X79" t="s">
        <v>606</v>
      </c>
      <c r="Y79">
        <v>12.5</v>
      </c>
      <c r="Z79" t="e">
        <v>#NAME?</v>
      </c>
      <c r="AO79" t="s">
        <v>309</v>
      </c>
    </row>
    <row r="80" spans="1:41">
      <c r="A80" t="s">
        <v>598</v>
      </c>
      <c r="B80" t="s">
        <v>599</v>
      </c>
      <c r="C80" t="s">
        <v>646</v>
      </c>
      <c r="D80" t="s">
        <v>110</v>
      </c>
      <c r="E80">
        <v>2022</v>
      </c>
      <c r="F80">
        <v>0</v>
      </c>
      <c r="G80">
        <v>2</v>
      </c>
      <c r="H80">
        <v>0</v>
      </c>
      <c r="I80">
        <v>1</v>
      </c>
      <c r="J80">
        <v>1</v>
      </c>
      <c r="K80" t="s">
        <v>652</v>
      </c>
      <c r="L80">
        <v>2030</v>
      </c>
      <c r="M80">
        <v>1</v>
      </c>
      <c r="O80" t="s">
        <v>648</v>
      </c>
      <c r="P80" t="s">
        <v>653</v>
      </c>
      <c r="Q80" t="s">
        <v>654</v>
      </c>
      <c r="R80" t="s">
        <v>1587</v>
      </c>
      <c r="S80" t="s">
        <v>363</v>
      </c>
      <c r="T80">
        <v>3</v>
      </c>
      <c r="U80" t="s">
        <v>331</v>
      </c>
      <c r="W80" t="s">
        <v>623</v>
      </c>
      <c r="X80" t="s">
        <v>606</v>
      </c>
      <c r="Y80">
        <v>12.5</v>
      </c>
      <c r="Z80" t="e">
        <v>#NAME?</v>
      </c>
      <c r="AO80" t="s">
        <v>309</v>
      </c>
    </row>
    <row r="81" spans="1:41">
      <c r="A81" t="s">
        <v>598</v>
      </c>
      <c r="B81" t="s">
        <v>599</v>
      </c>
      <c r="C81" t="s">
        <v>646</v>
      </c>
      <c r="D81" t="s">
        <v>110</v>
      </c>
      <c r="E81">
        <v>2022</v>
      </c>
      <c r="F81">
        <v>0</v>
      </c>
      <c r="G81">
        <v>2</v>
      </c>
      <c r="H81">
        <v>0</v>
      </c>
      <c r="I81">
        <v>1</v>
      </c>
      <c r="J81">
        <v>1</v>
      </c>
      <c r="K81" t="s">
        <v>647</v>
      </c>
      <c r="L81">
        <v>2030</v>
      </c>
      <c r="M81">
        <v>1</v>
      </c>
      <c r="O81" t="s">
        <v>648</v>
      </c>
      <c r="P81" t="s">
        <v>649</v>
      </c>
      <c r="Q81" t="s">
        <v>650</v>
      </c>
      <c r="R81" t="s">
        <v>1588</v>
      </c>
      <c r="S81" t="s">
        <v>363</v>
      </c>
      <c r="T81">
        <v>3</v>
      </c>
      <c r="U81" t="s">
        <v>331</v>
      </c>
      <c r="W81" t="s">
        <v>623</v>
      </c>
      <c r="X81" t="s">
        <v>606</v>
      </c>
      <c r="Y81">
        <v>12.5</v>
      </c>
      <c r="Z81" t="e">
        <v>#NAME?</v>
      </c>
      <c r="AO81" t="s">
        <v>309</v>
      </c>
    </row>
    <row r="82" spans="1:41" ht="96">
      <c r="A82" t="s">
        <v>598</v>
      </c>
      <c r="B82" t="s">
        <v>599</v>
      </c>
      <c r="C82" t="s">
        <v>608</v>
      </c>
      <c r="D82" t="s">
        <v>102</v>
      </c>
      <c r="E82">
        <v>2018</v>
      </c>
      <c r="F82">
        <v>1</v>
      </c>
      <c r="G82">
        <v>3</v>
      </c>
      <c r="H82">
        <v>1</v>
      </c>
      <c r="J82">
        <v>1</v>
      </c>
      <c r="K82" t="s">
        <v>609</v>
      </c>
      <c r="L82">
        <v>2025</v>
      </c>
      <c r="M82">
        <v>1</v>
      </c>
      <c r="O82" t="s">
        <v>610</v>
      </c>
      <c r="P82" t="s">
        <v>611</v>
      </c>
      <c r="Q82" t="s">
        <v>612</v>
      </c>
      <c r="R82" s="234" t="s">
        <v>1589</v>
      </c>
      <c r="S82" t="s">
        <v>440</v>
      </c>
      <c r="T82">
        <v>3</v>
      </c>
      <c r="U82" t="s">
        <v>331</v>
      </c>
      <c r="W82" t="s">
        <v>606</v>
      </c>
      <c r="Y82">
        <v>12.5</v>
      </c>
      <c r="Z82" t="e">
        <v>#NAME?</v>
      </c>
      <c r="AO82" t="s">
        <v>309</v>
      </c>
    </row>
    <row r="83" spans="1:41">
      <c r="A83" t="s">
        <v>1023</v>
      </c>
      <c r="B83" t="s">
        <v>1135</v>
      </c>
      <c r="C83" t="s">
        <v>1136</v>
      </c>
      <c r="D83" t="s">
        <v>101</v>
      </c>
      <c r="E83">
        <v>2023</v>
      </c>
      <c r="F83">
        <v>0</v>
      </c>
      <c r="G83">
        <v>2</v>
      </c>
      <c r="I83">
        <v>1</v>
      </c>
      <c r="J83">
        <v>1</v>
      </c>
      <c r="K83" t="s">
        <v>1138</v>
      </c>
      <c r="M83">
        <v>1</v>
      </c>
      <c r="N83" t="s">
        <v>1590</v>
      </c>
      <c r="O83" t="s">
        <v>1527</v>
      </c>
      <c r="R83" t="s">
        <v>1591</v>
      </c>
      <c r="T83">
        <v>0</v>
      </c>
      <c r="Y83">
        <v>9.1</v>
      </c>
      <c r="Z83" t="e">
        <v>#NAME?</v>
      </c>
    </row>
    <row r="84" spans="1:41">
      <c r="A84" t="s">
        <v>1023</v>
      </c>
      <c r="B84" t="s">
        <v>1195</v>
      </c>
      <c r="C84" t="s">
        <v>1127</v>
      </c>
      <c r="D84" t="s">
        <v>321</v>
      </c>
      <c r="E84">
        <v>2020</v>
      </c>
      <c r="F84">
        <v>0</v>
      </c>
      <c r="G84">
        <v>1</v>
      </c>
      <c r="H84">
        <v>0</v>
      </c>
      <c r="I84">
        <v>0</v>
      </c>
      <c r="J84">
        <v>1</v>
      </c>
      <c r="K84" t="s">
        <v>1211</v>
      </c>
      <c r="L84">
        <v>2030</v>
      </c>
      <c r="M84">
        <v>1</v>
      </c>
      <c r="N84" t="s">
        <v>1592</v>
      </c>
      <c r="O84" t="s">
        <v>1527</v>
      </c>
      <c r="R84" t="s">
        <v>1593</v>
      </c>
      <c r="T84">
        <v>0</v>
      </c>
      <c r="U84" t="s">
        <v>1594</v>
      </c>
      <c r="V84" t="s">
        <v>1595</v>
      </c>
      <c r="W84" t="s">
        <v>564</v>
      </c>
      <c r="Y84">
        <v>9.1</v>
      </c>
      <c r="Z84" t="e">
        <v>#NAME?</v>
      </c>
      <c r="AA84" t="s">
        <v>194</v>
      </c>
      <c r="AB84" t="s">
        <v>1212</v>
      </c>
      <c r="AI84" t="s">
        <v>309</v>
      </c>
    </row>
    <row r="85" spans="1:41">
      <c r="A85" t="s">
        <v>1023</v>
      </c>
      <c r="B85" t="s">
        <v>1135</v>
      </c>
      <c r="C85" t="s">
        <v>1127</v>
      </c>
      <c r="D85" t="s">
        <v>321</v>
      </c>
      <c r="E85">
        <v>2020</v>
      </c>
      <c r="F85">
        <v>0</v>
      </c>
      <c r="G85">
        <v>1</v>
      </c>
      <c r="H85">
        <v>0</v>
      </c>
      <c r="I85">
        <v>0</v>
      </c>
      <c r="J85">
        <v>1</v>
      </c>
      <c r="K85" t="s">
        <v>1238</v>
      </c>
      <c r="L85">
        <v>2050</v>
      </c>
      <c r="M85">
        <v>1</v>
      </c>
      <c r="N85" t="s">
        <v>1596</v>
      </c>
      <c r="O85" t="s">
        <v>1527</v>
      </c>
      <c r="R85" t="s">
        <v>1597</v>
      </c>
      <c r="T85">
        <v>0</v>
      </c>
      <c r="W85" t="s">
        <v>564</v>
      </c>
      <c r="Y85">
        <v>13.2</v>
      </c>
      <c r="Z85" t="e">
        <v>#NAME?</v>
      </c>
      <c r="AI85" t="s">
        <v>309</v>
      </c>
    </row>
    <row r="86" spans="1:41" ht="409.6">
      <c r="A86" t="s">
        <v>1023</v>
      </c>
      <c r="B86" t="s">
        <v>1109</v>
      </c>
      <c r="C86" t="s">
        <v>1110</v>
      </c>
      <c r="D86" t="s">
        <v>298</v>
      </c>
      <c r="E86">
        <v>2023</v>
      </c>
      <c r="F86">
        <v>1</v>
      </c>
      <c r="G86">
        <v>3</v>
      </c>
      <c r="H86">
        <v>1</v>
      </c>
      <c r="I86">
        <v>0</v>
      </c>
      <c r="J86">
        <v>1</v>
      </c>
      <c r="K86" s="234" t="s">
        <v>1112</v>
      </c>
      <c r="L86">
        <v>2050</v>
      </c>
      <c r="M86">
        <v>1</v>
      </c>
      <c r="N86" t="s">
        <v>1598</v>
      </c>
      <c r="O86" t="s">
        <v>1541</v>
      </c>
      <c r="R86" t="s">
        <v>1599</v>
      </c>
      <c r="S86" t="s">
        <v>1113</v>
      </c>
      <c r="T86">
        <v>1</v>
      </c>
      <c r="Y86">
        <v>13.2</v>
      </c>
      <c r="Z86" t="e">
        <v>#NAME?</v>
      </c>
    </row>
    <row r="87" spans="1:41" ht="112">
      <c r="A87" t="s">
        <v>1023</v>
      </c>
      <c r="B87" t="s">
        <v>1109</v>
      </c>
      <c r="C87" t="s">
        <v>1110</v>
      </c>
      <c r="D87" t="s">
        <v>298</v>
      </c>
      <c r="E87">
        <v>2023</v>
      </c>
      <c r="F87">
        <v>1</v>
      </c>
      <c r="G87">
        <v>3</v>
      </c>
      <c r="H87">
        <v>1</v>
      </c>
      <c r="I87">
        <v>0</v>
      </c>
      <c r="J87">
        <v>1</v>
      </c>
      <c r="K87" t="s">
        <v>1115</v>
      </c>
      <c r="L87">
        <v>2034</v>
      </c>
      <c r="M87">
        <v>1</v>
      </c>
      <c r="N87" s="234" t="s">
        <v>1600</v>
      </c>
      <c r="O87" t="s">
        <v>1541</v>
      </c>
      <c r="R87" t="s">
        <v>1778</v>
      </c>
      <c r="S87" t="s">
        <v>1113</v>
      </c>
      <c r="T87">
        <v>1</v>
      </c>
      <c r="Y87">
        <v>7.2</v>
      </c>
      <c r="Z87" t="e">
        <v>#NAME?</v>
      </c>
    </row>
    <row r="88" spans="1:41">
      <c r="A88" t="s">
        <v>1023</v>
      </c>
      <c r="C88" t="s">
        <v>1116</v>
      </c>
      <c r="D88" t="s">
        <v>110</v>
      </c>
      <c r="E88">
        <v>2021</v>
      </c>
      <c r="F88">
        <v>0</v>
      </c>
      <c r="G88">
        <v>2</v>
      </c>
      <c r="H88">
        <v>0</v>
      </c>
      <c r="I88">
        <v>1</v>
      </c>
      <c r="J88">
        <v>1</v>
      </c>
      <c r="K88" t="s">
        <v>1118</v>
      </c>
      <c r="L88">
        <v>2050</v>
      </c>
      <c r="M88">
        <v>1</v>
      </c>
      <c r="N88" t="s">
        <v>1598</v>
      </c>
      <c r="O88" t="s">
        <v>1541</v>
      </c>
      <c r="P88" t="s">
        <v>1602</v>
      </c>
      <c r="Q88" t="s">
        <v>1119</v>
      </c>
      <c r="R88" t="s">
        <v>1603</v>
      </c>
      <c r="S88" t="s">
        <v>1113</v>
      </c>
      <c r="T88">
        <v>1</v>
      </c>
      <c r="U88" t="s">
        <v>331</v>
      </c>
      <c r="W88" t="s">
        <v>564</v>
      </c>
      <c r="X88" t="s">
        <v>416</v>
      </c>
      <c r="Y88">
        <v>13.2</v>
      </c>
      <c r="Z88" t="e">
        <v>#NAME?</v>
      </c>
      <c r="AI88" t="s">
        <v>309</v>
      </c>
      <c r="AK88" t="s">
        <v>310</v>
      </c>
    </row>
    <row r="89" spans="1:41">
      <c r="A89" t="s">
        <v>1023</v>
      </c>
      <c r="C89" t="s">
        <v>1116</v>
      </c>
      <c r="D89" t="s">
        <v>110</v>
      </c>
      <c r="E89">
        <v>2021</v>
      </c>
      <c r="F89">
        <v>0</v>
      </c>
      <c r="G89">
        <v>2</v>
      </c>
      <c r="H89">
        <v>0</v>
      </c>
      <c r="I89">
        <v>1</v>
      </c>
      <c r="J89">
        <v>1</v>
      </c>
      <c r="K89" t="s">
        <v>1121</v>
      </c>
      <c r="L89">
        <v>2050</v>
      </c>
      <c r="M89">
        <v>1</v>
      </c>
      <c r="N89" t="s">
        <v>1598</v>
      </c>
      <c r="O89" t="s">
        <v>1541</v>
      </c>
      <c r="R89" t="s">
        <v>1601</v>
      </c>
      <c r="S89" t="s">
        <v>1113</v>
      </c>
      <c r="T89">
        <v>1</v>
      </c>
      <c r="U89" t="s">
        <v>331</v>
      </c>
      <c r="W89" t="s">
        <v>564</v>
      </c>
      <c r="Y89">
        <v>13.2</v>
      </c>
      <c r="Z89" t="e">
        <v>#NAME?</v>
      </c>
      <c r="AI89" t="s">
        <v>309</v>
      </c>
      <c r="AK89" t="s">
        <v>310</v>
      </c>
    </row>
    <row r="90" spans="1:41" ht="272">
      <c r="A90" t="s">
        <v>1023</v>
      </c>
      <c r="B90" t="s">
        <v>1135</v>
      </c>
      <c r="C90" t="s">
        <v>1110</v>
      </c>
      <c r="D90" t="s">
        <v>298</v>
      </c>
      <c r="E90">
        <v>2023</v>
      </c>
      <c r="F90">
        <v>0</v>
      </c>
      <c r="G90">
        <v>3</v>
      </c>
      <c r="H90">
        <v>1</v>
      </c>
      <c r="I90">
        <v>0</v>
      </c>
      <c r="J90">
        <v>1</v>
      </c>
      <c r="K90" t="s">
        <v>1140</v>
      </c>
      <c r="L90">
        <v>2050</v>
      </c>
      <c r="M90">
        <v>1</v>
      </c>
      <c r="N90" t="s">
        <v>1598</v>
      </c>
      <c r="O90" t="s">
        <v>1604</v>
      </c>
      <c r="Q90" s="234" t="s">
        <v>1141</v>
      </c>
      <c r="R90" s="234" t="s">
        <v>1779</v>
      </c>
      <c r="T90">
        <v>1</v>
      </c>
      <c r="U90" t="s">
        <v>1606</v>
      </c>
      <c r="V90" t="s">
        <v>1607</v>
      </c>
      <c r="W90" t="s">
        <v>564</v>
      </c>
      <c r="X90" t="s">
        <v>416</v>
      </c>
      <c r="Y90">
        <v>13.2</v>
      </c>
      <c r="Z90" t="e">
        <v>#NAME?</v>
      </c>
    </row>
    <row r="91" spans="1:41">
      <c r="A91" t="s">
        <v>1023</v>
      </c>
      <c r="B91" t="s">
        <v>1135</v>
      </c>
      <c r="C91" t="s">
        <v>1110</v>
      </c>
      <c r="D91" t="s">
        <v>110</v>
      </c>
      <c r="E91">
        <v>2023</v>
      </c>
      <c r="F91">
        <v>0</v>
      </c>
      <c r="G91">
        <v>2</v>
      </c>
      <c r="H91">
        <v>0</v>
      </c>
      <c r="I91">
        <v>1</v>
      </c>
      <c r="J91">
        <v>1</v>
      </c>
      <c r="K91" t="s">
        <v>1147</v>
      </c>
      <c r="L91">
        <v>2030</v>
      </c>
      <c r="M91">
        <v>1</v>
      </c>
      <c r="O91" t="s">
        <v>1541</v>
      </c>
      <c r="P91" t="s">
        <v>1608</v>
      </c>
      <c r="Q91" t="s">
        <v>1148</v>
      </c>
      <c r="R91" t="s">
        <v>1609</v>
      </c>
      <c r="S91" t="s">
        <v>1113</v>
      </c>
      <c r="T91">
        <v>1</v>
      </c>
      <c r="U91" t="s">
        <v>331</v>
      </c>
      <c r="W91" t="s">
        <v>564</v>
      </c>
      <c r="X91" t="s">
        <v>416</v>
      </c>
      <c r="Y91">
        <v>7.2</v>
      </c>
      <c r="Z91" t="e">
        <v>#NAME?</v>
      </c>
      <c r="AI91" t="s">
        <v>309</v>
      </c>
      <c r="AK91" t="s">
        <v>310</v>
      </c>
    </row>
    <row r="92" spans="1:41">
      <c r="A92" t="s">
        <v>1023</v>
      </c>
      <c r="B92" t="s">
        <v>1165</v>
      </c>
      <c r="C92" t="s">
        <v>1166</v>
      </c>
      <c r="D92" t="s">
        <v>1167</v>
      </c>
      <c r="E92">
        <v>2021</v>
      </c>
      <c r="F92">
        <v>0</v>
      </c>
      <c r="G92">
        <v>1</v>
      </c>
      <c r="H92">
        <v>0</v>
      </c>
      <c r="I92">
        <v>0</v>
      </c>
      <c r="J92">
        <v>1</v>
      </c>
      <c r="K92" t="s">
        <v>1173</v>
      </c>
      <c r="L92">
        <v>2030</v>
      </c>
      <c r="M92">
        <v>1</v>
      </c>
      <c r="O92" t="s">
        <v>407</v>
      </c>
      <c r="R92" t="s">
        <v>1610</v>
      </c>
      <c r="T92">
        <v>1</v>
      </c>
      <c r="W92" t="s">
        <v>451</v>
      </c>
      <c r="X92" t="s">
        <v>400</v>
      </c>
      <c r="Y92">
        <v>9.1</v>
      </c>
      <c r="Z92" t="e">
        <v>#NAME?</v>
      </c>
      <c r="AB92" t="s">
        <v>1174</v>
      </c>
      <c r="AE92" t="s">
        <v>309</v>
      </c>
      <c r="AF92" t="s">
        <v>310</v>
      </c>
    </row>
    <row r="93" spans="1:41" ht="409.6">
      <c r="A93" t="s">
        <v>1023</v>
      </c>
      <c r="C93" t="s">
        <v>396</v>
      </c>
      <c r="D93" t="s">
        <v>102</v>
      </c>
      <c r="E93">
        <v>2022</v>
      </c>
      <c r="F93">
        <v>1</v>
      </c>
      <c r="G93">
        <v>3</v>
      </c>
      <c r="H93">
        <v>1</v>
      </c>
      <c r="I93">
        <v>0</v>
      </c>
      <c r="J93">
        <v>1</v>
      </c>
      <c r="K93" s="234" t="s">
        <v>1025</v>
      </c>
      <c r="L93">
        <v>2030</v>
      </c>
      <c r="M93">
        <v>1</v>
      </c>
      <c r="R93" t="s">
        <v>1611</v>
      </c>
      <c r="T93">
        <v>2</v>
      </c>
      <c r="Y93">
        <v>7.2</v>
      </c>
      <c r="Z93" t="e">
        <v>#NAME?</v>
      </c>
    </row>
    <row r="94" spans="1:41" ht="409.6">
      <c r="A94" t="s">
        <v>1023</v>
      </c>
      <c r="C94" t="s">
        <v>1127</v>
      </c>
      <c r="D94" t="s">
        <v>321</v>
      </c>
      <c r="E94">
        <v>2020</v>
      </c>
      <c r="F94">
        <v>0</v>
      </c>
      <c r="G94">
        <v>1</v>
      </c>
      <c r="H94">
        <v>0</v>
      </c>
      <c r="I94">
        <v>0</v>
      </c>
      <c r="J94">
        <v>1</v>
      </c>
      <c r="K94" t="s">
        <v>1129</v>
      </c>
      <c r="L94">
        <v>2050</v>
      </c>
      <c r="M94">
        <v>1</v>
      </c>
      <c r="N94" t="s">
        <v>1612</v>
      </c>
      <c r="O94" t="s">
        <v>1613</v>
      </c>
      <c r="P94" t="s">
        <v>1614</v>
      </c>
      <c r="Q94" t="s">
        <v>1130</v>
      </c>
      <c r="R94" s="234" t="s">
        <v>1780</v>
      </c>
      <c r="S94" t="s">
        <v>303</v>
      </c>
      <c r="T94">
        <v>2</v>
      </c>
      <c r="U94" t="s">
        <v>331</v>
      </c>
      <c r="V94" t="s">
        <v>1616</v>
      </c>
      <c r="W94" t="s">
        <v>564</v>
      </c>
      <c r="X94" t="s">
        <v>315</v>
      </c>
      <c r="Y94">
        <v>13.2</v>
      </c>
      <c r="Z94" t="e">
        <v>#NAME?</v>
      </c>
      <c r="AA94" t="s">
        <v>190</v>
      </c>
      <c r="AB94" t="s">
        <v>1131</v>
      </c>
      <c r="AI94" t="s">
        <v>309</v>
      </c>
      <c r="AK94" t="s">
        <v>310</v>
      </c>
    </row>
    <row r="95" spans="1:41">
      <c r="A95" t="s">
        <v>1023</v>
      </c>
      <c r="B95" t="s">
        <v>1135</v>
      </c>
      <c r="C95" t="s">
        <v>1142</v>
      </c>
      <c r="D95" t="s">
        <v>110</v>
      </c>
      <c r="E95">
        <v>2023</v>
      </c>
      <c r="F95">
        <v>0</v>
      </c>
      <c r="G95">
        <v>2</v>
      </c>
      <c r="H95">
        <v>0</v>
      </c>
      <c r="I95">
        <v>1</v>
      </c>
      <c r="J95">
        <v>1</v>
      </c>
      <c r="K95" t="s">
        <v>1144</v>
      </c>
      <c r="L95">
        <v>2030</v>
      </c>
      <c r="M95">
        <v>1</v>
      </c>
      <c r="N95" t="s">
        <v>1598</v>
      </c>
      <c r="O95" t="s">
        <v>1617</v>
      </c>
      <c r="R95" t="s">
        <v>1618</v>
      </c>
      <c r="T95">
        <v>2</v>
      </c>
      <c r="U95" t="s">
        <v>1619</v>
      </c>
      <c r="V95" t="s">
        <v>1620</v>
      </c>
      <c r="W95" t="s">
        <v>564</v>
      </c>
      <c r="X95" t="s">
        <v>315</v>
      </c>
      <c r="Y95">
        <v>13.2</v>
      </c>
      <c r="Z95" t="e">
        <v>#NAME?</v>
      </c>
      <c r="AI95" t="s">
        <v>309</v>
      </c>
      <c r="AK95" t="s">
        <v>310</v>
      </c>
    </row>
    <row r="96" spans="1:41">
      <c r="A96" t="s">
        <v>1023</v>
      </c>
      <c r="B96" t="s">
        <v>1135</v>
      </c>
      <c r="C96" t="s">
        <v>1621</v>
      </c>
      <c r="D96" t="s">
        <v>298</v>
      </c>
      <c r="E96">
        <v>2023</v>
      </c>
      <c r="F96">
        <v>1</v>
      </c>
      <c r="G96">
        <v>3</v>
      </c>
      <c r="H96">
        <v>1</v>
      </c>
      <c r="J96">
        <v>1</v>
      </c>
      <c r="K96" t="s">
        <v>1622</v>
      </c>
      <c r="L96">
        <v>2025</v>
      </c>
      <c r="M96">
        <v>1</v>
      </c>
      <c r="N96" t="s">
        <v>1598</v>
      </c>
      <c r="O96" t="s">
        <v>1617</v>
      </c>
      <c r="P96" t="s">
        <v>1623</v>
      </c>
      <c r="Q96" t="s">
        <v>1624</v>
      </c>
      <c r="R96" t="s">
        <v>1781</v>
      </c>
      <c r="T96">
        <v>2</v>
      </c>
      <c r="W96" t="s">
        <v>564</v>
      </c>
      <c r="X96" t="s">
        <v>315</v>
      </c>
      <c r="Y96">
        <v>13.2</v>
      </c>
      <c r="Z96" t="e">
        <v>#NAME?</v>
      </c>
      <c r="AI96" t="s">
        <v>309</v>
      </c>
    </row>
    <row r="97" spans="1:37">
      <c r="A97" t="s">
        <v>1023</v>
      </c>
      <c r="B97" t="s">
        <v>1135</v>
      </c>
      <c r="C97" t="s">
        <v>1621</v>
      </c>
      <c r="D97" t="s">
        <v>298</v>
      </c>
      <c r="E97">
        <v>2023</v>
      </c>
      <c r="F97">
        <v>1</v>
      </c>
      <c r="G97">
        <v>3</v>
      </c>
      <c r="H97">
        <v>1</v>
      </c>
      <c r="J97">
        <v>1</v>
      </c>
      <c r="K97" t="s">
        <v>1622</v>
      </c>
      <c r="L97">
        <v>2025</v>
      </c>
      <c r="M97">
        <v>1</v>
      </c>
      <c r="N97" t="s">
        <v>1598</v>
      </c>
      <c r="O97" t="s">
        <v>1617</v>
      </c>
      <c r="P97" t="s">
        <v>1626</v>
      </c>
      <c r="Q97" t="s">
        <v>1627</v>
      </c>
      <c r="R97" t="s">
        <v>1628</v>
      </c>
      <c r="T97">
        <v>2</v>
      </c>
      <c r="W97" t="s">
        <v>564</v>
      </c>
      <c r="X97" t="s">
        <v>315</v>
      </c>
      <c r="Y97">
        <v>13.2</v>
      </c>
      <c r="Z97" t="e">
        <v>#NAME?</v>
      </c>
      <c r="AI97" t="s">
        <v>309</v>
      </c>
    </row>
    <row r="98" spans="1:37" ht="409.6">
      <c r="A98" t="s">
        <v>1023</v>
      </c>
      <c r="B98" t="s">
        <v>1135</v>
      </c>
      <c r="C98" t="s">
        <v>1621</v>
      </c>
      <c r="D98" t="s">
        <v>298</v>
      </c>
      <c r="E98">
        <v>2023</v>
      </c>
      <c r="F98">
        <v>1</v>
      </c>
      <c r="G98">
        <v>3</v>
      </c>
      <c r="H98">
        <v>1</v>
      </c>
      <c r="J98">
        <v>1</v>
      </c>
      <c r="K98" s="234" t="s">
        <v>1629</v>
      </c>
      <c r="L98">
        <v>2025</v>
      </c>
      <c r="M98">
        <v>1</v>
      </c>
      <c r="N98" t="s">
        <v>1598</v>
      </c>
      <c r="O98" t="s">
        <v>1617</v>
      </c>
      <c r="P98" t="s">
        <v>1630</v>
      </c>
      <c r="Q98" t="s">
        <v>1631</v>
      </c>
      <c r="R98" s="234" t="s">
        <v>1632</v>
      </c>
      <c r="T98">
        <v>2</v>
      </c>
      <c r="W98" t="s">
        <v>564</v>
      </c>
      <c r="X98" t="s">
        <v>315</v>
      </c>
      <c r="Y98">
        <v>13.2</v>
      </c>
      <c r="Z98" t="e">
        <v>#NAME?</v>
      </c>
    </row>
    <row r="99" spans="1:37" ht="409.6">
      <c r="A99" t="s">
        <v>1023</v>
      </c>
      <c r="B99" t="s">
        <v>1135</v>
      </c>
      <c r="C99" t="s">
        <v>1621</v>
      </c>
      <c r="D99" t="s">
        <v>298</v>
      </c>
      <c r="E99">
        <v>2023</v>
      </c>
      <c r="F99">
        <v>1</v>
      </c>
      <c r="G99">
        <v>3</v>
      </c>
      <c r="H99">
        <v>1</v>
      </c>
      <c r="J99">
        <v>1</v>
      </c>
      <c r="K99" s="234" t="s">
        <v>1633</v>
      </c>
      <c r="L99">
        <v>2025</v>
      </c>
      <c r="M99">
        <v>1</v>
      </c>
      <c r="N99" t="s">
        <v>1598</v>
      </c>
      <c r="O99" t="s">
        <v>1617</v>
      </c>
      <c r="P99" t="s">
        <v>1634</v>
      </c>
      <c r="Q99" t="s">
        <v>1635</v>
      </c>
      <c r="R99" t="s">
        <v>1636</v>
      </c>
      <c r="T99">
        <v>2</v>
      </c>
      <c r="W99" t="s">
        <v>564</v>
      </c>
      <c r="X99" t="s">
        <v>315</v>
      </c>
      <c r="Y99">
        <v>13.2</v>
      </c>
      <c r="Z99" t="e">
        <v>#NAME?</v>
      </c>
    </row>
    <row r="100" spans="1:37">
      <c r="A100" t="s">
        <v>1023</v>
      </c>
      <c r="B100" t="s">
        <v>1135</v>
      </c>
      <c r="C100" t="s">
        <v>1142</v>
      </c>
      <c r="D100" t="s">
        <v>110</v>
      </c>
      <c r="E100">
        <v>2023</v>
      </c>
      <c r="F100">
        <v>0</v>
      </c>
      <c r="G100">
        <v>2</v>
      </c>
      <c r="H100">
        <v>0</v>
      </c>
      <c r="I100">
        <v>1</v>
      </c>
      <c r="J100">
        <v>1</v>
      </c>
      <c r="K100" t="s">
        <v>1150</v>
      </c>
      <c r="L100">
        <v>2040</v>
      </c>
      <c r="M100">
        <v>1</v>
      </c>
      <c r="N100" t="s">
        <v>1598</v>
      </c>
      <c r="O100" t="s">
        <v>1617</v>
      </c>
      <c r="P100" t="s">
        <v>1637</v>
      </c>
      <c r="Q100" t="s">
        <v>1151</v>
      </c>
      <c r="R100" t="s">
        <v>1782</v>
      </c>
      <c r="T100">
        <v>2</v>
      </c>
      <c r="U100" t="s">
        <v>331</v>
      </c>
      <c r="W100" t="s">
        <v>564</v>
      </c>
      <c r="X100" t="s">
        <v>315</v>
      </c>
      <c r="Y100">
        <v>13.2</v>
      </c>
      <c r="Z100" t="e">
        <v>#NAME?</v>
      </c>
      <c r="AI100" t="s">
        <v>309</v>
      </c>
      <c r="AK100" t="s">
        <v>310</v>
      </c>
    </row>
    <row r="101" spans="1:37">
      <c r="A101" t="s">
        <v>1023</v>
      </c>
      <c r="B101" t="s">
        <v>1158</v>
      </c>
      <c r="C101" t="s">
        <v>1160</v>
      </c>
      <c r="D101" t="s">
        <v>321</v>
      </c>
      <c r="E101">
        <v>2020</v>
      </c>
      <c r="F101">
        <v>0</v>
      </c>
      <c r="G101">
        <v>1</v>
      </c>
      <c r="H101">
        <v>0</v>
      </c>
      <c r="I101">
        <v>0</v>
      </c>
      <c r="J101">
        <v>1</v>
      </c>
      <c r="K101" t="s">
        <v>1162</v>
      </c>
      <c r="L101">
        <v>2024</v>
      </c>
      <c r="M101">
        <v>1</v>
      </c>
      <c r="O101" t="s">
        <v>407</v>
      </c>
      <c r="R101" t="s">
        <v>1783</v>
      </c>
      <c r="T101">
        <v>2</v>
      </c>
      <c r="W101" t="s">
        <v>400</v>
      </c>
      <c r="Y101">
        <v>9.1</v>
      </c>
      <c r="Z101" t="e">
        <v>#NAME?</v>
      </c>
      <c r="AA101" t="s">
        <v>216</v>
      </c>
      <c r="AB101" t="s">
        <v>441</v>
      </c>
      <c r="AE101" t="s">
        <v>309</v>
      </c>
    </row>
    <row r="102" spans="1:37">
      <c r="A102" t="s">
        <v>1023</v>
      </c>
      <c r="B102" t="s">
        <v>1165</v>
      </c>
      <c r="C102" t="s">
        <v>1166</v>
      </c>
      <c r="D102" t="s">
        <v>1167</v>
      </c>
      <c r="E102">
        <v>2021</v>
      </c>
      <c r="F102">
        <v>0</v>
      </c>
      <c r="G102">
        <v>1</v>
      </c>
      <c r="H102">
        <v>0</v>
      </c>
      <c r="I102">
        <v>0</v>
      </c>
      <c r="J102">
        <v>1</v>
      </c>
      <c r="K102" t="s">
        <v>1169</v>
      </c>
      <c r="L102">
        <v>2030</v>
      </c>
      <c r="M102">
        <v>1</v>
      </c>
      <c r="O102" t="s">
        <v>1617</v>
      </c>
      <c r="Q102" t="s">
        <v>1170</v>
      </c>
      <c r="R102" t="s">
        <v>1640</v>
      </c>
      <c r="T102">
        <v>2</v>
      </c>
      <c r="W102" t="s">
        <v>451</v>
      </c>
      <c r="X102" t="s">
        <v>416</v>
      </c>
      <c r="Y102">
        <v>9.1</v>
      </c>
      <c r="Z102" t="e">
        <v>#NAME?</v>
      </c>
      <c r="AB102" t="s">
        <v>1171</v>
      </c>
      <c r="AE102" t="s">
        <v>309</v>
      </c>
    </row>
    <row r="103" spans="1:37">
      <c r="A103" t="s">
        <v>1023</v>
      </c>
      <c r="B103" t="s">
        <v>1165</v>
      </c>
      <c r="C103" t="s">
        <v>1177</v>
      </c>
      <c r="D103" t="s">
        <v>298</v>
      </c>
      <c r="E103">
        <v>2023</v>
      </c>
      <c r="F103">
        <v>1</v>
      </c>
      <c r="G103">
        <v>3</v>
      </c>
      <c r="H103">
        <v>1</v>
      </c>
      <c r="J103">
        <v>1</v>
      </c>
      <c r="K103" t="s">
        <v>1187</v>
      </c>
      <c r="L103">
        <v>2030</v>
      </c>
      <c r="M103">
        <v>1</v>
      </c>
      <c r="O103" t="s">
        <v>407</v>
      </c>
      <c r="R103" t="s">
        <v>1641</v>
      </c>
      <c r="T103">
        <v>2</v>
      </c>
      <c r="Y103">
        <v>9.1</v>
      </c>
      <c r="Z103" t="e">
        <v>#NAME?</v>
      </c>
    </row>
    <row r="104" spans="1:37">
      <c r="A104" t="s">
        <v>1023</v>
      </c>
      <c r="B104" t="s">
        <v>1165</v>
      </c>
      <c r="C104" t="s">
        <v>1177</v>
      </c>
      <c r="D104" t="s">
        <v>298</v>
      </c>
      <c r="E104">
        <v>2023</v>
      </c>
      <c r="F104">
        <v>1</v>
      </c>
      <c r="G104">
        <v>3</v>
      </c>
      <c r="H104">
        <v>1</v>
      </c>
      <c r="J104">
        <v>1</v>
      </c>
      <c r="K104" t="s">
        <v>1189</v>
      </c>
      <c r="L104">
        <v>2030</v>
      </c>
      <c r="M104">
        <v>1</v>
      </c>
      <c r="O104" t="s">
        <v>407</v>
      </c>
      <c r="R104" t="s">
        <v>1641</v>
      </c>
      <c r="T104">
        <v>2</v>
      </c>
      <c r="Y104">
        <v>9.1</v>
      </c>
      <c r="Z104" t="e">
        <v>#NAME?</v>
      </c>
    </row>
    <row r="105" spans="1:37">
      <c r="A105" t="s">
        <v>1023</v>
      </c>
      <c r="B105" t="s">
        <v>1195</v>
      </c>
      <c r="C105" t="s">
        <v>1127</v>
      </c>
      <c r="D105" t="s">
        <v>321</v>
      </c>
      <c r="E105">
        <v>2020</v>
      </c>
      <c r="F105">
        <v>0</v>
      </c>
      <c r="G105">
        <v>1</v>
      </c>
      <c r="H105">
        <v>0</v>
      </c>
      <c r="I105">
        <v>0</v>
      </c>
      <c r="J105">
        <v>1</v>
      </c>
      <c r="K105" t="s">
        <v>1199</v>
      </c>
      <c r="L105">
        <v>2030</v>
      </c>
      <c r="M105">
        <v>1</v>
      </c>
      <c r="O105" t="s">
        <v>1527</v>
      </c>
      <c r="Q105" t="s">
        <v>1200</v>
      </c>
      <c r="R105" t="s">
        <v>1642</v>
      </c>
      <c r="T105">
        <v>2</v>
      </c>
      <c r="W105" t="s">
        <v>564</v>
      </c>
      <c r="Y105">
        <v>9.1</v>
      </c>
      <c r="Z105" t="e">
        <v>#NAME?</v>
      </c>
      <c r="AA105" t="s">
        <v>199</v>
      </c>
      <c r="AB105" t="s">
        <v>1201</v>
      </c>
      <c r="AI105" t="s">
        <v>309</v>
      </c>
    </row>
    <row r="106" spans="1:37">
      <c r="A106" t="s">
        <v>1023</v>
      </c>
      <c r="B106" t="s">
        <v>1195</v>
      </c>
      <c r="C106" t="s">
        <v>1127</v>
      </c>
      <c r="D106" t="s">
        <v>321</v>
      </c>
      <c r="E106">
        <v>2020</v>
      </c>
      <c r="F106">
        <v>0</v>
      </c>
      <c r="G106">
        <v>1</v>
      </c>
      <c r="H106">
        <v>0</v>
      </c>
      <c r="I106">
        <v>0</v>
      </c>
      <c r="J106">
        <v>1</v>
      </c>
      <c r="K106" t="s">
        <v>1203</v>
      </c>
      <c r="L106">
        <v>2030</v>
      </c>
      <c r="M106">
        <v>1</v>
      </c>
      <c r="O106" t="s">
        <v>1527</v>
      </c>
      <c r="Q106" t="s">
        <v>1204</v>
      </c>
      <c r="R106" t="s">
        <v>1643</v>
      </c>
      <c r="T106">
        <v>2</v>
      </c>
      <c r="W106" t="s">
        <v>564</v>
      </c>
      <c r="Y106">
        <v>9.1</v>
      </c>
      <c r="Z106" t="e">
        <v>#NAME?</v>
      </c>
      <c r="AA106" t="s">
        <v>199</v>
      </c>
      <c r="AB106" t="s">
        <v>1205</v>
      </c>
      <c r="AI106" t="s">
        <v>309</v>
      </c>
    </row>
    <row r="107" spans="1:37">
      <c r="A107" t="s">
        <v>1023</v>
      </c>
      <c r="B107" t="s">
        <v>1195</v>
      </c>
      <c r="C107" t="s">
        <v>1127</v>
      </c>
      <c r="D107" t="s">
        <v>321</v>
      </c>
      <c r="E107">
        <v>2020</v>
      </c>
      <c r="F107">
        <v>0</v>
      </c>
      <c r="G107">
        <v>1</v>
      </c>
      <c r="H107">
        <v>0</v>
      </c>
      <c r="I107">
        <v>0</v>
      </c>
      <c r="J107">
        <v>1</v>
      </c>
      <c r="K107" t="s">
        <v>1207</v>
      </c>
      <c r="L107">
        <v>2030</v>
      </c>
      <c r="M107">
        <v>1</v>
      </c>
      <c r="O107" t="s">
        <v>1527</v>
      </c>
      <c r="Q107" t="s">
        <v>1208</v>
      </c>
      <c r="R107" t="s">
        <v>1644</v>
      </c>
      <c r="T107">
        <v>2</v>
      </c>
      <c r="W107" t="s">
        <v>564</v>
      </c>
      <c r="Y107">
        <v>9.1</v>
      </c>
      <c r="Z107" t="e">
        <v>#NAME?</v>
      </c>
      <c r="AA107" t="s">
        <v>199</v>
      </c>
      <c r="AB107" t="s">
        <v>1209</v>
      </c>
      <c r="AI107" t="s">
        <v>309</v>
      </c>
    </row>
    <row r="108" spans="1:37">
      <c r="A108" t="s">
        <v>1023</v>
      </c>
      <c r="B108" t="s">
        <v>1135</v>
      </c>
      <c r="C108" t="s">
        <v>1127</v>
      </c>
      <c r="D108" t="s">
        <v>321</v>
      </c>
      <c r="E108">
        <v>2020</v>
      </c>
      <c r="F108">
        <v>0</v>
      </c>
      <c r="G108">
        <v>1</v>
      </c>
      <c r="H108">
        <v>0</v>
      </c>
      <c r="I108">
        <v>0</v>
      </c>
      <c r="J108">
        <v>1</v>
      </c>
      <c r="K108" t="s">
        <v>1243</v>
      </c>
      <c r="L108">
        <v>2050</v>
      </c>
      <c r="M108">
        <v>1</v>
      </c>
      <c r="O108" t="s">
        <v>1527</v>
      </c>
      <c r="R108" t="s">
        <v>1784</v>
      </c>
      <c r="T108">
        <v>2</v>
      </c>
      <c r="W108" t="s">
        <v>564</v>
      </c>
      <c r="Y108">
        <v>3.6</v>
      </c>
      <c r="Z108" t="e">
        <v>#NAME?</v>
      </c>
      <c r="AA108" t="s">
        <v>199</v>
      </c>
      <c r="AB108" t="s">
        <v>1244</v>
      </c>
      <c r="AI108" t="s">
        <v>309</v>
      </c>
    </row>
    <row r="109" spans="1:37">
      <c r="A109" t="s">
        <v>1023</v>
      </c>
      <c r="C109" t="s">
        <v>396</v>
      </c>
      <c r="D109" t="s">
        <v>102</v>
      </c>
      <c r="E109">
        <v>2023</v>
      </c>
      <c r="F109">
        <v>1</v>
      </c>
      <c r="G109">
        <v>3</v>
      </c>
      <c r="H109">
        <v>1</v>
      </c>
      <c r="J109">
        <v>1</v>
      </c>
      <c r="K109" t="s">
        <v>1123</v>
      </c>
      <c r="L109">
        <v>2030</v>
      </c>
      <c r="M109">
        <v>1</v>
      </c>
      <c r="O109" t="s">
        <v>1541</v>
      </c>
      <c r="P109" t="s">
        <v>1645</v>
      </c>
      <c r="Q109" t="s">
        <v>1124</v>
      </c>
      <c r="R109" t="s">
        <v>1785</v>
      </c>
      <c r="S109" t="s">
        <v>1004</v>
      </c>
      <c r="T109">
        <v>3</v>
      </c>
      <c r="Y109">
        <v>7.2</v>
      </c>
      <c r="Z109" t="e">
        <v>#NAME?</v>
      </c>
    </row>
    <row r="110" spans="1:37">
      <c r="A110" t="s">
        <v>1023</v>
      </c>
      <c r="C110" t="s">
        <v>396</v>
      </c>
      <c r="D110" t="s">
        <v>102</v>
      </c>
      <c r="E110">
        <v>2023</v>
      </c>
      <c r="F110">
        <v>1</v>
      </c>
      <c r="G110">
        <v>3</v>
      </c>
      <c r="H110">
        <v>1</v>
      </c>
      <c r="J110">
        <v>1</v>
      </c>
      <c r="K110" t="s">
        <v>1126</v>
      </c>
      <c r="L110">
        <v>2030</v>
      </c>
      <c r="M110">
        <v>1</v>
      </c>
      <c r="N110" t="s">
        <v>1598</v>
      </c>
      <c r="O110" t="s">
        <v>1541</v>
      </c>
      <c r="Y110">
        <v>7.2</v>
      </c>
      <c r="Z110" t="e">
        <v>#NAME?</v>
      </c>
    </row>
    <row r="111" spans="1:37">
      <c r="A111" t="s">
        <v>1023</v>
      </c>
      <c r="C111" t="s">
        <v>591</v>
      </c>
      <c r="D111" t="s">
        <v>321</v>
      </c>
      <c r="E111">
        <v>2023</v>
      </c>
      <c r="F111">
        <v>0</v>
      </c>
      <c r="G111">
        <v>1</v>
      </c>
      <c r="H111">
        <v>0</v>
      </c>
      <c r="I111">
        <v>0</v>
      </c>
      <c r="J111">
        <v>1</v>
      </c>
      <c r="K111" t="s">
        <v>1133</v>
      </c>
      <c r="L111">
        <v>2030</v>
      </c>
      <c r="M111">
        <v>1</v>
      </c>
      <c r="O111" t="s">
        <v>593</v>
      </c>
      <c r="P111" t="s">
        <v>1649</v>
      </c>
      <c r="Q111" t="s">
        <v>1134</v>
      </c>
      <c r="W111" t="s">
        <v>594</v>
      </c>
      <c r="X111" t="s">
        <v>395</v>
      </c>
      <c r="Y111">
        <v>7.3</v>
      </c>
      <c r="Z111" t="e">
        <v>#NAME?</v>
      </c>
      <c r="AE111" t="s">
        <v>309</v>
      </c>
    </row>
    <row r="112" spans="1:37">
      <c r="A112" t="s">
        <v>1023</v>
      </c>
      <c r="B112" t="s">
        <v>1165</v>
      </c>
      <c r="C112" t="s">
        <v>1177</v>
      </c>
      <c r="D112" t="s">
        <v>298</v>
      </c>
      <c r="E112">
        <v>2023</v>
      </c>
      <c r="F112">
        <v>1</v>
      </c>
      <c r="G112">
        <v>3</v>
      </c>
      <c r="H112">
        <v>1</v>
      </c>
      <c r="J112">
        <v>1</v>
      </c>
      <c r="K112" t="s">
        <v>1179</v>
      </c>
      <c r="M112">
        <v>1</v>
      </c>
      <c r="O112" t="s">
        <v>1650</v>
      </c>
      <c r="W112" t="s">
        <v>451</v>
      </c>
      <c r="X112" t="s">
        <v>711</v>
      </c>
      <c r="Y112">
        <v>9.4</v>
      </c>
      <c r="Z112" t="e">
        <v>#NAME?</v>
      </c>
      <c r="AE112" t="s">
        <v>309</v>
      </c>
    </row>
    <row r="113" spans="1:37">
      <c r="A113" t="s">
        <v>1023</v>
      </c>
      <c r="B113" t="s">
        <v>1165</v>
      </c>
      <c r="C113" t="s">
        <v>1177</v>
      </c>
      <c r="D113" t="s">
        <v>298</v>
      </c>
      <c r="E113">
        <v>2023</v>
      </c>
      <c r="F113">
        <v>1</v>
      </c>
      <c r="G113">
        <v>3</v>
      </c>
      <c r="H113">
        <v>1</v>
      </c>
      <c r="J113">
        <v>1</v>
      </c>
      <c r="K113" t="s">
        <v>1651</v>
      </c>
      <c r="L113">
        <v>2027</v>
      </c>
      <c r="M113">
        <v>1</v>
      </c>
      <c r="O113" t="s">
        <v>1650</v>
      </c>
      <c r="W113" t="s">
        <v>451</v>
      </c>
      <c r="X113" t="s">
        <v>711</v>
      </c>
      <c r="Y113">
        <v>9.1</v>
      </c>
      <c r="Z113" t="e">
        <v>#NAME?</v>
      </c>
      <c r="AE113" t="s">
        <v>309</v>
      </c>
    </row>
    <row r="114" spans="1:37">
      <c r="A114" t="s">
        <v>1023</v>
      </c>
      <c r="B114" t="s">
        <v>1165</v>
      </c>
      <c r="C114" t="s">
        <v>1177</v>
      </c>
      <c r="D114" t="s">
        <v>298</v>
      </c>
      <c r="E114">
        <v>2023</v>
      </c>
      <c r="F114">
        <v>1</v>
      </c>
      <c r="G114">
        <v>3</v>
      </c>
      <c r="H114">
        <v>1</v>
      </c>
      <c r="J114">
        <v>1</v>
      </c>
      <c r="K114" t="s">
        <v>1652</v>
      </c>
      <c r="L114">
        <v>2035</v>
      </c>
      <c r="M114">
        <v>1</v>
      </c>
      <c r="O114" t="s">
        <v>1650</v>
      </c>
      <c r="W114" t="s">
        <v>451</v>
      </c>
      <c r="X114" t="s">
        <v>400</v>
      </c>
      <c r="Y114">
        <v>9.1</v>
      </c>
      <c r="Z114" t="e">
        <v>#NAME?</v>
      </c>
      <c r="AE114" t="s">
        <v>309</v>
      </c>
      <c r="AF114" t="s">
        <v>310</v>
      </c>
    </row>
    <row r="115" spans="1:37">
      <c r="A115" t="s">
        <v>1023</v>
      </c>
      <c r="B115" t="s">
        <v>1165</v>
      </c>
      <c r="C115" t="s">
        <v>1177</v>
      </c>
      <c r="D115" t="s">
        <v>298</v>
      </c>
      <c r="E115">
        <v>2023</v>
      </c>
      <c r="F115">
        <v>1</v>
      </c>
      <c r="G115">
        <v>3</v>
      </c>
      <c r="H115">
        <v>1</v>
      </c>
      <c r="J115">
        <v>1</v>
      </c>
      <c r="K115" t="s">
        <v>1653</v>
      </c>
      <c r="L115">
        <v>2025</v>
      </c>
      <c r="M115">
        <v>1</v>
      </c>
      <c r="O115" t="s">
        <v>1541</v>
      </c>
      <c r="Y115">
        <v>9.1</v>
      </c>
      <c r="Z115" t="e">
        <v>#NAME?</v>
      </c>
    </row>
    <row r="116" spans="1:37">
      <c r="A116" t="s">
        <v>1023</v>
      </c>
      <c r="B116" t="s">
        <v>1165</v>
      </c>
      <c r="C116" t="s">
        <v>1177</v>
      </c>
      <c r="D116" t="s">
        <v>298</v>
      </c>
      <c r="E116">
        <v>2023</v>
      </c>
      <c r="F116">
        <v>1</v>
      </c>
      <c r="G116">
        <v>3</v>
      </c>
      <c r="H116">
        <v>1</v>
      </c>
      <c r="J116">
        <v>1</v>
      </c>
      <c r="K116" t="s">
        <v>1654</v>
      </c>
      <c r="L116">
        <v>2027</v>
      </c>
      <c r="M116">
        <v>1</v>
      </c>
      <c r="O116" t="s">
        <v>1541</v>
      </c>
      <c r="Y116">
        <v>9.1</v>
      </c>
      <c r="Z116" t="e">
        <v>#NAME?</v>
      </c>
    </row>
    <row r="117" spans="1:37">
      <c r="A117" t="s">
        <v>1023</v>
      </c>
      <c r="B117" t="s">
        <v>1165</v>
      </c>
      <c r="C117" t="s">
        <v>1177</v>
      </c>
      <c r="D117" t="s">
        <v>298</v>
      </c>
      <c r="E117">
        <v>2023</v>
      </c>
      <c r="F117">
        <v>1</v>
      </c>
      <c r="G117">
        <v>3</v>
      </c>
      <c r="H117">
        <v>1</v>
      </c>
      <c r="J117">
        <v>1</v>
      </c>
      <c r="K117" t="s">
        <v>1655</v>
      </c>
      <c r="L117">
        <v>2030</v>
      </c>
      <c r="M117">
        <v>1</v>
      </c>
      <c r="O117" t="s">
        <v>1541</v>
      </c>
      <c r="Y117">
        <v>9.1</v>
      </c>
      <c r="Z117" t="e">
        <v>#NAME?</v>
      </c>
    </row>
    <row r="118" spans="1:37">
      <c r="A118" t="s">
        <v>1023</v>
      </c>
      <c r="B118" t="s">
        <v>1165</v>
      </c>
      <c r="C118" t="s">
        <v>1177</v>
      </c>
      <c r="D118" t="s">
        <v>298</v>
      </c>
      <c r="E118">
        <v>2023</v>
      </c>
      <c r="F118">
        <v>1</v>
      </c>
      <c r="G118">
        <v>3</v>
      </c>
      <c r="H118">
        <v>1</v>
      </c>
      <c r="J118">
        <v>1</v>
      </c>
      <c r="K118" t="s">
        <v>1656</v>
      </c>
      <c r="L118">
        <v>2030</v>
      </c>
      <c r="M118">
        <v>1</v>
      </c>
      <c r="O118" t="s">
        <v>1541</v>
      </c>
      <c r="Y118">
        <v>9.1</v>
      </c>
      <c r="Z118" t="e">
        <v>#NAME?</v>
      </c>
    </row>
    <row r="119" spans="1:37">
      <c r="A119" t="s">
        <v>1023</v>
      </c>
      <c r="B119" t="s">
        <v>1165</v>
      </c>
      <c r="C119" t="s">
        <v>1177</v>
      </c>
      <c r="D119" t="s">
        <v>298</v>
      </c>
      <c r="E119">
        <v>2023</v>
      </c>
      <c r="F119">
        <v>1</v>
      </c>
      <c r="G119">
        <v>3</v>
      </c>
      <c r="H119">
        <v>1</v>
      </c>
      <c r="J119">
        <v>1</v>
      </c>
      <c r="K119" t="s">
        <v>1183</v>
      </c>
      <c r="L119">
        <v>2030</v>
      </c>
      <c r="M119">
        <v>1</v>
      </c>
      <c r="O119" t="s">
        <v>1541</v>
      </c>
      <c r="Y119">
        <v>9.1</v>
      </c>
      <c r="Z119" t="e">
        <v>#NAME?</v>
      </c>
    </row>
    <row r="120" spans="1:37">
      <c r="A120" t="s">
        <v>1023</v>
      </c>
      <c r="B120" t="s">
        <v>1165</v>
      </c>
      <c r="C120" t="s">
        <v>1177</v>
      </c>
      <c r="D120" t="s">
        <v>298</v>
      </c>
      <c r="E120">
        <v>2023</v>
      </c>
      <c r="F120">
        <v>1</v>
      </c>
      <c r="G120">
        <v>3</v>
      </c>
      <c r="H120">
        <v>1</v>
      </c>
      <c r="J120">
        <v>1</v>
      </c>
      <c r="K120" t="s">
        <v>1185</v>
      </c>
      <c r="L120">
        <v>2031</v>
      </c>
      <c r="M120">
        <v>1</v>
      </c>
      <c r="O120" t="s">
        <v>1650</v>
      </c>
      <c r="W120" t="s">
        <v>451</v>
      </c>
      <c r="X120" t="s">
        <v>400</v>
      </c>
      <c r="Y120">
        <v>9.4</v>
      </c>
      <c r="Z120" t="e">
        <v>#NAME?</v>
      </c>
      <c r="AE120" t="s">
        <v>309</v>
      </c>
      <c r="AF120" t="s">
        <v>310</v>
      </c>
    </row>
    <row r="121" spans="1:37">
      <c r="A121" t="s">
        <v>1023</v>
      </c>
      <c r="B121" t="s">
        <v>1165</v>
      </c>
      <c r="C121" t="s">
        <v>1177</v>
      </c>
      <c r="D121" t="s">
        <v>298</v>
      </c>
      <c r="E121">
        <v>2023</v>
      </c>
      <c r="F121">
        <v>1</v>
      </c>
      <c r="G121">
        <v>3</v>
      </c>
      <c r="H121">
        <v>1</v>
      </c>
      <c r="J121">
        <v>1</v>
      </c>
      <c r="K121" t="s">
        <v>1191</v>
      </c>
      <c r="L121">
        <v>2030</v>
      </c>
      <c r="M121">
        <v>1</v>
      </c>
      <c r="O121" t="s">
        <v>1541</v>
      </c>
      <c r="Y121">
        <v>9.1</v>
      </c>
      <c r="Z121" t="e">
        <v>#NAME?</v>
      </c>
    </row>
    <row r="122" spans="1:37">
      <c r="A122" t="s">
        <v>1023</v>
      </c>
      <c r="B122" t="s">
        <v>1165</v>
      </c>
      <c r="C122" t="s">
        <v>1177</v>
      </c>
      <c r="D122" t="s">
        <v>298</v>
      </c>
      <c r="E122">
        <v>2023</v>
      </c>
      <c r="F122">
        <v>1</v>
      </c>
      <c r="G122">
        <v>3</v>
      </c>
      <c r="H122">
        <v>1</v>
      </c>
      <c r="J122">
        <v>1</v>
      </c>
      <c r="K122" t="s">
        <v>1657</v>
      </c>
      <c r="L122">
        <v>2030</v>
      </c>
      <c r="M122">
        <v>1</v>
      </c>
      <c r="O122" t="s">
        <v>1650</v>
      </c>
      <c r="W122" t="s">
        <v>451</v>
      </c>
      <c r="Y122">
        <v>9.4</v>
      </c>
      <c r="Z122" t="e">
        <v>#NAME?</v>
      </c>
      <c r="AE122" t="s">
        <v>309</v>
      </c>
    </row>
    <row r="123" spans="1:37">
      <c r="A123" t="s">
        <v>1023</v>
      </c>
      <c r="B123" t="s">
        <v>1165</v>
      </c>
      <c r="C123" t="s">
        <v>1177</v>
      </c>
      <c r="D123" t="s">
        <v>298</v>
      </c>
      <c r="E123">
        <v>2023</v>
      </c>
      <c r="F123">
        <v>1</v>
      </c>
      <c r="G123">
        <v>3</v>
      </c>
      <c r="H123">
        <v>1</v>
      </c>
      <c r="J123">
        <v>1</v>
      </c>
      <c r="K123" t="s">
        <v>1193</v>
      </c>
      <c r="L123">
        <v>2030</v>
      </c>
      <c r="M123">
        <v>1</v>
      </c>
      <c r="O123" t="s">
        <v>1650</v>
      </c>
      <c r="W123" t="s">
        <v>451</v>
      </c>
      <c r="Y123">
        <v>9.4</v>
      </c>
      <c r="Z123" t="e">
        <v>#NAME?</v>
      </c>
      <c r="AE123" t="s">
        <v>309</v>
      </c>
    </row>
    <row r="124" spans="1:37">
      <c r="A124" t="s">
        <v>1023</v>
      </c>
      <c r="B124" t="s">
        <v>1218</v>
      </c>
      <c r="C124" t="s">
        <v>1127</v>
      </c>
      <c r="D124" t="s">
        <v>321</v>
      </c>
      <c r="E124">
        <v>2020</v>
      </c>
      <c r="F124">
        <v>0</v>
      </c>
      <c r="G124">
        <v>1</v>
      </c>
      <c r="H124">
        <v>0</v>
      </c>
      <c r="I124">
        <v>0</v>
      </c>
      <c r="J124">
        <v>1</v>
      </c>
      <c r="K124" t="s">
        <v>1222</v>
      </c>
      <c r="L124">
        <v>2030</v>
      </c>
      <c r="M124">
        <v>1</v>
      </c>
      <c r="O124" t="s">
        <v>1617</v>
      </c>
      <c r="W124" t="s">
        <v>564</v>
      </c>
      <c r="X124" t="s">
        <v>315</v>
      </c>
      <c r="Y124">
        <v>9.4</v>
      </c>
      <c r="Z124" t="e">
        <v>#NAME?</v>
      </c>
      <c r="AA124" t="s">
        <v>190</v>
      </c>
      <c r="AB124" t="s">
        <v>1131</v>
      </c>
      <c r="AI124" t="s">
        <v>309</v>
      </c>
    </row>
    <row r="125" spans="1:37">
      <c r="A125" t="s">
        <v>1023</v>
      </c>
      <c r="B125" t="s">
        <v>1218</v>
      </c>
      <c r="C125" t="s">
        <v>1127</v>
      </c>
      <c r="D125" t="s">
        <v>321</v>
      </c>
      <c r="E125">
        <v>2020</v>
      </c>
      <c r="F125">
        <v>0</v>
      </c>
      <c r="G125">
        <v>1</v>
      </c>
      <c r="H125">
        <v>0</v>
      </c>
      <c r="I125">
        <v>0</v>
      </c>
      <c r="J125">
        <v>1</v>
      </c>
      <c r="K125" t="s">
        <v>1658</v>
      </c>
      <c r="L125">
        <v>2030</v>
      </c>
      <c r="M125">
        <v>1</v>
      </c>
      <c r="O125" t="s">
        <v>1617</v>
      </c>
      <c r="W125" t="s">
        <v>564</v>
      </c>
      <c r="X125" t="s">
        <v>315</v>
      </c>
      <c r="Y125">
        <v>11.2</v>
      </c>
      <c r="Z125" t="e">
        <v>#NAME?</v>
      </c>
      <c r="AA125" t="s">
        <v>196</v>
      </c>
      <c r="AB125" t="s">
        <v>1225</v>
      </c>
      <c r="AI125" t="s">
        <v>309</v>
      </c>
    </row>
    <row r="126" spans="1:37">
      <c r="A126" t="s">
        <v>1023</v>
      </c>
      <c r="B126" t="s">
        <v>1218</v>
      </c>
      <c r="C126" t="s">
        <v>1127</v>
      </c>
      <c r="D126" t="s">
        <v>321</v>
      </c>
      <c r="E126">
        <v>2020</v>
      </c>
      <c r="F126">
        <v>0</v>
      </c>
      <c r="G126">
        <v>1</v>
      </c>
      <c r="H126">
        <v>0</v>
      </c>
      <c r="I126">
        <v>0</v>
      </c>
      <c r="J126">
        <v>1</v>
      </c>
      <c r="K126" t="s">
        <v>1227</v>
      </c>
      <c r="L126">
        <v>2030</v>
      </c>
      <c r="M126">
        <v>1</v>
      </c>
      <c r="O126" t="s">
        <v>1617</v>
      </c>
      <c r="W126" t="s">
        <v>564</v>
      </c>
      <c r="X126" t="s">
        <v>315</v>
      </c>
      <c r="Y126">
        <v>9.4</v>
      </c>
      <c r="Z126" t="e">
        <v>#NAME?</v>
      </c>
      <c r="AI126" t="s">
        <v>309</v>
      </c>
    </row>
    <row r="127" spans="1:37">
      <c r="A127" t="s">
        <v>1023</v>
      </c>
      <c r="B127" t="s">
        <v>1135</v>
      </c>
      <c r="C127" t="s">
        <v>1247</v>
      </c>
      <c r="D127" t="s">
        <v>321</v>
      </c>
      <c r="E127">
        <v>2021</v>
      </c>
      <c r="F127">
        <v>0</v>
      </c>
      <c r="G127">
        <v>1</v>
      </c>
      <c r="H127">
        <v>0</v>
      </c>
      <c r="I127">
        <v>0</v>
      </c>
      <c r="J127">
        <v>1</v>
      </c>
      <c r="K127" t="s">
        <v>1249</v>
      </c>
      <c r="L127">
        <v>2030</v>
      </c>
      <c r="M127">
        <v>1</v>
      </c>
      <c r="N127" t="s">
        <v>1659</v>
      </c>
      <c r="O127" t="s">
        <v>1660</v>
      </c>
      <c r="R127" t="s">
        <v>1786</v>
      </c>
      <c r="W127" t="s">
        <v>315</v>
      </c>
      <c r="Y127">
        <v>13.2</v>
      </c>
      <c r="Z127" t="e">
        <v>#NAME?</v>
      </c>
      <c r="AI127" t="s">
        <v>309</v>
      </c>
      <c r="AK127" t="s">
        <v>310</v>
      </c>
    </row>
    <row r="128" spans="1:37">
      <c r="A128" t="s">
        <v>1258</v>
      </c>
      <c r="B128" t="s">
        <v>1259</v>
      </c>
      <c r="C128" t="s">
        <v>1260</v>
      </c>
      <c r="D128" t="s">
        <v>321</v>
      </c>
      <c r="E128">
        <v>2020</v>
      </c>
      <c r="F128">
        <v>0</v>
      </c>
      <c r="G128">
        <v>1</v>
      </c>
      <c r="H128">
        <v>0</v>
      </c>
      <c r="I128">
        <v>0</v>
      </c>
      <c r="J128">
        <v>1</v>
      </c>
      <c r="K128" t="s">
        <v>1333</v>
      </c>
      <c r="L128">
        <v>2030</v>
      </c>
      <c r="M128">
        <v>1</v>
      </c>
      <c r="N128" t="s">
        <v>1662</v>
      </c>
      <c r="O128" t="s">
        <v>696</v>
      </c>
      <c r="R128" t="s">
        <v>1663</v>
      </c>
      <c r="T128">
        <v>0</v>
      </c>
      <c r="Y128">
        <v>2.2000000000000002</v>
      </c>
      <c r="Z128" t="e">
        <v>#NAME?</v>
      </c>
    </row>
    <row r="129" spans="1:40">
      <c r="A129" t="s">
        <v>1258</v>
      </c>
      <c r="B129" t="s">
        <v>1259</v>
      </c>
      <c r="C129" t="s">
        <v>1260</v>
      </c>
      <c r="D129" t="s">
        <v>321</v>
      </c>
      <c r="E129">
        <v>2020</v>
      </c>
      <c r="F129">
        <v>0</v>
      </c>
      <c r="G129">
        <v>1</v>
      </c>
      <c r="H129">
        <v>0</v>
      </c>
      <c r="I129">
        <v>0</v>
      </c>
      <c r="J129">
        <v>1</v>
      </c>
      <c r="K129" t="s">
        <v>1325</v>
      </c>
      <c r="L129">
        <v>2030</v>
      </c>
      <c r="M129">
        <v>1</v>
      </c>
      <c r="N129" t="s">
        <v>1662</v>
      </c>
      <c r="O129" t="s">
        <v>696</v>
      </c>
      <c r="R129" t="s">
        <v>1663</v>
      </c>
      <c r="T129">
        <v>0</v>
      </c>
      <c r="Y129">
        <v>12.8</v>
      </c>
      <c r="Z129" t="e">
        <v>#NAME?</v>
      </c>
    </row>
    <row r="130" spans="1:40">
      <c r="A130" t="s">
        <v>1258</v>
      </c>
      <c r="B130" t="s">
        <v>1259</v>
      </c>
      <c r="C130" t="s">
        <v>1260</v>
      </c>
      <c r="D130" t="s">
        <v>321</v>
      </c>
      <c r="E130">
        <v>2020</v>
      </c>
      <c r="F130">
        <v>0</v>
      </c>
      <c r="G130">
        <v>1</v>
      </c>
      <c r="H130">
        <v>0</v>
      </c>
      <c r="I130">
        <v>0</v>
      </c>
      <c r="J130">
        <v>1</v>
      </c>
      <c r="K130" t="s">
        <v>1321</v>
      </c>
      <c r="L130">
        <v>2030</v>
      </c>
      <c r="M130">
        <v>1</v>
      </c>
      <c r="N130" t="s">
        <v>1662</v>
      </c>
      <c r="O130" t="s">
        <v>696</v>
      </c>
      <c r="R130" t="s">
        <v>1787</v>
      </c>
      <c r="T130">
        <v>0</v>
      </c>
      <c r="Y130">
        <v>2.4</v>
      </c>
      <c r="Z130" t="e">
        <v>#NAME?</v>
      </c>
    </row>
    <row r="131" spans="1:40">
      <c r="A131" t="s">
        <v>1258</v>
      </c>
      <c r="B131" t="s">
        <v>1259</v>
      </c>
      <c r="C131" t="s">
        <v>1260</v>
      </c>
      <c r="D131" t="s">
        <v>321</v>
      </c>
      <c r="E131">
        <v>2020</v>
      </c>
      <c r="F131">
        <v>0</v>
      </c>
      <c r="G131">
        <v>1</v>
      </c>
      <c r="H131">
        <v>0</v>
      </c>
      <c r="I131">
        <v>0</v>
      </c>
      <c r="J131">
        <v>1</v>
      </c>
      <c r="K131" t="s">
        <v>1319</v>
      </c>
      <c r="L131">
        <v>2030</v>
      </c>
      <c r="M131">
        <v>1</v>
      </c>
      <c r="N131" t="s">
        <v>1662</v>
      </c>
      <c r="O131" t="s">
        <v>696</v>
      </c>
      <c r="R131" t="s">
        <v>1663</v>
      </c>
      <c r="T131">
        <v>0</v>
      </c>
      <c r="Y131">
        <v>8.5</v>
      </c>
      <c r="Z131" t="e">
        <v>#NAME?</v>
      </c>
    </row>
    <row r="132" spans="1:40">
      <c r="A132" t="s">
        <v>1258</v>
      </c>
      <c r="B132" t="s">
        <v>1259</v>
      </c>
      <c r="C132" t="s">
        <v>1260</v>
      </c>
      <c r="D132" t="s">
        <v>321</v>
      </c>
      <c r="E132">
        <v>2020</v>
      </c>
      <c r="F132">
        <v>0</v>
      </c>
      <c r="G132">
        <v>1</v>
      </c>
      <c r="H132">
        <v>0</v>
      </c>
      <c r="I132">
        <v>0</v>
      </c>
      <c r="J132">
        <v>1</v>
      </c>
      <c r="K132" t="s">
        <v>1299</v>
      </c>
      <c r="L132">
        <v>2030</v>
      </c>
      <c r="M132">
        <v>1</v>
      </c>
      <c r="N132" t="s">
        <v>1662</v>
      </c>
      <c r="O132" t="s">
        <v>696</v>
      </c>
      <c r="R132" t="s">
        <v>1667</v>
      </c>
      <c r="T132">
        <v>0</v>
      </c>
      <c r="Y132">
        <v>2.4</v>
      </c>
      <c r="Z132" t="e">
        <v>#NAME?</v>
      </c>
    </row>
    <row r="133" spans="1:40">
      <c r="A133" t="s">
        <v>1258</v>
      </c>
      <c r="B133" t="s">
        <v>1259</v>
      </c>
      <c r="C133" t="s">
        <v>1260</v>
      </c>
      <c r="D133" t="s">
        <v>321</v>
      </c>
      <c r="E133">
        <v>2020</v>
      </c>
      <c r="F133">
        <v>0</v>
      </c>
      <c r="G133">
        <v>1</v>
      </c>
      <c r="H133">
        <v>0</v>
      </c>
      <c r="I133">
        <v>0</v>
      </c>
      <c r="J133">
        <v>1</v>
      </c>
      <c r="K133" t="s">
        <v>1339</v>
      </c>
      <c r="L133">
        <v>2030</v>
      </c>
      <c r="M133">
        <v>1</v>
      </c>
      <c r="N133" t="s">
        <v>1662</v>
      </c>
      <c r="O133" t="s">
        <v>696</v>
      </c>
      <c r="P133" t="s">
        <v>1669</v>
      </c>
      <c r="R133" t="s">
        <v>1670</v>
      </c>
      <c r="T133">
        <v>1</v>
      </c>
      <c r="Y133">
        <v>2.2000000000000002</v>
      </c>
      <c r="Z133" t="e">
        <v>#NAME?</v>
      </c>
    </row>
    <row r="134" spans="1:40">
      <c r="A134" t="s">
        <v>1258</v>
      </c>
      <c r="B134" t="s">
        <v>1259</v>
      </c>
      <c r="C134" t="s">
        <v>1260</v>
      </c>
      <c r="D134" t="s">
        <v>321</v>
      </c>
      <c r="E134">
        <v>2020</v>
      </c>
      <c r="F134">
        <v>0</v>
      </c>
      <c r="G134">
        <v>1</v>
      </c>
      <c r="H134">
        <v>0</v>
      </c>
      <c r="I134">
        <v>0</v>
      </c>
      <c r="J134">
        <v>1</v>
      </c>
      <c r="K134" t="s">
        <v>1291</v>
      </c>
      <c r="L134">
        <v>2030</v>
      </c>
      <c r="M134">
        <v>1</v>
      </c>
      <c r="N134" t="s">
        <v>1662</v>
      </c>
      <c r="O134" t="s">
        <v>696</v>
      </c>
      <c r="P134" t="s">
        <v>1671</v>
      </c>
      <c r="R134" t="s">
        <v>1672</v>
      </c>
      <c r="T134">
        <v>1</v>
      </c>
      <c r="Y134">
        <v>7.3</v>
      </c>
      <c r="Z134" t="e">
        <v>#NAME?</v>
      </c>
    </row>
    <row r="135" spans="1:40">
      <c r="A135" t="s">
        <v>1258</v>
      </c>
      <c r="B135" t="s">
        <v>1259</v>
      </c>
      <c r="C135" t="s">
        <v>1260</v>
      </c>
      <c r="D135" t="s">
        <v>321</v>
      </c>
      <c r="E135">
        <v>2020</v>
      </c>
      <c r="F135">
        <v>0</v>
      </c>
      <c r="G135">
        <v>1</v>
      </c>
      <c r="H135">
        <v>0</v>
      </c>
      <c r="I135">
        <v>0</v>
      </c>
      <c r="J135">
        <v>1</v>
      </c>
      <c r="K135" t="s">
        <v>1293</v>
      </c>
      <c r="L135">
        <v>2030</v>
      </c>
      <c r="M135">
        <v>1</v>
      </c>
      <c r="N135" t="s">
        <v>1662</v>
      </c>
      <c r="O135" t="s">
        <v>696</v>
      </c>
      <c r="P135" t="s">
        <v>1673</v>
      </c>
      <c r="R135" t="s">
        <v>1788</v>
      </c>
      <c r="T135">
        <v>1</v>
      </c>
      <c r="Y135">
        <v>15.5</v>
      </c>
      <c r="Z135" t="e">
        <v>#NAME?</v>
      </c>
    </row>
    <row r="136" spans="1:40">
      <c r="A136" t="s">
        <v>1258</v>
      </c>
      <c r="B136" t="s">
        <v>1259</v>
      </c>
      <c r="C136" t="s">
        <v>1260</v>
      </c>
      <c r="D136" t="s">
        <v>321</v>
      </c>
      <c r="E136">
        <v>2020</v>
      </c>
      <c r="F136">
        <v>0</v>
      </c>
      <c r="G136">
        <v>1</v>
      </c>
      <c r="H136">
        <v>0</v>
      </c>
      <c r="I136">
        <v>0</v>
      </c>
      <c r="J136">
        <v>1</v>
      </c>
      <c r="K136" t="s">
        <v>1301</v>
      </c>
      <c r="L136">
        <v>2030</v>
      </c>
      <c r="M136">
        <v>1</v>
      </c>
      <c r="N136" t="s">
        <v>1662</v>
      </c>
      <c r="O136" t="s">
        <v>696</v>
      </c>
      <c r="R136" t="s">
        <v>1789</v>
      </c>
      <c r="T136">
        <v>1</v>
      </c>
      <c r="Y136">
        <v>2.4</v>
      </c>
      <c r="Z136" t="e">
        <v>#NAME?</v>
      </c>
    </row>
    <row r="137" spans="1:40" ht="160">
      <c r="A137" t="s">
        <v>1258</v>
      </c>
      <c r="B137" t="s">
        <v>1259</v>
      </c>
      <c r="C137" t="s">
        <v>1260</v>
      </c>
      <c r="D137" t="s">
        <v>321</v>
      </c>
      <c r="E137">
        <v>2020</v>
      </c>
      <c r="F137">
        <v>0</v>
      </c>
      <c r="G137">
        <v>1</v>
      </c>
      <c r="H137">
        <v>0</v>
      </c>
      <c r="I137">
        <v>0</v>
      </c>
      <c r="J137">
        <v>1</v>
      </c>
      <c r="K137" t="s">
        <v>1309</v>
      </c>
      <c r="L137">
        <v>2030</v>
      </c>
      <c r="M137">
        <v>1</v>
      </c>
      <c r="N137" t="s">
        <v>1662</v>
      </c>
      <c r="O137" t="s">
        <v>696</v>
      </c>
      <c r="P137" t="s">
        <v>1676</v>
      </c>
      <c r="R137" s="234" t="s">
        <v>1790</v>
      </c>
      <c r="T137">
        <v>1</v>
      </c>
      <c r="Y137">
        <v>2.1</v>
      </c>
      <c r="Z137" t="e">
        <v>#NAME?</v>
      </c>
    </row>
    <row r="138" spans="1:40" ht="409.6">
      <c r="A138" t="s">
        <v>1258</v>
      </c>
      <c r="B138" t="s">
        <v>1259</v>
      </c>
      <c r="C138" t="s">
        <v>1260</v>
      </c>
      <c r="D138" t="s">
        <v>321</v>
      </c>
      <c r="E138">
        <v>2020</v>
      </c>
      <c r="F138">
        <v>0</v>
      </c>
      <c r="G138">
        <v>1</v>
      </c>
      <c r="H138">
        <v>0</v>
      </c>
      <c r="I138">
        <v>0</v>
      </c>
      <c r="J138">
        <v>1</v>
      </c>
      <c r="K138" t="s">
        <v>1317</v>
      </c>
      <c r="L138">
        <v>2030</v>
      </c>
      <c r="M138">
        <v>1</v>
      </c>
      <c r="N138" t="s">
        <v>1662</v>
      </c>
      <c r="O138" t="s">
        <v>696</v>
      </c>
      <c r="P138" t="s">
        <v>1678</v>
      </c>
      <c r="R138" s="234" t="s">
        <v>1791</v>
      </c>
      <c r="T138">
        <v>1</v>
      </c>
      <c r="Y138">
        <v>8.3000000000000007</v>
      </c>
      <c r="Z138" t="e">
        <v>#NAME?</v>
      </c>
    </row>
    <row r="139" spans="1:40">
      <c r="A139" t="s">
        <v>1258</v>
      </c>
      <c r="B139" t="s">
        <v>1259</v>
      </c>
      <c r="C139" t="s">
        <v>1260</v>
      </c>
      <c r="D139" t="s">
        <v>321</v>
      </c>
      <c r="E139">
        <v>2020</v>
      </c>
      <c r="F139">
        <v>0</v>
      </c>
      <c r="G139">
        <v>1</v>
      </c>
      <c r="H139">
        <v>0</v>
      </c>
      <c r="I139">
        <v>0</v>
      </c>
      <c r="J139">
        <v>1</v>
      </c>
      <c r="K139" t="s">
        <v>1341</v>
      </c>
      <c r="L139">
        <v>2030</v>
      </c>
      <c r="M139">
        <v>1</v>
      </c>
      <c r="N139" t="s">
        <v>1662</v>
      </c>
      <c r="O139" t="s">
        <v>696</v>
      </c>
      <c r="P139" t="s">
        <v>1680</v>
      </c>
      <c r="R139" t="s">
        <v>1792</v>
      </c>
      <c r="T139">
        <v>2</v>
      </c>
      <c r="Y139">
        <v>2.4</v>
      </c>
      <c r="Z139" t="e">
        <v>#NAME?</v>
      </c>
    </row>
    <row r="140" spans="1:40">
      <c r="A140" t="s">
        <v>1258</v>
      </c>
      <c r="B140" t="s">
        <v>1259</v>
      </c>
      <c r="C140" t="s">
        <v>1260</v>
      </c>
      <c r="D140" t="s">
        <v>321</v>
      </c>
      <c r="E140">
        <v>2020</v>
      </c>
      <c r="F140">
        <v>0</v>
      </c>
      <c r="G140">
        <v>1</v>
      </c>
      <c r="H140">
        <v>0</v>
      </c>
      <c r="I140">
        <v>0</v>
      </c>
      <c r="J140">
        <v>1</v>
      </c>
      <c r="K140" t="s">
        <v>1337</v>
      </c>
      <c r="L140">
        <v>2030</v>
      </c>
      <c r="M140">
        <v>1</v>
      </c>
      <c r="N140" t="s">
        <v>1662</v>
      </c>
      <c r="O140" t="s">
        <v>696</v>
      </c>
      <c r="R140" t="s">
        <v>1663</v>
      </c>
      <c r="T140">
        <v>2</v>
      </c>
      <c r="Y140">
        <v>2.2000000000000002</v>
      </c>
      <c r="Z140" t="e">
        <v>#NAME?</v>
      </c>
    </row>
    <row r="141" spans="1:40">
      <c r="A141" t="s">
        <v>1258</v>
      </c>
      <c r="B141" t="s">
        <v>1259</v>
      </c>
      <c r="C141" t="s">
        <v>1260</v>
      </c>
      <c r="D141" t="s">
        <v>321</v>
      </c>
      <c r="E141">
        <v>2020</v>
      </c>
      <c r="F141">
        <v>0</v>
      </c>
      <c r="G141">
        <v>1</v>
      </c>
      <c r="H141">
        <v>0</v>
      </c>
      <c r="I141">
        <v>0</v>
      </c>
      <c r="J141">
        <v>1</v>
      </c>
      <c r="K141" t="s">
        <v>1335</v>
      </c>
      <c r="L141">
        <v>2030</v>
      </c>
      <c r="M141">
        <v>1</v>
      </c>
      <c r="N141" t="s">
        <v>1682</v>
      </c>
      <c r="O141" t="s">
        <v>696</v>
      </c>
      <c r="P141" t="s">
        <v>1683</v>
      </c>
      <c r="R141" t="s">
        <v>1684</v>
      </c>
      <c r="T141">
        <v>2</v>
      </c>
      <c r="Y141">
        <v>2.1</v>
      </c>
      <c r="Z141" t="e">
        <v>#NAME?</v>
      </c>
    </row>
    <row r="142" spans="1:40">
      <c r="A142" t="s">
        <v>1258</v>
      </c>
      <c r="B142" t="s">
        <v>1259</v>
      </c>
      <c r="C142" t="s">
        <v>1260</v>
      </c>
      <c r="D142" t="s">
        <v>321</v>
      </c>
      <c r="E142">
        <v>2020</v>
      </c>
      <c r="F142">
        <v>0</v>
      </c>
      <c r="G142">
        <v>1</v>
      </c>
      <c r="H142">
        <v>0</v>
      </c>
      <c r="I142">
        <v>0</v>
      </c>
      <c r="J142">
        <v>1</v>
      </c>
      <c r="K142" t="s">
        <v>1331</v>
      </c>
      <c r="L142">
        <v>2030</v>
      </c>
      <c r="M142">
        <v>1</v>
      </c>
      <c r="N142" t="s">
        <v>1662</v>
      </c>
      <c r="O142" t="s">
        <v>696</v>
      </c>
      <c r="P142" t="s">
        <v>1685</v>
      </c>
      <c r="R142" t="s">
        <v>1686</v>
      </c>
      <c r="T142">
        <v>2</v>
      </c>
      <c r="Y142">
        <v>2.1</v>
      </c>
      <c r="Z142" t="e">
        <v>#NAME?</v>
      </c>
    </row>
    <row r="143" spans="1:40">
      <c r="A143" t="s">
        <v>1258</v>
      </c>
      <c r="B143" t="s">
        <v>1259</v>
      </c>
      <c r="C143" t="s">
        <v>1260</v>
      </c>
      <c r="D143" t="s">
        <v>321</v>
      </c>
      <c r="E143">
        <v>2020</v>
      </c>
      <c r="F143">
        <v>0</v>
      </c>
      <c r="G143">
        <v>1</v>
      </c>
      <c r="H143">
        <v>0</v>
      </c>
      <c r="I143">
        <v>0</v>
      </c>
      <c r="J143">
        <v>1</v>
      </c>
      <c r="K143" t="s">
        <v>1329</v>
      </c>
      <c r="L143">
        <v>2030</v>
      </c>
      <c r="M143">
        <v>1</v>
      </c>
      <c r="N143" t="s">
        <v>1662</v>
      </c>
      <c r="O143" t="s">
        <v>696</v>
      </c>
      <c r="P143" t="s">
        <v>1687</v>
      </c>
      <c r="R143" t="s">
        <v>1793</v>
      </c>
      <c r="T143">
        <v>2</v>
      </c>
      <c r="Y143">
        <v>2.1</v>
      </c>
      <c r="Z143" t="e">
        <v>#NAME?</v>
      </c>
    </row>
    <row r="144" spans="1:40">
      <c r="A144" t="s">
        <v>1258</v>
      </c>
      <c r="B144" t="s">
        <v>1259</v>
      </c>
      <c r="C144" t="s">
        <v>1260</v>
      </c>
      <c r="D144" t="s">
        <v>321</v>
      </c>
      <c r="E144">
        <v>2020</v>
      </c>
      <c r="F144">
        <v>0</v>
      </c>
      <c r="G144">
        <v>1</v>
      </c>
      <c r="H144">
        <v>0</v>
      </c>
      <c r="I144">
        <v>0</v>
      </c>
      <c r="J144">
        <v>1</v>
      </c>
      <c r="K144" t="s">
        <v>1264</v>
      </c>
      <c r="L144">
        <v>2030</v>
      </c>
      <c r="M144">
        <v>1</v>
      </c>
      <c r="N144" t="s">
        <v>1662</v>
      </c>
      <c r="O144" t="s">
        <v>696</v>
      </c>
      <c r="P144" t="s">
        <v>1706</v>
      </c>
      <c r="Q144" t="s">
        <v>1262</v>
      </c>
      <c r="R144" t="s">
        <v>1794</v>
      </c>
      <c r="S144" t="s">
        <v>363</v>
      </c>
      <c r="T144">
        <v>2</v>
      </c>
      <c r="W144" t="s">
        <v>617</v>
      </c>
      <c r="X144" t="s">
        <v>1265</v>
      </c>
      <c r="Y144">
        <v>2.4</v>
      </c>
      <c r="Z144" t="e">
        <v>#NAME?</v>
      </c>
      <c r="AA144" t="s">
        <v>1266</v>
      </c>
      <c r="AB144" t="s">
        <v>1267</v>
      </c>
      <c r="AC144" t="s">
        <v>1268</v>
      </c>
      <c r="AD144" t="s">
        <v>1269</v>
      </c>
      <c r="AL144" t="s">
        <v>310</v>
      </c>
      <c r="AN144" t="s">
        <v>309</v>
      </c>
    </row>
    <row r="145" spans="1:40" ht="176">
      <c r="A145" t="s">
        <v>1258</v>
      </c>
      <c r="B145" t="s">
        <v>1259</v>
      </c>
      <c r="C145" t="s">
        <v>1260</v>
      </c>
      <c r="D145" t="s">
        <v>321</v>
      </c>
      <c r="E145">
        <v>2020</v>
      </c>
      <c r="F145">
        <v>0</v>
      </c>
      <c r="G145">
        <v>1</v>
      </c>
      <c r="H145">
        <v>0</v>
      </c>
      <c r="I145">
        <v>0</v>
      </c>
      <c r="J145">
        <v>1</v>
      </c>
      <c r="K145" t="s">
        <v>1271</v>
      </c>
      <c r="L145">
        <v>2030</v>
      </c>
      <c r="M145">
        <v>1</v>
      </c>
      <c r="N145" s="234" t="s">
        <v>1689</v>
      </c>
      <c r="O145" t="s">
        <v>696</v>
      </c>
      <c r="P145" t="s">
        <v>1690</v>
      </c>
      <c r="Q145" t="s">
        <v>1262</v>
      </c>
      <c r="R145" t="s">
        <v>1795</v>
      </c>
      <c r="S145" t="s">
        <v>303</v>
      </c>
      <c r="T145">
        <v>2</v>
      </c>
      <c r="W145" t="s">
        <v>617</v>
      </c>
      <c r="X145" t="s">
        <v>1265</v>
      </c>
      <c r="Y145">
        <v>12.4</v>
      </c>
      <c r="Z145" t="e">
        <v>#NAME?</v>
      </c>
      <c r="AA145" t="s">
        <v>1272</v>
      </c>
      <c r="AB145" s="234" t="s">
        <v>1273</v>
      </c>
      <c r="AC145" t="s">
        <v>1274</v>
      </c>
      <c r="AD145" t="s">
        <v>1269</v>
      </c>
      <c r="AL145" t="s">
        <v>310</v>
      </c>
      <c r="AN145" t="s">
        <v>309</v>
      </c>
    </row>
    <row r="146" spans="1:40" ht="380">
      <c r="A146" t="s">
        <v>1258</v>
      </c>
      <c r="B146" t="s">
        <v>1259</v>
      </c>
      <c r="C146" t="s">
        <v>1260</v>
      </c>
      <c r="D146" t="s">
        <v>321</v>
      </c>
      <c r="E146">
        <v>2020</v>
      </c>
      <c r="F146">
        <v>0</v>
      </c>
      <c r="G146">
        <v>1</v>
      </c>
      <c r="H146">
        <v>0</v>
      </c>
      <c r="I146">
        <v>0</v>
      </c>
      <c r="J146">
        <v>1</v>
      </c>
      <c r="K146" t="s">
        <v>1692</v>
      </c>
      <c r="L146">
        <v>2030</v>
      </c>
      <c r="M146">
        <v>1</v>
      </c>
      <c r="N146" t="s">
        <v>1662</v>
      </c>
      <c r="O146" t="s">
        <v>696</v>
      </c>
      <c r="P146" s="234" t="s">
        <v>1693</v>
      </c>
      <c r="Q146" t="s">
        <v>424</v>
      </c>
      <c r="R146" t="s">
        <v>1796</v>
      </c>
      <c r="S146" t="s">
        <v>363</v>
      </c>
      <c r="T146">
        <v>2</v>
      </c>
      <c r="W146" t="s">
        <v>617</v>
      </c>
      <c r="Y146">
        <v>14.4</v>
      </c>
      <c r="Z146" t="e">
        <v>#NAME?</v>
      </c>
      <c r="AA146" t="s">
        <v>1281</v>
      </c>
      <c r="AB146" s="234" t="s">
        <v>1282</v>
      </c>
      <c r="AC146" t="s">
        <v>1283</v>
      </c>
      <c r="AD146" t="s">
        <v>1284</v>
      </c>
      <c r="AL146" t="s">
        <v>310</v>
      </c>
      <c r="AN146" t="s">
        <v>309</v>
      </c>
    </row>
    <row r="147" spans="1:40">
      <c r="A147" t="s">
        <v>1258</v>
      </c>
      <c r="B147" t="s">
        <v>1259</v>
      </c>
      <c r="C147" t="s">
        <v>1260</v>
      </c>
      <c r="D147" t="s">
        <v>321</v>
      </c>
      <c r="E147">
        <v>2020</v>
      </c>
      <c r="F147">
        <v>0</v>
      </c>
      <c r="G147">
        <v>1</v>
      </c>
      <c r="H147">
        <v>0</v>
      </c>
      <c r="I147">
        <v>0</v>
      </c>
      <c r="J147">
        <v>1</v>
      </c>
      <c r="K147" t="s">
        <v>1286</v>
      </c>
      <c r="L147">
        <v>2030</v>
      </c>
      <c r="M147">
        <v>1</v>
      </c>
      <c r="N147" t="s">
        <v>1662</v>
      </c>
      <c r="O147" t="s">
        <v>696</v>
      </c>
      <c r="P147" t="s">
        <v>1695</v>
      </c>
      <c r="R147" t="s">
        <v>1797</v>
      </c>
      <c r="T147">
        <v>2</v>
      </c>
      <c r="Y147">
        <v>13.2</v>
      </c>
      <c r="Z147" t="e">
        <v>#NAME?</v>
      </c>
    </row>
    <row r="148" spans="1:40">
      <c r="A148" t="s">
        <v>1258</v>
      </c>
      <c r="B148" t="s">
        <v>1259</v>
      </c>
      <c r="C148" t="s">
        <v>1260</v>
      </c>
      <c r="D148" t="s">
        <v>321</v>
      </c>
      <c r="E148">
        <v>2020</v>
      </c>
      <c r="F148">
        <v>0</v>
      </c>
      <c r="G148">
        <v>1</v>
      </c>
      <c r="H148">
        <v>0</v>
      </c>
      <c r="I148">
        <v>0</v>
      </c>
      <c r="J148">
        <v>1</v>
      </c>
      <c r="K148" t="s">
        <v>1288</v>
      </c>
      <c r="L148">
        <v>2030</v>
      </c>
      <c r="M148">
        <v>1</v>
      </c>
      <c r="N148" t="s">
        <v>1662</v>
      </c>
      <c r="O148" t="s">
        <v>696</v>
      </c>
      <c r="P148" t="s">
        <v>1697</v>
      </c>
      <c r="R148" t="s">
        <v>1798</v>
      </c>
      <c r="T148">
        <v>2</v>
      </c>
      <c r="Y148">
        <v>6.4</v>
      </c>
      <c r="Z148" t="e">
        <v>#NAME?</v>
      </c>
    </row>
    <row r="149" spans="1:40">
      <c r="A149" t="s">
        <v>1258</v>
      </c>
      <c r="B149" t="s">
        <v>1259</v>
      </c>
      <c r="C149" t="s">
        <v>1260</v>
      </c>
      <c r="D149" t="s">
        <v>321</v>
      </c>
      <c r="E149">
        <v>2020</v>
      </c>
      <c r="F149">
        <v>0</v>
      </c>
      <c r="G149">
        <v>1</v>
      </c>
      <c r="H149">
        <v>0</v>
      </c>
      <c r="I149">
        <v>0</v>
      </c>
      <c r="J149">
        <v>1</v>
      </c>
      <c r="K149" t="s">
        <v>1699</v>
      </c>
      <c r="L149">
        <v>2030</v>
      </c>
      <c r="M149">
        <v>1</v>
      </c>
      <c r="N149" t="s">
        <v>1662</v>
      </c>
      <c r="O149" t="s">
        <v>696</v>
      </c>
      <c r="P149" t="s">
        <v>1700</v>
      </c>
      <c r="R149" t="s">
        <v>1701</v>
      </c>
      <c r="T149">
        <v>2</v>
      </c>
      <c r="Y149">
        <v>2.4</v>
      </c>
      <c r="Z149" t="e">
        <v>#NAME?</v>
      </c>
    </row>
    <row r="150" spans="1:40">
      <c r="A150" t="s">
        <v>1258</v>
      </c>
      <c r="B150" t="s">
        <v>1259</v>
      </c>
      <c r="C150" t="s">
        <v>1260</v>
      </c>
      <c r="D150" t="s">
        <v>321</v>
      </c>
      <c r="E150">
        <v>2020</v>
      </c>
      <c r="F150">
        <v>0</v>
      </c>
      <c r="G150">
        <v>1</v>
      </c>
      <c r="H150">
        <v>0</v>
      </c>
      <c r="I150">
        <v>0</v>
      </c>
      <c r="J150">
        <v>1</v>
      </c>
      <c r="K150" t="s">
        <v>1297</v>
      </c>
      <c r="L150">
        <v>2030</v>
      </c>
      <c r="M150">
        <v>1</v>
      </c>
      <c r="N150" t="s">
        <v>1662</v>
      </c>
      <c r="O150" t="s">
        <v>696</v>
      </c>
      <c r="P150" t="s">
        <v>1665</v>
      </c>
      <c r="R150" t="s">
        <v>1799</v>
      </c>
      <c r="T150">
        <v>2</v>
      </c>
      <c r="Y150">
        <v>12.3</v>
      </c>
      <c r="Z150" t="e">
        <v>#NAME?</v>
      </c>
    </row>
    <row r="151" spans="1:40">
      <c r="A151" t="s">
        <v>1258</v>
      </c>
      <c r="B151" t="s">
        <v>1259</v>
      </c>
      <c r="C151" t="s">
        <v>1260</v>
      </c>
      <c r="D151" t="s">
        <v>321</v>
      </c>
      <c r="E151">
        <v>2020</v>
      </c>
      <c r="F151">
        <v>0</v>
      </c>
      <c r="G151">
        <v>1</v>
      </c>
      <c r="H151">
        <v>0</v>
      </c>
      <c r="I151">
        <v>0</v>
      </c>
      <c r="J151">
        <v>1</v>
      </c>
      <c r="K151" t="s">
        <v>1311</v>
      </c>
      <c r="L151">
        <v>2030</v>
      </c>
      <c r="M151">
        <v>1</v>
      </c>
      <c r="N151" t="s">
        <v>1662</v>
      </c>
      <c r="O151" t="s">
        <v>696</v>
      </c>
      <c r="P151" t="s">
        <v>1702</v>
      </c>
      <c r="R151" t="s">
        <v>1800</v>
      </c>
      <c r="T151">
        <v>2</v>
      </c>
      <c r="Y151">
        <v>8.1999999999999993</v>
      </c>
      <c r="Z151" t="e">
        <v>#NAME?</v>
      </c>
    </row>
    <row r="152" spans="1:40" ht="320">
      <c r="A152" t="s">
        <v>1258</v>
      </c>
      <c r="B152" t="s">
        <v>1259</v>
      </c>
      <c r="C152" t="s">
        <v>1260</v>
      </c>
      <c r="D152" t="s">
        <v>321</v>
      </c>
      <c r="E152">
        <v>2020</v>
      </c>
      <c r="F152">
        <v>0</v>
      </c>
      <c r="G152">
        <v>1</v>
      </c>
      <c r="H152">
        <v>0</v>
      </c>
      <c r="I152">
        <v>0</v>
      </c>
      <c r="J152">
        <v>1</v>
      </c>
      <c r="K152" t="s">
        <v>1313</v>
      </c>
      <c r="L152">
        <v>2030</v>
      </c>
      <c r="M152">
        <v>1</v>
      </c>
      <c r="N152" t="s">
        <v>1662</v>
      </c>
      <c r="O152" t="s">
        <v>696</v>
      </c>
      <c r="P152" t="s">
        <v>1723</v>
      </c>
      <c r="R152" s="234" t="s">
        <v>1801</v>
      </c>
      <c r="T152">
        <v>2</v>
      </c>
      <c r="Y152">
        <v>9.1</v>
      </c>
      <c r="Z152" t="e">
        <v>#NAME?</v>
      </c>
    </row>
    <row r="153" spans="1:40">
      <c r="A153" t="s">
        <v>1258</v>
      </c>
      <c r="B153" t="s">
        <v>1259</v>
      </c>
      <c r="C153" t="s">
        <v>1260</v>
      </c>
      <c r="D153" t="s">
        <v>321</v>
      </c>
      <c r="E153">
        <v>2020</v>
      </c>
      <c r="F153">
        <v>0</v>
      </c>
      <c r="G153">
        <v>1</v>
      </c>
      <c r="H153">
        <v>0</v>
      </c>
      <c r="I153">
        <v>0</v>
      </c>
      <c r="J153">
        <v>1</v>
      </c>
      <c r="K153" t="s">
        <v>1315</v>
      </c>
      <c r="L153">
        <v>2030</v>
      </c>
      <c r="M153">
        <v>1</v>
      </c>
      <c r="N153" t="s">
        <v>1662</v>
      </c>
      <c r="O153" t="s">
        <v>696</v>
      </c>
      <c r="P153" t="s">
        <v>1704</v>
      </c>
      <c r="R153" t="s">
        <v>1802</v>
      </c>
      <c r="T153">
        <v>2</v>
      </c>
      <c r="Y153">
        <v>2.4</v>
      </c>
      <c r="Z153" t="e">
        <v>#NAME?</v>
      </c>
    </row>
    <row r="154" spans="1:40" ht="240">
      <c r="A154" t="s">
        <v>1258</v>
      </c>
      <c r="B154" t="s">
        <v>1259</v>
      </c>
      <c r="C154" t="s">
        <v>1260</v>
      </c>
      <c r="D154" t="s">
        <v>321</v>
      </c>
      <c r="E154">
        <v>2020</v>
      </c>
      <c r="F154">
        <v>0</v>
      </c>
      <c r="G154">
        <v>1</v>
      </c>
      <c r="H154">
        <v>0</v>
      </c>
      <c r="I154">
        <v>0</v>
      </c>
      <c r="J154">
        <v>1</v>
      </c>
      <c r="K154" t="s">
        <v>1708</v>
      </c>
      <c r="L154">
        <v>2030</v>
      </c>
      <c r="M154">
        <v>1</v>
      </c>
      <c r="N154" s="234" t="s">
        <v>1709</v>
      </c>
      <c r="O154" t="s">
        <v>696</v>
      </c>
      <c r="P154" t="s">
        <v>1710</v>
      </c>
      <c r="Q154" t="s">
        <v>1262</v>
      </c>
      <c r="R154" t="s">
        <v>1711</v>
      </c>
      <c r="S154" t="s">
        <v>363</v>
      </c>
      <c r="T154">
        <v>3</v>
      </c>
      <c r="W154" t="s">
        <v>617</v>
      </c>
      <c r="X154" t="s">
        <v>1265</v>
      </c>
      <c r="Y154">
        <v>12.4</v>
      </c>
      <c r="Z154" t="e">
        <v>#NAME?</v>
      </c>
      <c r="AA154" t="s">
        <v>214</v>
      </c>
      <c r="AB154" t="s">
        <v>1276</v>
      </c>
      <c r="AC154" t="s">
        <v>1277</v>
      </c>
      <c r="AD154" t="s">
        <v>1269</v>
      </c>
      <c r="AL154" t="s">
        <v>310</v>
      </c>
      <c r="AN154" t="s">
        <v>309</v>
      </c>
    </row>
    <row r="155" spans="1:40" ht="240">
      <c r="A155" t="s">
        <v>1258</v>
      </c>
      <c r="B155" t="s">
        <v>1259</v>
      </c>
      <c r="C155" t="s">
        <v>1260</v>
      </c>
      <c r="D155" t="s">
        <v>321</v>
      </c>
      <c r="E155">
        <v>2020</v>
      </c>
      <c r="F155">
        <v>0</v>
      </c>
      <c r="G155">
        <v>1</v>
      </c>
      <c r="H155">
        <v>0</v>
      </c>
      <c r="I155">
        <v>0</v>
      </c>
      <c r="J155">
        <v>1</v>
      </c>
      <c r="K155" t="s">
        <v>1712</v>
      </c>
      <c r="L155">
        <v>2030</v>
      </c>
      <c r="M155">
        <v>1</v>
      </c>
      <c r="N155" s="234" t="s">
        <v>1709</v>
      </c>
      <c r="O155" t="s">
        <v>696</v>
      </c>
      <c r="P155" t="s">
        <v>1713</v>
      </c>
      <c r="Q155" t="s">
        <v>1262</v>
      </c>
      <c r="R155" t="s">
        <v>1714</v>
      </c>
      <c r="S155" t="s">
        <v>363</v>
      </c>
      <c r="T155">
        <v>3</v>
      </c>
      <c r="X155" t="s">
        <v>1265</v>
      </c>
      <c r="Y155">
        <v>12.4</v>
      </c>
      <c r="Z155" t="e">
        <v>#NAME?</v>
      </c>
      <c r="AA155" t="s">
        <v>214</v>
      </c>
      <c r="AB155" t="s">
        <v>1277</v>
      </c>
      <c r="AC155" t="s">
        <v>1279</v>
      </c>
      <c r="AD155" t="s">
        <v>1269</v>
      </c>
      <c r="AL155" t="s">
        <v>310</v>
      </c>
      <c r="AN155" t="s">
        <v>309</v>
      </c>
    </row>
    <row r="156" spans="1:40">
      <c r="A156" t="s">
        <v>1258</v>
      </c>
      <c r="B156" t="s">
        <v>1259</v>
      </c>
      <c r="C156" t="s">
        <v>1260</v>
      </c>
      <c r="D156" t="s">
        <v>321</v>
      </c>
      <c r="E156">
        <v>2020</v>
      </c>
      <c r="F156">
        <v>0</v>
      </c>
      <c r="G156">
        <v>1</v>
      </c>
      <c r="H156">
        <v>0</v>
      </c>
      <c r="I156">
        <v>0</v>
      </c>
      <c r="J156">
        <v>1</v>
      </c>
      <c r="K156" t="s">
        <v>1295</v>
      </c>
      <c r="L156">
        <v>2030</v>
      </c>
      <c r="M156">
        <v>1</v>
      </c>
      <c r="N156" t="s">
        <v>1662</v>
      </c>
      <c r="O156" t="s">
        <v>696</v>
      </c>
      <c r="P156" t="s">
        <v>1715</v>
      </c>
      <c r="R156" t="s">
        <v>1716</v>
      </c>
      <c r="T156">
        <v>3</v>
      </c>
      <c r="Y156">
        <v>2.5</v>
      </c>
      <c r="Z156" t="e">
        <v>#NAME?</v>
      </c>
    </row>
    <row r="157" spans="1:40">
      <c r="A157" t="s">
        <v>1258</v>
      </c>
      <c r="B157" t="s">
        <v>1259</v>
      </c>
      <c r="C157" t="s">
        <v>1260</v>
      </c>
      <c r="D157" t="s">
        <v>321</v>
      </c>
      <c r="E157">
        <v>2020</v>
      </c>
      <c r="F157">
        <v>0</v>
      </c>
      <c r="G157">
        <v>1</v>
      </c>
      <c r="H157">
        <v>0</v>
      </c>
      <c r="I157">
        <v>0</v>
      </c>
      <c r="J157">
        <v>1</v>
      </c>
      <c r="K157" t="s">
        <v>1303</v>
      </c>
      <c r="L157">
        <v>2030</v>
      </c>
      <c r="M157">
        <v>1</v>
      </c>
      <c r="N157" t="s">
        <v>1662</v>
      </c>
      <c r="O157" t="s">
        <v>696</v>
      </c>
      <c r="P157" t="s">
        <v>1717</v>
      </c>
      <c r="R157" t="s">
        <v>1803</v>
      </c>
      <c r="T157">
        <v>3</v>
      </c>
      <c r="Y157">
        <v>2.2999999999999998</v>
      </c>
      <c r="Z157" t="e">
        <v>#NAME?</v>
      </c>
    </row>
    <row r="158" spans="1:40">
      <c r="A158" t="s">
        <v>1258</v>
      </c>
      <c r="B158" t="s">
        <v>1259</v>
      </c>
      <c r="C158" t="s">
        <v>1260</v>
      </c>
      <c r="D158" t="s">
        <v>321</v>
      </c>
      <c r="E158">
        <v>2020</v>
      </c>
      <c r="F158">
        <v>0</v>
      </c>
      <c r="G158">
        <v>1</v>
      </c>
      <c r="H158">
        <v>0</v>
      </c>
      <c r="I158">
        <v>0</v>
      </c>
      <c r="J158">
        <v>1</v>
      </c>
      <c r="K158" t="s">
        <v>1305</v>
      </c>
      <c r="L158">
        <v>2030</v>
      </c>
      <c r="M158">
        <v>1</v>
      </c>
      <c r="N158" t="s">
        <v>1662</v>
      </c>
      <c r="O158" t="s">
        <v>696</v>
      </c>
      <c r="P158" t="s">
        <v>1719</v>
      </c>
      <c r="R158" t="s">
        <v>1804</v>
      </c>
      <c r="T158">
        <v>3</v>
      </c>
      <c r="Y158">
        <v>2.2999999999999998</v>
      </c>
      <c r="Z158" t="e">
        <v>#NAME?</v>
      </c>
    </row>
    <row r="159" spans="1:40" ht="409.6">
      <c r="A159" t="s">
        <v>1258</v>
      </c>
      <c r="B159" t="s">
        <v>1259</v>
      </c>
      <c r="C159" t="s">
        <v>1260</v>
      </c>
      <c r="D159" t="s">
        <v>321</v>
      </c>
      <c r="E159">
        <v>2020</v>
      </c>
      <c r="F159">
        <v>0</v>
      </c>
      <c r="G159">
        <v>1</v>
      </c>
      <c r="H159">
        <v>0</v>
      </c>
      <c r="I159">
        <v>0</v>
      </c>
      <c r="J159">
        <v>1</v>
      </c>
      <c r="K159" t="s">
        <v>1307</v>
      </c>
      <c r="L159">
        <v>2030</v>
      </c>
      <c r="M159">
        <v>1</v>
      </c>
      <c r="N159" t="s">
        <v>1662</v>
      </c>
      <c r="O159" t="s">
        <v>696</v>
      </c>
      <c r="P159" t="s">
        <v>1721</v>
      </c>
      <c r="R159" s="234" t="s">
        <v>1805</v>
      </c>
      <c r="T159">
        <v>3</v>
      </c>
      <c r="Y159">
        <v>2.2999999999999998</v>
      </c>
      <c r="Z159" t="e">
        <v>#NAME?</v>
      </c>
    </row>
    <row r="160" spans="1:40" ht="409.6">
      <c r="A160" t="s">
        <v>792</v>
      </c>
      <c r="B160" t="s">
        <v>802</v>
      </c>
      <c r="C160" t="s">
        <v>803</v>
      </c>
      <c r="D160" t="s">
        <v>1376</v>
      </c>
      <c r="E160">
        <v>2023</v>
      </c>
      <c r="F160">
        <v>1</v>
      </c>
      <c r="G160">
        <v>3</v>
      </c>
      <c r="H160">
        <v>1</v>
      </c>
      <c r="J160">
        <v>1</v>
      </c>
      <c r="K160" t="s">
        <v>829</v>
      </c>
      <c r="L160">
        <v>2030</v>
      </c>
      <c r="M160">
        <v>1</v>
      </c>
      <c r="O160" t="s">
        <v>805</v>
      </c>
      <c r="R160" s="234" t="s">
        <v>1806</v>
      </c>
      <c r="T160">
        <v>0</v>
      </c>
      <c r="Y160">
        <v>14.2</v>
      </c>
      <c r="Z160" t="e">
        <v>#NAME?</v>
      </c>
    </row>
    <row r="161" spans="1:39">
      <c r="A161" t="s">
        <v>792</v>
      </c>
      <c r="B161" t="s">
        <v>802</v>
      </c>
      <c r="C161" t="s">
        <v>803</v>
      </c>
      <c r="D161" t="s">
        <v>1376</v>
      </c>
      <c r="E161">
        <v>2023</v>
      </c>
      <c r="F161">
        <v>1</v>
      </c>
      <c r="G161">
        <v>3</v>
      </c>
      <c r="H161">
        <v>1</v>
      </c>
      <c r="J161">
        <v>1</v>
      </c>
      <c r="K161" t="s">
        <v>831</v>
      </c>
      <c r="L161">
        <v>2030</v>
      </c>
      <c r="M161">
        <v>1</v>
      </c>
      <c r="O161" t="s">
        <v>805</v>
      </c>
      <c r="R161" t="s">
        <v>832</v>
      </c>
      <c r="T161">
        <v>0</v>
      </c>
      <c r="Y161">
        <v>6.6</v>
      </c>
      <c r="Z161" t="e">
        <v>#NAME?</v>
      </c>
    </row>
    <row r="162" spans="1:39">
      <c r="A162" t="s">
        <v>792</v>
      </c>
      <c r="B162" t="s">
        <v>802</v>
      </c>
      <c r="C162" t="s">
        <v>803</v>
      </c>
      <c r="D162" t="s">
        <v>1376</v>
      </c>
      <c r="E162">
        <v>2023</v>
      </c>
      <c r="F162">
        <v>1</v>
      </c>
      <c r="G162">
        <v>3</v>
      </c>
      <c r="H162">
        <v>1</v>
      </c>
      <c r="J162">
        <v>1</v>
      </c>
      <c r="K162" t="s">
        <v>838</v>
      </c>
      <c r="M162">
        <v>1</v>
      </c>
      <c r="O162" t="s">
        <v>805</v>
      </c>
      <c r="R162" t="s">
        <v>1807</v>
      </c>
      <c r="T162">
        <v>0</v>
      </c>
      <c r="U162" t="s">
        <v>840</v>
      </c>
      <c r="V162" t="s">
        <v>841</v>
      </c>
      <c r="Y162" t="s">
        <v>1380</v>
      </c>
      <c r="Z162" t="e">
        <v>#NAME?</v>
      </c>
    </row>
    <row r="163" spans="1:39">
      <c r="A163" t="s">
        <v>792</v>
      </c>
      <c r="B163" t="s">
        <v>802</v>
      </c>
      <c r="C163" t="s">
        <v>803</v>
      </c>
      <c r="D163" t="s">
        <v>1376</v>
      </c>
      <c r="E163">
        <v>2023</v>
      </c>
      <c r="F163">
        <v>1</v>
      </c>
      <c r="G163">
        <v>3</v>
      </c>
      <c r="H163">
        <v>1</v>
      </c>
      <c r="J163">
        <v>1</v>
      </c>
      <c r="K163" t="s">
        <v>937</v>
      </c>
      <c r="M163">
        <v>1</v>
      </c>
      <c r="O163" t="s">
        <v>805</v>
      </c>
      <c r="R163" t="s">
        <v>1808</v>
      </c>
      <c r="T163">
        <v>0</v>
      </c>
      <c r="Y163" t="s">
        <v>1380</v>
      </c>
      <c r="Z163" t="e">
        <v>#NAME?</v>
      </c>
    </row>
    <row r="164" spans="1:39">
      <c r="A164" t="s">
        <v>792</v>
      </c>
      <c r="B164" t="s">
        <v>802</v>
      </c>
      <c r="C164" t="s">
        <v>803</v>
      </c>
      <c r="D164" t="s">
        <v>1376</v>
      </c>
      <c r="E164">
        <v>2023</v>
      </c>
      <c r="F164">
        <v>1</v>
      </c>
      <c r="G164">
        <v>3</v>
      </c>
      <c r="H164">
        <v>1</v>
      </c>
      <c r="J164">
        <v>1</v>
      </c>
      <c r="K164" t="s">
        <v>842</v>
      </c>
      <c r="M164">
        <v>1</v>
      </c>
      <c r="O164" t="s">
        <v>805</v>
      </c>
      <c r="R164" t="s">
        <v>1809</v>
      </c>
      <c r="T164">
        <v>0</v>
      </c>
      <c r="Y164" t="s">
        <v>1380</v>
      </c>
      <c r="Z164" t="e">
        <v>#NAME?</v>
      </c>
    </row>
    <row r="165" spans="1:39">
      <c r="A165" t="s">
        <v>792</v>
      </c>
      <c r="B165" t="s">
        <v>802</v>
      </c>
      <c r="C165" t="s">
        <v>803</v>
      </c>
      <c r="D165" t="s">
        <v>1376</v>
      </c>
      <c r="E165">
        <v>2023</v>
      </c>
      <c r="F165">
        <v>1</v>
      </c>
      <c r="G165">
        <v>3</v>
      </c>
      <c r="H165">
        <v>1</v>
      </c>
      <c r="J165">
        <v>1</v>
      </c>
      <c r="K165" t="s">
        <v>941</v>
      </c>
      <c r="L165">
        <v>2030</v>
      </c>
      <c r="M165">
        <v>1</v>
      </c>
      <c r="O165" t="s">
        <v>805</v>
      </c>
      <c r="R165" t="s">
        <v>1810</v>
      </c>
      <c r="T165">
        <v>0</v>
      </c>
      <c r="Y165">
        <v>15.1</v>
      </c>
      <c r="Z165" t="e">
        <v>#NAME?</v>
      </c>
    </row>
    <row r="166" spans="1:39">
      <c r="A166" t="s">
        <v>792</v>
      </c>
      <c r="B166" t="s">
        <v>802</v>
      </c>
      <c r="C166" t="s">
        <v>852</v>
      </c>
      <c r="D166" t="s">
        <v>298</v>
      </c>
      <c r="E166">
        <v>2019</v>
      </c>
      <c r="F166">
        <v>1</v>
      </c>
      <c r="G166">
        <v>3</v>
      </c>
      <c r="H166">
        <v>1</v>
      </c>
      <c r="J166">
        <v>1</v>
      </c>
      <c r="K166" t="s">
        <v>1370</v>
      </c>
      <c r="M166">
        <v>1</v>
      </c>
      <c r="N166" t="s">
        <v>854</v>
      </c>
      <c r="O166" t="s">
        <v>855</v>
      </c>
      <c r="R166" t="s">
        <v>856</v>
      </c>
      <c r="T166">
        <v>0</v>
      </c>
      <c r="W166" t="s">
        <v>594</v>
      </c>
      <c r="Y166">
        <v>14.6</v>
      </c>
      <c r="Z166" t="e">
        <v>#NAME?</v>
      </c>
      <c r="AM166" t="s">
        <v>309</v>
      </c>
    </row>
    <row r="167" spans="1:39">
      <c r="A167" t="s">
        <v>792</v>
      </c>
      <c r="B167" t="s">
        <v>857</v>
      </c>
      <c r="C167" t="s">
        <v>857</v>
      </c>
      <c r="D167" t="s">
        <v>321</v>
      </c>
      <c r="E167">
        <v>2020</v>
      </c>
      <c r="F167">
        <v>0</v>
      </c>
      <c r="G167">
        <v>1</v>
      </c>
      <c r="H167">
        <v>0</v>
      </c>
      <c r="I167">
        <v>0</v>
      </c>
      <c r="J167">
        <v>1</v>
      </c>
      <c r="K167" t="s">
        <v>858</v>
      </c>
      <c r="L167">
        <v>2030</v>
      </c>
      <c r="M167">
        <v>1</v>
      </c>
      <c r="O167" t="s">
        <v>859</v>
      </c>
      <c r="R167" t="s">
        <v>1811</v>
      </c>
      <c r="S167" t="s">
        <v>861</v>
      </c>
      <c r="T167">
        <v>0</v>
      </c>
      <c r="X167" t="s">
        <v>862</v>
      </c>
      <c r="Y167" t="s">
        <v>863</v>
      </c>
      <c r="Z167" t="e">
        <v>#NAME?</v>
      </c>
      <c r="AA167" t="s">
        <v>212</v>
      </c>
      <c r="AM167" t="s">
        <v>309</v>
      </c>
    </row>
    <row r="168" spans="1:39">
      <c r="A168" t="s">
        <v>792</v>
      </c>
      <c r="B168" t="s">
        <v>857</v>
      </c>
      <c r="C168" t="s">
        <v>857</v>
      </c>
      <c r="D168" t="s">
        <v>321</v>
      </c>
      <c r="E168">
        <v>2020</v>
      </c>
      <c r="F168">
        <v>0</v>
      </c>
      <c r="G168">
        <v>1</v>
      </c>
      <c r="H168">
        <v>0</v>
      </c>
      <c r="I168">
        <v>0</v>
      </c>
      <c r="J168">
        <v>1</v>
      </c>
      <c r="K168" t="s">
        <v>869</v>
      </c>
      <c r="L168">
        <v>2030</v>
      </c>
      <c r="M168">
        <v>1</v>
      </c>
      <c r="N168" t="s">
        <v>870</v>
      </c>
      <c r="O168" t="s">
        <v>859</v>
      </c>
      <c r="R168" t="s">
        <v>1812</v>
      </c>
      <c r="S168" t="s">
        <v>872</v>
      </c>
      <c r="T168">
        <v>0</v>
      </c>
      <c r="X168" t="s">
        <v>862</v>
      </c>
      <c r="Y168">
        <v>15.5</v>
      </c>
      <c r="Z168" t="e">
        <v>#NAME?</v>
      </c>
      <c r="AA168" t="s">
        <v>212</v>
      </c>
    </row>
    <row r="169" spans="1:39">
      <c r="A169" t="s">
        <v>792</v>
      </c>
      <c r="B169" t="s">
        <v>857</v>
      </c>
      <c r="C169" t="s">
        <v>857</v>
      </c>
      <c r="D169" t="s">
        <v>321</v>
      </c>
      <c r="E169">
        <v>2020</v>
      </c>
      <c r="F169">
        <v>0</v>
      </c>
      <c r="G169">
        <v>1</v>
      </c>
      <c r="H169">
        <v>0</v>
      </c>
      <c r="I169">
        <v>0</v>
      </c>
      <c r="J169">
        <v>1</v>
      </c>
      <c r="K169" t="s">
        <v>878</v>
      </c>
      <c r="L169">
        <v>2030</v>
      </c>
      <c r="M169">
        <v>1</v>
      </c>
      <c r="O169" t="s">
        <v>859</v>
      </c>
      <c r="R169" t="s">
        <v>879</v>
      </c>
      <c r="S169" t="s">
        <v>861</v>
      </c>
      <c r="T169">
        <v>0</v>
      </c>
      <c r="X169" t="s">
        <v>862</v>
      </c>
      <c r="Y169">
        <v>2.4</v>
      </c>
      <c r="Z169" t="e">
        <v>#NAME?</v>
      </c>
      <c r="AA169" t="s">
        <v>212</v>
      </c>
    </row>
    <row r="170" spans="1:39">
      <c r="A170" t="s">
        <v>792</v>
      </c>
      <c r="B170" t="s">
        <v>793</v>
      </c>
      <c r="C170" t="s">
        <v>794</v>
      </c>
      <c r="D170" t="s">
        <v>321</v>
      </c>
      <c r="E170">
        <v>2021</v>
      </c>
      <c r="F170">
        <v>0</v>
      </c>
      <c r="G170">
        <v>1</v>
      </c>
      <c r="H170">
        <v>0</v>
      </c>
      <c r="I170">
        <v>0</v>
      </c>
      <c r="J170">
        <v>1</v>
      </c>
      <c r="K170" t="s">
        <v>795</v>
      </c>
      <c r="L170">
        <v>2030</v>
      </c>
      <c r="M170">
        <v>1</v>
      </c>
      <c r="O170" t="s">
        <v>796</v>
      </c>
      <c r="R170" t="s">
        <v>797</v>
      </c>
      <c r="T170">
        <v>1</v>
      </c>
      <c r="U170" t="s">
        <v>798</v>
      </c>
      <c r="W170" t="s">
        <v>344</v>
      </c>
      <c r="Y170">
        <v>15.3</v>
      </c>
      <c r="Z170" t="e">
        <v>#NAME?</v>
      </c>
      <c r="AA170" t="s">
        <v>190</v>
      </c>
      <c r="AB170" t="s">
        <v>800</v>
      </c>
      <c r="AC170" t="s">
        <v>801</v>
      </c>
      <c r="AM170" t="s">
        <v>309</v>
      </c>
    </row>
    <row r="171" spans="1:39">
      <c r="A171" t="s">
        <v>792</v>
      </c>
      <c r="B171" t="s">
        <v>802</v>
      </c>
      <c r="C171" t="s">
        <v>803</v>
      </c>
      <c r="D171" t="s">
        <v>1376</v>
      </c>
      <c r="E171">
        <v>2023</v>
      </c>
      <c r="F171">
        <v>1</v>
      </c>
      <c r="G171">
        <v>3</v>
      </c>
      <c r="H171">
        <v>1</v>
      </c>
      <c r="J171">
        <v>1</v>
      </c>
      <c r="K171" t="s">
        <v>816</v>
      </c>
      <c r="L171">
        <v>2030</v>
      </c>
      <c r="M171">
        <v>1</v>
      </c>
      <c r="N171" t="s">
        <v>817</v>
      </c>
      <c r="O171" t="s">
        <v>805</v>
      </c>
      <c r="Q171" t="s">
        <v>818</v>
      </c>
      <c r="R171" t="s">
        <v>1813</v>
      </c>
      <c r="T171">
        <v>1</v>
      </c>
      <c r="U171" t="s">
        <v>331</v>
      </c>
      <c r="W171" t="s">
        <v>820</v>
      </c>
      <c r="X171" t="s">
        <v>811</v>
      </c>
      <c r="Y171">
        <v>15.5</v>
      </c>
      <c r="Z171" t="e">
        <v>#NAME?</v>
      </c>
      <c r="AA171" t="s">
        <v>821</v>
      </c>
      <c r="AB171" t="s">
        <v>822</v>
      </c>
    </row>
    <row r="172" spans="1:39">
      <c r="A172" t="s">
        <v>792</v>
      </c>
      <c r="B172" t="s">
        <v>802</v>
      </c>
      <c r="C172" t="s">
        <v>803</v>
      </c>
      <c r="D172" t="s">
        <v>1376</v>
      </c>
      <c r="E172">
        <v>2023</v>
      </c>
      <c r="F172">
        <v>1</v>
      </c>
      <c r="G172">
        <v>3</v>
      </c>
      <c r="H172">
        <v>0</v>
      </c>
      <c r="J172">
        <v>1</v>
      </c>
      <c r="K172" t="s">
        <v>823</v>
      </c>
      <c r="L172">
        <v>2030</v>
      </c>
      <c r="M172">
        <v>1</v>
      </c>
      <c r="O172" t="s">
        <v>805</v>
      </c>
      <c r="R172" t="s">
        <v>1814</v>
      </c>
      <c r="T172">
        <v>1</v>
      </c>
      <c r="Y172" t="s">
        <v>825</v>
      </c>
      <c r="Z172" t="e">
        <v>#NAME?</v>
      </c>
    </row>
    <row r="173" spans="1:39" ht="409.6">
      <c r="A173" t="s">
        <v>792</v>
      </c>
      <c r="B173" t="s">
        <v>802</v>
      </c>
      <c r="C173" t="s">
        <v>803</v>
      </c>
      <c r="D173" t="s">
        <v>1376</v>
      </c>
      <c r="E173">
        <v>2023</v>
      </c>
      <c r="F173">
        <v>1</v>
      </c>
      <c r="G173">
        <v>3</v>
      </c>
      <c r="H173">
        <v>1</v>
      </c>
      <c r="J173">
        <v>1</v>
      </c>
      <c r="K173" t="s">
        <v>827</v>
      </c>
      <c r="L173">
        <v>2040</v>
      </c>
      <c r="M173">
        <v>1</v>
      </c>
      <c r="O173" t="s">
        <v>805</v>
      </c>
      <c r="R173" s="234" t="s">
        <v>1815</v>
      </c>
      <c r="T173">
        <v>1</v>
      </c>
      <c r="Y173">
        <v>14.2</v>
      </c>
      <c r="Z173" t="e">
        <v>#NAME?</v>
      </c>
    </row>
    <row r="174" spans="1:39">
      <c r="A174" t="s">
        <v>792</v>
      </c>
      <c r="B174" t="s">
        <v>802</v>
      </c>
      <c r="C174" t="s">
        <v>803</v>
      </c>
      <c r="D174" t="s">
        <v>1376</v>
      </c>
      <c r="E174">
        <v>2023</v>
      </c>
      <c r="F174">
        <v>1</v>
      </c>
      <c r="G174">
        <v>3</v>
      </c>
      <c r="H174">
        <v>1</v>
      </c>
      <c r="J174">
        <v>1</v>
      </c>
      <c r="K174" t="s">
        <v>930</v>
      </c>
      <c r="L174">
        <v>2030</v>
      </c>
      <c r="M174">
        <v>1</v>
      </c>
      <c r="O174" t="s">
        <v>805</v>
      </c>
      <c r="R174" t="s">
        <v>1816</v>
      </c>
      <c r="T174">
        <v>1</v>
      </c>
      <c r="Y174">
        <v>15.5</v>
      </c>
      <c r="Z174" t="e">
        <v>#NAME?</v>
      </c>
    </row>
    <row r="175" spans="1:39">
      <c r="A175" t="s">
        <v>792</v>
      </c>
      <c r="B175" t="s">
        <v>802</v>
      </c>
      <c r="C175" t="s">
        <v>803</v>
      </c>
      <c r="D175" t="s">
        <v>1376</v>
      </c>
      <c r="E175">
        <v>2023</v>
      </c>
      <c r="F175">
        <v>1</v>
      </c>
      <c r="G175">
        <v>3</v>
      </c>
      <c r="H175">
        <v>1</v>
      </c>
      <c r="J175">
        <v>1</v>
      </c>
      <c r="K175" t="s">
        <v>836</v>
      </c>
      <c r="L175">
        <v>2030</v>
      </c>
      <c r="M175">
        <v>1</v>
      </c>
      <c r="O175" t="s">
        <v>805</v>
      </c>
      <c r="R175" t="s">
        <v>1817</v>
      </c>
      <c r="T175">
        <v>1</v>
      </c>
      <c r="Y175" t="s">
        <v>1380</v>
      </c>
      <c r="Z175" t="e">
        <v>#NAME?</v>
      </c>
    </row>
    <row r="176" spans="1:39">
      <c r="A176" t="s">
        <v>792</v>
      </c>
      <c r="B176" t="s">
        <v>802</v>
      </c>
      <c r="C176" t="s">
        <v>803</v>
      </c>
      <c r="D176" t="s">
        <v>1376</v>
      </c>
      <c r="E176">
        <v>2023</v>
      </c>
      <c r="F176">
        <v>1</v>
      </c>
      <c r="G176">
        <v>3</v>
      </c>
      <c r="H176">
        <v>1</v>
      </c>
      <c r="J176">
        <v>1</v>
      </c>
      <c r="K176" t="s">
        <v>813</v>
      </c>
      <c r="L176">
        <v>2030</v>
      </c>
      <c r="M176">
        <v>1</v>
      </c>
      <c r="N176" t="s">
        <v>814</v>
      </c>
      <c r="R176" t="s">
        <v>815</v>
      </c>
      <c r="T176">
        <v>2</v>
      </c>
      <c r="Y176">
        <v>15.2</v>
      </c>
      <c r="Z176" t="e">
        <v>#NAME?</v>
      </c>
    </row>
    <row r="177" spans="1:39">
      <c r="A177" t="s">
        <v>792</v>
      </c>
      <c r="B177" t="s">
        <v>802</v>
      </c>
      <c r="C177" t="s">
        <v>803</v>
      </c>
      <c r="D177" t="s">
        <v>1376</v>
      </c>
      <c r="E177">
        <v>2023</v>
      </c>
      <c r="F177">
        <v>1</v>
      </c>
      <c r="G177">
        <v>3</v>
      </c>
      <c r="H177">
        <v>1</v>
      </c>
      <c r="J177">
        <v>1</v>
      </c>
      <c r="K177" t="s">
        <v>834</v>
      </c>
      <c r="M177">
        <v>1</v>
      </c>
      <c r="O177" t="s">
        <v>805</v>
      </c>
      <c r="R177" t="s">
        <v>1818</v>
      </c>
      <c r="T177">
        <v>2</v>
      </c>
      <c r="Y177" t="s">
        <v>1380</v>
      </c>
      <c r="Z177" t="e">
        <v>#NAME?</v>
      </c>
    </row>
    <row r="178" spans="1:39">
      <c r="A178" t="s">
        <v>792</v>
      </c>
      <c r="B178" t="s">
        <v>802</v>
      </c>
      <c r="C178" t="s">
        <v>803</v>
      </c>
      <c r="D178" t="s">
        <v>1376</v>
      </c>
      <c r="E178">
        <v>2023</v>
      </c>
      <c r="F178">
        <v>1</v>
      </c>
      <c r="G178">
        <v>3</v>
      </c>
      <c r="H178">
        <v>1</v>
      </c>
      <c r="J178">
        <v>1</v>
      </c>
      <c r="K178" t="s">
        <v>844</v>
      </c>
      <c r="L178">
        <v>2030</v>
      </c>
      <c r="M178">
        <v>1</v>
      </c>
      <c r="O178" t="s">
        <v>805</v>
      </c>
      <c r="R178" t="s">
        <v>1819</v>
      </c>
      <c r="T178">
        <v>2</v>
      </c>
      <c r="Y178">
        <v>14.2</v>
      </c>
      <c r="Z178" t="e">
        <v>#NAME?</v>
      </c>
    </row>
    <row r="179" spans="1:39">
      <c r="A179" t="s">
        <v>792</v>
      </c>
      <c r="B179" t="s">
        <v>802</v>
      </c>
      <c r="C179" t="s">
        <v>846</v>
      </c>
      <c r="D179" t="s">
        <v>321</v>
      </c>
      <c r="E179">
        <v>2023</v>
      </c>
      <c r="F179">
        <v>0</v>
      </c>
      <c r="G179">
        <v>1</v>
      </c>
      <c r="H179">
        <v>0</v>
      </c>
      <c r="I179">
        <v>0</v>
      </c>
      <c r="J179">
        <v>1</v>
      </c>
      <c r="K179" t="s">
        <v>847</v>
      </c>
      <c r="M179">
        <v>1</v>
      </c>
      <c r="O179" t="s">
        <v>593</v>
      </c>
      <c r="R179" t="s">
        <v>848</v>
      </c>
      <c r="S179" t="s">
        <v>849</v>
      </c>
      <c r="T179">
        <v>2</v>
      </c>
      <c r="W179" t="s">
        <v>594</v>
      </c>
      <c r="X179" t="s">
        <v>850</v>
      </c>
      <c r="Y179">
        <v>14.4</v>
      </c>
      <c r="Z179" t="e">
        <v>#NAME?</v>
      </c>
      <c r="AB179" t="s">
        <v>851</v>
      </c>
      <c r="AM179" t="s">
        <v>309</v>
      </c>
    </row>
    <row r="180" spans="1:39">
      <c r="A180" t="s">
        <v>792</v>
      </c>
      <c r="B180" t="s">
        <v>857</v>
      </c>
      <c r="C180" t="s">
        <v>857</v>
      </c>
      <c r="D180" t="s">
        <v>321</v>
      </c>
      <c r="E180">
        <v>2020</v>
      </c>
      <c r="F180">
        <v>0</v>
      </c>
      <c r="G180">
        <v>1</v>
      </c>
      <c r="H180">
        <v>0</v>
      </c>
      <c r="I180">
        <v>0</v>
      </c>
      <c r="J180">
        <v>1</v>
      </c>
      <c r="K180" t="s">
        <v>864</v>
      </c>
      <c r="L180">
        <v>2030</v>
      </c>
      <c r="M180">
        <v>1</v>
      </c>
      <c r="N180" t="s">
        <v>865</v>
      </c>
      <c r="O180" t="s">
        <v>859</v>
      </c>
      <c r="R180" t="s">
        <v>1820</v>
      </c>
      <c r="S180" t="s">
        <v>303</v>
      </c>
      <c r="T180">
        <v>2</v>
      </c>
      <c r="U180" t="s">
        <v>867</v>
      </c>
      <c r="V180" t="s">
        <v>868</v>
      </c>
      <c r="X180" t="s">
        <v>862</v>
      </c>
      <c r="Y180">
        <v>15.5</v>
      </c>
      <c r="Z180" t="e">
        <v>#NAME?</v>
      </c>
      <c r="AA180" t="s">
        <v>212</v>
      </c>
    </row>
    <row r="181" spans="1:39">
      <c r="A181" t="s">
        <v>792</v>
      </c>
      <c r="B181" t="s">
        <v>857</v>
      </c>
      <c r="C181" t="s">
        <v>857</v>
      </c>
      <c r="D181" t="s">
        <v>321</v>
      </c>
      <c r="E181">
        <v>2020</v>
      </c>
      <c r="F181">
        <v>0</v>
      </c>
      <c r="G181">
        <v>1</v>
      </c>
      <c r="H181">
        <v>0</v>
      </c>
      <c r="I181">
        <v>0</v>
      </c>
      <c r="J181">
        <v>1</v>
      </c>
      <c r="K181" t="s">
        <v>873</v>
      </c>
      <c r="L181">
        <v>2030</v>
      </c>
      <c r="M181">
        <v>1</v>
      </c>
      <c r="O181" t="s">
        <v>859</v>
      </c>
      <c r="R181" t="s">
        <v>874</v>
      </c>
      <c r="S181" t="s">
        <v>303</v>
      </c>
      <c r="T181">
        <v>2</v>
      </c>
      <c r="U181" t="s">
        <v>875</v>
      </c>
      <c r="V181" t="s">
        <v>876</v>
      </c>
      <c r="X181" t="s">
        <v>862</v>
      </c>
      <c r="Y181">
        <v>2.4</v>
      </c>
      <c r="Z181" t="e">
        <v>#NAME?</v>
      </c>
      <c r="AA181" t="s">
        <v>212</v>
      </c>
      <c r="AM181" t="s">
        <v>309</v>
      </c>
    </row>
    <row r="182" spans="1:39">
      <c r="A182" t="s">
        <v>792</v>
      </c>
      <c r="B182" t="s">
        <v>857</v>
      </c>
      <c r="C182" t="s">
        <v>857</v>
      </c>
      <c r="D182" t="s">
        <v>321</v>
      </c>
      <c r="E182">
        <v>2020</v>
      </c>
      <c r="F182">
        <v>0</v>
      </c>
      <c r="G182">
        <v>1</v>
      </c>
      <c r="H182">
        <v>0</v>
      </c>
      <c r="I182">
        <v>0</v>
      </c>
      <c r="J182">
        <v>1</v>
      </c>
      <c r="K182" t="s">
        <v>887</v>
      </c>
      <c r="L182">
        <v>2030</v>
      </c>
      <c r="M182">
        <v>1</v>
      </c>
      <c r="O182" t="s">
        <v>859</v>
      </c>
      <c r="Q182" t="s">
        <v>888</v>
      </c>
      <c r="R182" t="s">
        <v>1821</v>
      </c>
      <c r="S182" t="s">
        <v>303</v>
      </c>
      <c r="T182">
        <v>2</v>
      </c>
      <c r="U182" t="s">
        <v>331</v>
      </c>
      <c r="X182" t="s">
        <v>862</v>
      </c>
      <c r="Y182">
        <v>15.1</v>
      </c>
      <c r="Z182" t="e">
        <v>#NAME?</v>
      </c>
      <c r="AA182" t="s">
        <v>212</v>
      </c>
    </row>
    <row r="183" spans="1:39" ht="80">
      <c r="A183" t="s">
        <v>792</v>
      </c>
      <c r="B183" t="s">
        <v>857</v>
      </c>
      <c r="C183" t="s">
        <v>857</v>
      </c>
      <c r="D183" t="s">
        <v>321</v>
      </c>
      <c r="E183">
        <v>2020</v>
      </c>
      <c r="G183">
        <v>1</v>
      </c>
      <c r="H183">
        <v>0</v>
      </c>
      <c r="I183">
        <v>0</v>
      </c>
      <c r="J183">
        <v>1</v>
      </c>
      <c r="K183" t="s">
        <v>974</v>
      </c>
      <c r="L183">
        <v>2030</v>
      </c>
      <c r="M183">
        <v>1</v>
      </c>
      <c r="N183" t="s">
        <v>961</v>
      </c>
      <c r="O183" t="s">
        <v>859</v>
      </c>
      <c r="Q183" t="s">
        <v>975</v>
      </c>
      <c r="R183" t="s">
        <v>1822</v>
      </c>
      <c r="S183" t="s">
        <v>519</v>
      </c>
      <c r="T183">
        <v>2</v>
      </c>
      <c r="U183" t="s">
        <v>977</v>
      </c>
      <c r="V183" s="234" t="s">
        <v>978</v>
      </c>
      <c r="X183" t="s">
        <v>862</v>
      </c>
      <c r="Y183">
        <v>14.5</v>
      </c>
      <c r="Z183" t="e">
        <v>#NAME?</v>
      </c>
      <c r="AA183" t="s">
        <v>212</v>
      </c>
    </row>
    <row r="184" spans="1:39">
      <c r="A184" t="s">
        <v>792</v>
      </c>
      <c r="B184" t="s">
        <v>857</v>
      </c>
      <c r="C184" t="s">
        <v>857</v>
      </c>
      <c r="D184" t="s">
        <v>321</v>
      </c>
      <c r="E184">
        <v>2020</v>
      </c>
      <c r="G184">
        <v>1</v>
      </c>
      <c r="H184">
        <v>0</v>
      </c>
      <c r="I184">
        <v>0</v>
      </c>
      <c r="J184">
        <v>1</v>
      </c>
      <c r="K184" t="s">
        <v>979</v>
      </c>
      <c r="L184">
        <v>2030</v>
      </c>
      <c r="M184">
        <v>1</v>
      </c>
      <c r="N184" t="s">
        <v>961</v>
      </c>
      <c r="O184" t="s">
        <v>859</v>
      </c>
      <c r="Q184" t="s">
        <v>975</v>
      </c>
      <c r="R184" t="s">
        <v>1823</v>
      </c>
      <c r="S184" t="s">
        <v>519</v>
      </c>
      <c r="T184">
        <v>2</v>
      </c>
      <c r="U184" t="s">
        <v>981</v>
      </c>
      <c r="V184" t="s">
        <v>982</v>
      </c>
      <c r="W184" t="s">
        <v>344</v>
      </c>
      <c r="X184" t="s">
        <v>862</v>
      </c>
      <c r="Y184">
        <v>15.1</v>
      </c>
      <c r="Z184" t="e">
        <v>#NAME?</v>
      </c>
      <c r="AA184" t="s">
        <v>212</v>
      </c>
      <c r="AM184" t="s">
        <v>309</v>
      </c>
    </row>
    <row r="185" spans="1:39" ht="96">
      <c r="A185" t="s">
        <v>792</v>
      </c>
      <c r="B185" t="s">
        <v>802</v>
      </c>
      <c r="C185" t="s">
        <v>803</v>
      </c>
      <c r="D185" t="s">
        <v>1376</v>
      </c>
      <c r="E185">
        <v>2023</v>
      </c>
      <c r="F185">
        <v>1</v>
      </c>
      <c r="G185">
        <v>3</v>
      </c>
      <c r="H185">
        <v>1</v>
      </c>
      <c r="J185">
        <v>1</v>
      </c>
      <c r="K185" t="s">
        <v>804</v>
      </c>
      <c r="L185">
        <v>2030</v>
      </c>
      <c r="M185">
        <v>1</v>
      </c>
      <c r="O185" t="s">
        <v>805</v>
      </c>
      <c r="R185" s="234" t="s">
        <v>1824</v>
      </c>
      <c r="S185" t="s">
        <v>807</v>
      </c>
      <c r="T185">
        <v>3</v>
      </c>
      <c r="U185" t="s">
        <v>808</v>
      </c>
      <c r="V185" t="s">
        <v>809</v>
      </c>
      <c r="W185" t="s">
        <v>810</v>
      </c>
      <c r="X185" t="s">
        <v>811</v>
      </c>
      <c r="Y185">
        <v>15.2</v>
      </c>
      <c r="Z185" t="e">
        <v>#NAME?</v>
      </c>
      <c r="AA185" t="s">
        <v>203</v>
      </c>
      <c r="AB185" t="s">
        <v>812</v>
      </c>
    </row>
    <row r="186" spans="1:39" ht="395">
      <c r="A186" t="s">
        <v>792</v>
      </c>
      <c r="B186" t="s">
        <v>857</v>
      </c>
      <c r="C186" t="s">
        <v>857</v>
      </c>
      <c r="D186" t="s">
        <v>321</v>
      </c>
      <c r="E186">
        <v>2020</v>
      </c>
      <c r="F186">
        <v>0</v>
      </c>
      <c r="G186">
        <v>1</v>
      </c>
      <c r="H186">
        <v>0</v>
      </c>
      <c r="I186">
        <v>0</v>
      </c>
      <c r="J186">
        <v>1</v>
      </c>
      <c r="K186" t="s">
        <v>880</v>
      </c>
      <c r="L186">
        <v>2030</v>
      </c>
      <c r="M186">
        <v>1</v>
      </c>
      <c r="N186" s="234" t="s">
        <v>881</v>
      </c>
      <c r="O186" t="s">
        <v>859</v>
      </c>
      <c r="R186" t="s">
        <v>882</v>
      </c>
      <c r="S186" t="s">
        <v>440</v>
      </c>
      <c r="T186">
        <v>3</v>
      </c>
      <c r="U186" t="s">
        <v>331</v>
      </c>
      <c r="X186" t="s">
        <v>862</v>
      </c>
      <c r="Y186">
        <v>12.4</v>
      </c>
      <c r="Z186" t="e">
        <v>#NAME?</v>
      </c>
      <c r="AA186" t="s">
        <v>212</v>
      </c>
    </row>
    <row r="187" spans="1:39" ht="256">
      <c r="A187" t="s">
        <v>792</v>
      </c>
      <c r="B187" t="s">
        <v>857</v>
      </c>
      <c r="C187" t="s">
        <v>857</v>
      </c>
      <c r="D187" t="s">
        <v>321</v>
      </c>
      <c r="E187">
        <v>2020</v>
      </c>
      <c r="F187">
        <v>0</v>
      </c>
      <c r="G187">
        <v>1</v>
      </c>
      <c r="H187">
        <v>0</v>
      </c>
      <c r="I187">
        <v>0</v>
      </c>
      <c r="J187">
        <v>1</v>
      </c>
      <c r="K187" t="s">
        <v>883</v>
      </c>
      <c r="L187">
        <v>2030</v>
      </c>
      <c r="M187">
        <v>1</v>
      </c>
      <c r="O187" t="s">
        <v>859</v>
      </c>
      <c r="Q187" t="s">
        <v>884</v>
      </c>
      <c r="R187" s="234" t="s">
        <v>1825</v>
      </c>
      <c r="S187" t="s">
        <v>886</v>
      </c>
      <c r="T187">
        <v>3</v>
      </c>
      <c r="U187" t="s">
        <v>331</v>
      </c>
      <c r="X187" t="s">
        <v>862</v>
      </c>
      <c r="Y187">
        <v>15.1</v>
      </c>
      <c r="Z187" t="e">
        <v>#NAME?</v>
      </c>
      <c r="AA187" t="s">
        <v>212</v>
      </c>
    </row>
    <row r="188" spans="1:39">
      <c r="A188" t="s">
        <v>792</v>
      </c>
      <c r="B188" t="s">
        <v>802</v>
      </c>
      <c r="C188" t="s">
        <v>803</v>
      </c>
      <c r="D188" t="s">
        <v>1376</v>
      </c>
      <c r="E188">
        <v>2023</v>
      </c>
      <c r="F188">
        <v>1</v>
      </c>
      <c r="G188">
        <v>3</v>
      </c>
      <c r="H188">
        <v>1</v>
      </c>
      <c r="J188">
        <v>1</v>
      </c>
      <c r="K188" t="s">
        <v>921</v>
      </c>
      <c r="L188">
        <v>2030</v>
      </c>
      <c r="M188">
        <v>1</v>
      </c>
      <c r="N188" t="s">
        <v>814</v>
      </c>
      <c r="Y188">
        <v>15.2</v>
      </c>
      <c r="Z188" t="e">
        <v>#NAME?</v>
      </c>
    </row>
    <row r="189" spans="1:39">
      <c r="A189" t="s">
        <v>792</v>
      </c>
      <c r="B189" t="s">
        <v>802</v>
      </c>
      <c r="C189" t="s">
        <v>803</v>
      </c>
      <c r="D189" t="s">
        <v>1376</v>
      </c>
      <c r="E189">
        <v>2023</v>
      </c>
      <c r="F189">
        <v>1</v>
      </c>
      <c r="G189">
        <v>3</v>
      </c>
      <c r="H189">
        <v>1</v>
      </c>
      <c r="J189">
        <v>1</v>
      </c>
      <c r="K189" t="s">
        <v>922</v>
      </c>
      <c r="L189">
        <v>2030</v>
      </c>
      <c r="M189">
        <v>1</v>
      </c>
      <c r="O189" t="s">
        <v>805</v>
      </c>
      <c r="W189" t="s">
        <v>923</v>
      </c>
      <c r="X189" t="s">
        <v>811</v>
      </c>
      <c r="Y189">
        <v>15.3</v>
      </c>
      <c r="Z189" t="e">
        <v>#NAME?</v>
      </c>
    </row>
    <row r="190" spans="1:39">
      <c r="A190" t="s">
        <v>792</v>
      </c>
      <c r="B190" t="s">
        <v>802</v>
      </c>
      <c r="C190" t="s">
        <v>803</v>
      </c>
      <c r="D190" t="s">
        <v>1376</v>
      </c>
      <c r="E190">
        <v>2023</v>
      </c>
      <c r="F190">
        <v>1</v>
      </c>
      <c r="G190">
        <v>3</v>
      </c>
      <c r="H190">
        <v>1</v>
      </c>
      <c r="J190">
        <v>1</v>
      </c>
      <c r="K190" t="s">
        <v>924</v>
      </c>
      <c r="L190">
        <v>2030</v>
      </c>
      <c r="M190">
        <v>1</v>
      </c>
      <c r="N190" t="s">
        <v>925</v>
      </c>
      <c r="O190" t="s">
        <v>805</v>
      </c>
      <c r="R190" t="s">
        <v>926</v>
      </c>
      <c r="W190" t="s">
        <v>820</v>
      </c>
      <c r="X190" t="s">
        <v>811</v>
      </c>
      <c r="Y190">
        <v>2.4</v>
      </c>
      <c r="Z190" t="e">
        <v>#NAME?</v>
      </c>
    </row>
    <row r="191" spans="1:39">
      <c r="A191" t="s">
        <v>792</v>
      </c>
      <c r="B191" t="s">
        <v>802</v>
      </c>
      <c r="C191" t="s">
        <v>803</v>
      </c>
      <c r="D191" t="s">
        <v>1376</v>
      </c>
      <c r="E191">
        <v>2023</v>
      </c>
      <c r="F191">
        <v>1</v>
      </c>
      <c r="G191">
        <v>3</v>
      </c>
      <c r="H191">
        <v>1</v>
      </c>
      <c r="J191">
        <v>1</v>
      </c>
      <c r="K191" t="s">
        <v>931</v>
      </c>
      <c r="L191">
        <v>2030</v>
      </c>
      <c r="M191">
        <v>1</v>
      </c>
      <c r="N191" t="s">
        <v>932</v>
      </c>
      <c r="O191" t="s">
        <v>457</v>
      </c>
      <c r="Y191">
        <v>15.2</v>
      </c>
      <c r="Z191" t="e">
        <v>#NAME?</v>
      </c>
    </row>
    <row r="192" spans="1:39">
      <c r="A192" t="s">
        <v>792</v>
      </c>
      <c r="B192" t="s">
        <v>802</v>
      </c>
      <c r="C192" t="s">
        <v>803</v>
      </c>
      <c r="D192" t="s">
        <v>1376</v>
      </c>
      <c r="E192">
        <v>2023</v>
      </c>
      <c r="F192">
        <v>1</v>
      </c>
      <c r="G192">
        <v>3</v>
      </c>
      <c r="H192">
        <v>1</v>
      </c>
      <c r="J192">
        <v>1</v>
      </c>
      <c r="K192" t="s">
        <v>933</v>
      </c>
      <c r="L192">
        <v>2030</v>
      </c>
      <c r="M192">
        <v>1</v>
      </c>
      <c r="N192" t="s">
        <v>932</v>
      </c>
      <c r="O192" t="s">
        <v>457</v>
      </c>
      <c r="Y192">
        <v>11.4</v>
      </c>
      <c r="Z192" t="e">
        <v>#NAME?</v>
      </c>
    </row>
    <row r="193" spans="1:41" ht="409.6">
      <c r="A193" t="s">
        <v>792</v>
      </c>
      <c r="B193" t="s">
        <v>802</v>
      </c>
      <c r="C193" t="s">
        <v>803</v>
      </c>
      <c r="D193" t="s">
        <v>1376</v>
      </c>
      <c r="E193">
        <v>2023</v>
      </c>
      <c r="F193">
        <v>1</v>
      </c>
      <c r="G193">
        <v>3</v>
      </c>
      <c r="H193">
        <v>1</v>
      </c>
      <c r="J193">
        <v>1</v>
      </c>
      <c r="K193" s="234" t="s">
        <v>934</v>
      </c>
      <c r="L193">
        <v>2030</v>
      </c>
      <c r="M193">
        <v>1</v>
      </c>
      <c r="N193" t="s">
        <v>932</v>
      </c>
      <c r="O193" t="s">
        <v>457</v>
      </c>
      <c r="Y193">
        <v>11.4</v>
      </c>
      <c r="Z193" t="e">
        <v>#NAME?</v>
      </c>
    </row>
    <row r="194" spans="1:41">
      <c r="A194" t="s">
        <v>792</v>
      </c>
      <c r="B194" t="s">
        <v>802</v>
      </c>
      <c r="C194" t="s">
        <v>852</v>
      </c>
      <c r="D194" t="s">
        <v>298</v>
      </c>
      <c r="E194">
        <v>2019</v>
      </c>
      <c r="F194">
        <v>1</v>
      </c>
      <c r="G194">
        <v>3</v>
      </c>
      <c r="H194">
        <v>1</v>
      </c>
      <c r="J194">
        <v>1</v>
      </c>
      <c r="K194" t="s">
        <v>944</v>
      </c>
      <c r="M194">
        <v>1</v>
      </c>
      <c r="O194" t="s">
        <v>593</v>
      </c>
      <c r="W194" t="s">
        <v>862</v>
      </c>
      <c r="X194" t="s">
        <v>850</v>
      </c>
      <c r="Y194">
        <v>14.4</v>
      </c>
      <c r="Z194" t="e">
        <v>#NAME?</v>
      </c>
      <c r="AM194" t="s">
        <v>309</v>
      </c>
    </row>
    <row r="195" spans="1:41" ht="96">
      <c r="A195" t="s">
        <v>1410</v>
      </c>
      <c r="B195" t="s">
        <v>793</v>
      </c>
      <c r="C195" s="234" t="s">
        <v>1437</v>
      </c>
      <c r="D195" t="s">
        <v>321</v>
      </c>
      <c r="E195">
        <v>2021</v>
      </c>
      <c r="F195">
        <v>0</v>
      </c>
      <c r="G195">
        <v>1</v>
      </c>
      <c r="H195">
        <v>0</v>
      </c>
      <c r="I195">
        <v>0</v>
      </c>
      <c r="J195">
        <v>1</v>
      </c>
      <c r="K195" t="s">
        <v>1446</v>
      </c>
      <c r="L195">
        <v>2030</v>
      </c>
      <c r="M195">
        <v>1</v>
      </c>
      <c r="O195" t="s">
        <v>1734</v>
      </c>
      <c r="P195" t="s">
        <v>1742</v>
      </c>
      <c r="Q195" t="s">
        <v>1449</v>
      </c>
      <c r="R195" t="s">
        <v>1743</v>
      </c>
      <c r="S195" t="s">
        <v>519</v>
      </c>
      <c r="T195">
        <v>0</v>
      </c>
      <c r="W195" t="s">
        <v>1253</v>
      </c>
      <c r="Y195">
        <v>12.4</v>
      </c>
      <c r="Z195" t="e">
        <v>#NAME?</v>
      </c>
    </row>
    <row r="196" spans="1:41" ht="208">
      <c r="A196" t="s">
        <v>1410</v>
      </c>
      <c r="B196" t="s">
        <v>793</v>
      </c>
      <c r="C196" s="234" t="s">
        <v>1437</v>
      </c>
      <c r="D196" t="s">
        <v>321</v>
      </c>
      <c r="E196">
        <v>2021</v>
      </c>
      <c r="F196">
        <v>0</v>
      </c>
      <c r="G196">
        <v>1</v>
      </c>
      <c r="H196">
        <v>0</v>
      </c>
      <c r="I196">
        <v>0</v>
      </c>
      <c r="J196">
        <v>1</v>
      </c>
      <c r="K196" t="s">
        <v>1458</v>
      </c>
      <c r="L196">
        <v>2030</v>
      </c>
      <c r="M196">
        <v>1</v>
      </c>
      <c r="N196" t="s">
        <v>1725</v>
      </c>
      <c r="O196" t="s">
        <v>602</v>
      </c>
      <c r="P196" t="s">
        <v>1726</v>
      </c>
      <c r="Q196" t="s">
        <v>1459</v>
      </c>
      <c r="R196" s="234" t="s">
        <v>1826</v>
      </c>
      <c r="S196" t="s">
        <v>303</v>
      </c>
      <c r="T196">
        <v>1</v>
      </c>
      <c r="W196" t="s">
        <v>606</v>
      </c>
      <c r="Y196">
        <v>11.6</v>
      </c>
      <c r="Z196" t="e">
        <v>#NAME?</v>
      </c>
      <c r="AA196" t="s">
        <v>197</v>
      </c>
      <c r="AB196" t="s">
        <v>1460</v>
      </c>
      <c r="AL196" t="s">
        <v>309</v>
      </c>
    </row>
    <row r="197" spans="1:41">
      <c r="A197" t="s">
        <v>1410</v>
      </c>
      <c r="B197" t="s">
        <v>793</v>
      </c>
      <c r="C197" t="s">
        <v>389</v>
      </c>
      <c r="D197" t="s">
        <v>101</v>
      </c>
      <c r="E197">
        <v>2022</v>
      </c>
      <c r="F197">
        <v>0</v>
      </c>
      <c r="G197">
        <v>2</v>
      </c>
      <c r="H197">
        <v>0</v>
      </c>
      <c r="I197">
        <v>1</v>
      </c>
      <c r="J197">
        <v>1</v>
      </c>
      <c r="K197" t="s">
        <v>1728</v>
      </c>
      <c r="L197">
        <v>2040</v>
      </c>
      <c r="M197">
        <v>1</v>
      </c>
      <c r="N197" t="s">
        <v>391</v>
      </c>
      <c r="O197" t="s">
        <v>392</v>
      </c>
      <c r="R197" t="s">
        <v>1729</v>
      </c>
      <c r="T197">
        <v>2</v>
      </c>
      <c r="W197" t="s">
        <v>606</v>
      </c>
      <c r="X197" t="s">
        <v>1413</v>
      </c>
      <c r="Y197">
        <v>6.3</v>
      </c>
      <c r="Z197" t="e">
        <v>#NAME?</v>
      </c>
      <c r="AO197" t="s">
        <v>309</v>
      </c>
    </row>
    <row r="198" spans="1:41">
      <c r="A198" t="s">
        <v>1410</v>
      </c>
      <c r="B198" t="s">
        <v>793</v>
      </c>
      <c r="C198" t="s">
        <v>794</v>
      </c>
      <c r="D198" t="s">
        <v>321</v>
      </c>
      <c r="E198">
        <v>2021</v>
      </c>
      <c r="F198">
        <v>0</v>
      </c>
      <c r="G198">
        <v>1</v>
      </c>
      <c r="H198">
        <v>0</v>
      </c>
      <c r="I198">
        <v>0</v>
      </c>
      <c r="J198">
        <v>1</v>
      </c>
      <c r="K198" t="s">
        <v>1463</v>
      </c>
      <c r="L198">
        <v>2050</v>
      </c>
      <c r="M198">
        <v>1</v>
      </c>
      <c r="O198" t="s">
        <v>796</v>
      </c>
      <c r="P198" t="s">
        <v>1730</v>
      </c>
      <c r="Q198" t="s">
        <v>1464</v>
      </c>
      <c r="R198" t="s">
        <v>1731</v>
      </c>
      <c r="S198" t="s">
        <v>519</v>
      </c>
      <c r="T198">
        <v>2</v>
      </c>
      <c r="W198" t="s">
        <v>923</v>
      </c>
      <c r="X198" t="s">
        <v>1253</v>
      </c>
      <c r="Y198">
        <v>15.3</v>
      </c>
      <c r="Z198" t="e">
        <v>#NAME?</v>
      </c>
      <c r="AA198" t="s">
        <v>190</v>
      </c>
      <c r="AB198" t="s">
        <v>1465</v>
      </c>
      <c r="AL198" t="s">
        <v>309</v>
      </c>
    </row>
    <row r="199" spans="1:41" ht="224">
      <c r="A199" t="s">
        <v>1410</v>
      </c>
      <c r="B199" t="s">
        <v>793</v>
      </c>
      <c r="C199" t="s">
        <v>794</v>
      </c>
      <c r="D199" t="s">
        <v>321</v>
      </c>
      <c r="E199">
        <v>2021</v>
      </c>
      <c r="F199">
        <v>0</v>
      </c>
      <c r="G199">
        <v>1</v>
      </c>
      <c r="H199">
        <v>0</v>
      </c>
      <c r="I199">
        <v>0</v>
      </c>
      <c r="J199">
        <v>1</v>
      </c>
      <c r="K199" t="s">
        <v>1732</v>
      </c>
      <c r="L199">
        <v>2030</v>
      </c>
      <c r="M199">
        <v>1</v>
      </c>
      <c r="N199" t="s">
        <v>1733</v>
      </c>
      <c r="O199" t="s">
        <v>1734</v>
      </c>
      <c r="P199" t="s">
        <v>1735</v>
      </c>
      <c r="Q199" t="s">
        <v>1262</v>
      </c>
      <c r="R199" s="234" t="s">
        <v>1827</v>
      </c>
      <c r="S199" t="s">
        <v>519</v>
      </c>
      <c r="T199">
        <v>2</v>
      </c>
      <c r="Y199">
        <v>12.4</v>
      </c>
      <c r="Z199" t="e">
        <v>#NAME?</v>
      </c>
    </row>
    <row r="200" spans="1:41" ht="96">
      <c r="A200" t="s">
        <v>1410</v>
      </c>
      <c r="B200" t="s">
        <v>793</v>
      </c>
      <c r="C200" s="234" t="s">
        <v>1437</v>
      </c>
      <c r="D200" t="s">
        <v>321</v>
      </c>
      <c r="E200">
        <v>2021</v>
      </c>
      <c r="F200">
        <v>0</v>
      </c>
      <c r="G200">
        <v>1</v>
      </c>
      <c r="H200">
        <v>0</v>
      </c>
      <c r="I200">
        <v>0</v>
      </c>
      <c r="J200">
        <v>1</v>
      </c>
      <c r="K200" t="s">
        <v>1454</v>
      </c>
      <c r="L200">
        <v>2030</v>
      </c>
      <c r="M200">
        <v>1</v>
      </c>
      <c r="N200" t="s">
        <v>1737</v>
      </c>
      <c r="O200" t="s">
        <v>1734</v>
      </c>
      <c r="P200" t="s">
        <v>1738</v>
      </c>
      <c r="Q200" t="s">
        <v>1455</v>
      </c>
      <c r="R200" t="s">
        <v>1828</v>
      </c>
      <c r="S200" t="s">
        <v>519</v>
      </c>
      <c r="T200">
        <v>2</v>
      </c>
      <c r="W200" t="s">
        <v>1253</v>
      </c>
      <c r="Y200">
        <v>11.1</v>
      </c>
      <c r="Z200" t="e">
        <v>#NAME?</v>
      </c>
      <c r="AA200" t="s">
        <v>195</v>
      </c>
      <c r="AB200" t="s">
        <v>1456</v>
      </c>
      <c r="AL200" t="s">
        <v>309</v>
      </c>
    </row>
    <row r="201" spans="1:41" ht="96">
      <c r="A201" t="s">
        <v>1410</v>
      </c>
      <c r="B201" t="s">
        <v>793</v>
      </c>
      <c r="C201" s="234" t="s">
        <v>1437</v>
      </c>
      <c r="D201" t="s">
        <v>321</v>
      </c>
      <c r="E201">
        <v>2021</v>
      </c>
      <c r="F201">
        <v>0</v>
      </c>
      <c r="G201">
        <v>1</v>
      </c>
      <c r="H201">
        <v>0</v>
      </c>
      <c r="I201">
        <v>0</v>
      </c>
      <c r="J201">
        <v>1</v>
      </c>
      <c r="K201" t="s">
        <v>1446</v>
      </c>
      <c r="L201">
        <v>2030</v>
      </c>
      <c r="M201">
        <v>1</v>
      </c>
      <c r="O201" t="s">
        <v>1734</v>
      </c>
      <c r="P201" t="s">
        <v>1744</v>
      </c>
      <c r="Q201" t="s">
        <v>1447</v>
      </c>
      <c r="R201" t="s">
        <v>1829</v>
      </c>
      <c r="S201" t="s">
        <v>519</v>
      </c>
      <c r="T201">
        <v>2</v>
      </c>
      <c r="W201" t="s">
        <v>1253</v>
      </c>
      <c r="X201" t="s">
        <v>1413</v>
      </c>
      <c r="Y201">
        <v>6.3</v>
      </c>
      <c r="Z201" t="e">
        <v>#NAME?</v>
      </c>
      <c r="AL201" t="s">
        <v>309</v>
      </c>
    </row>
    <row r="202" spans="1:41" ht="240">
      <c r="A202" t="s">
        <v>1410</v>
      </c>
      <c r="B202" t="s">
        <v>793</v>
      </c>
      <c r="C202" s="234" t="s">
        <v>1437</v>
      </c>
      <c r="D202" t="s">
        <v>321</v>
      </c>
      <c r="E202">
        <v>2021</v>
      </c>
      <c r="F202">
        <v>0</v>
      </c>
      <c r="G202">
        <v>1</v>
      </c>
      <c r="H202">
        <v>0</v>
      </c>
      <c r="I202">
        <v>0</v>
      </c>
      <c r="J202">
        <v>1</v>
      </c>
      <c r="K202" t="s">
        <v>1746</v>
      </c>
      <c r="L202">
        <v>2030</v>
      </c>
      <c r="M202">
        <v>1</v>
      </c>
      <c r="N202" t="s">
        <v>1733</v>
      </c>
      <c r="O202" t="s">
        <v>1734</v>
      </c>
      <c r="P202" t="s">
        <v>1747</v>
      </c>
      <c r="Q202" t="s">
        <v>1262</v>
      </c>
      <c r="R202" s="234" t="s">
        <v>1830</v>
      </c>
      <c r="S202" t="s">
        <v>519</v>
      </c>
      <c r="T202">
        <v>2</v>
      </c>
      <c r="Y202">
        <v>12.4</v>
      </c>
      <c r="Z202" t="e">
        <v>#NAME?</v>
      </c>
    </row>
    <row r="203" spans="1:41">
      <c r="A203" t="s">
        <v>1410</v>
      </c>
      <c r="B203" t="s">
        <v>599</v>
      </c>
      <c r="C203" t="s">
        <v>389</v>
      </c>
      <c r="D203" t="s">
        <v>101</v>
      </c>
      <c r="E203">
        <v>2022</v>
      </c>
      <c r="F203">
        <v>0</v>
      </c>
      <c r="G203">
        <v>2</v>
      </c>
      <c r="H203">
        <v>0</v>
      </c>
      <c r="I203">
        <v>1</v>
      </c>
      <c r="J203">
        <v>1</v>
      </c>
      <c r="K203" t="s">
        <v>1415</v>
      </c>
      <c r="L203">
        <v>2040</v>
      </c>
      <c r="M203">
        <v>1</v>
      </c>
      <c r="N203" t="s">
        <v>391</v>
      </c>
      <c r="O203" t="s">
        <v>392</v>
      </c>
      <c r="R203" t="s">
        <v>1831</v>
      </c>
      <c r="T203">
        <v>2</v>
      </c>
      <c r="U203" t="s">
        <v>331</v>
      </c>
      <c r="W203" t="s">
        <v>1413</v>
      </c>
      <c r="Y203">
        <v>6.3</v>
      </c>
      <c r="Z203" t="e">
        <v>#NAME?</v>
      </c>
    </row>
    <row r="204" spans="1:41">
      <c r="A204" t="s">
        <v>1410</v>
      </c>
      <c r="B204" t="s">
        <v>793</v>
      </c>
      <c r="C204" t="s">
        <v>389</v>
      </c>
      <c r="D204" t="s">
        <v>101</v>
      </c>
      <c r="E204">
        <v>2022</v>
      </c>
      <c r="F204">
        <v>0</v>
      </c>
      <c r="G204">
        <v>2</v>
      </c>
      <c r="H204">
        <v>0</v>
      </c>
      <c r="I204">
        <v>1</v>
      </c>
      <c r="J204">
        <v>1</v>
      </c>
      <c r="K204" t="s">
        <v>1750</v>
      </c>
      <c r="L204">
        <v>2040</v>
      </c>
      <c r="M204">
        <v>1</v>
      </c>
      <c r="N204" t="s">
        <v>391</v>
      </c>
      <c r="O204" t="s">
        <v>392</v>
      </c>
      <c r="R204" t="s">
        <v>1751</v>
      </c>
      <c r="T204">
        <v>3</v>
      </c>
      <c r="W204" t="s">
        <v>606</v>
      </c>
      <c r="X204" t="s">
        <v>1413</v>
      </c>
      <c r="Y204">
        <v>6.3</v>
      </c>
      <c r="Z204" t="e">
        <v>#NAME?</v>
      </c>
      <c r="AO204" t="s">
        <v>309</v>
      </c>
    </row>
    <row r="205" spans="1:41" ht="96">
      <c r="A205" t="s">
        <v>1410</v>
      </c>
      <c r="B205" t="s">
        <v>793</v>
      </c>
      <c r="C205" s="234" t="s">
        <v>1437</v>
      </c>
      <c r="D205" t="s">
        <v>321</v>
      </c>
      <c r="E205">
        <v>2021</v>
      </c>
      <c r="F205">
        <v>0</v>
      </c>
      <c r="G205">
        <v>1</v>
      </c>
      <c r="H205">
        <v>0</v>
      </c>
      <c r="I205">
        <v>0</v>
      </c>
      <c r="J205">
        <v>1</v>
      </c>
      <c r="K205" t="s">
        <v>1451</v>
      </c>
      <c r="L205">
        <v>2030</v>
      </c>
      <c r="M205">
        <v>1</v>
      </c>
      <c r="O205" t="s">
        <v>1734</v>
      </c>
      <c r="P205" t="s">
        <v>1740</v>
      </c>
      <c r="Q205" t="s">
        <v>1452</v>
      </c>
      <c r="R205" t="s">
        <v>1741</v>
      </c>
      <c r="S205" t="s">
        <v>519</v>
      </c>
      <c r="T205">
        <v>3</v>
      </c>
      <c r="W205" t="s">
        <v>1253</v>
      </c>
      <c r="X205" t="s">
        <v>862</v>
      </c>
      <c r="Y205">
        <v>12.4</v>
      </c>
      <c r="Z205" t="e">
        <v>#NAME?</v>
      </c>
      <c r="AL205" t="s">
        <v>309</v>
      </c>
    </row>
    <row r="206" spans="1:41" ht="96">
      <c r="A206" t="s">
        <v>1410</v>
      </c>
      <c r="B206" t="s">
        <v>793</v>
      </c>
      <c r="C206" s="234" t="s">
        <v>1437</v>
      </c>
      <c r="D206" t="s">
        <v>321</v>
      </c>
      <c r="E206">
        <v>2021</v>
      </c>
      <c r="F206">
        <v>0</v>
      </c>
      <c r="G206">
        <v>1</v>
      </c>
      <c r="H206">
        <v>0</v>
      </c>
      <c r="I206">
        <v>0</v>
      </c>
      <c r="J206">
        <v>1</v>
      </c>
      <c r="K206" t="s">
        <v>1442</v>
      </c>
      <c r="L206">
        <v>2030</v>
      </c>
      <c r="M206">
        <v>1</v>
      </c>
      <c r="O206" t="s">
        <v>1734</v>
      </c>
      <c r="P206" t="s">
        <v>1752</v>
      </c>
      <c r="Q206" t="s">
        <v>1443</v>
      </c>
      <c r="R206" t="s">
        <v>1832</v>
      </c>
      <c r="S206" t="s">
        <v>363</v>
      </c>
      <c r="T206">
        <v>3</v>
      </c>
      <c r="U206" t="s">
        <v>1754</v>
      </c>
      <c r="V206" t="s">
        <v>1755</v>
      </c>
      <c r="W206" t="s">
        <v>1253</v>
      </c>
      <c r="Y206">
        <v>3.9</v>
      </c>
      <c r="Z206" t="e">
        <v>#NAME?</v>
      </c>
      <c r="AA206" t="s">
        <v>190</v>
      </c>
      <c r="AB206" t="s">
        <v>1444</v>
      </c>
      <c r="AL206" t="s">
        <v>309</v>
      </c>
    </row>
    <row r="207" spans="1:41" ht="96">
      <c r="A207" t="s">
        <v>1410</v>
      </c>
      <c r="B207" t="s">
        <v>793</v>
      </c>
      <c r="C207" s="234" t="s">
        <v>1437</v>
      </c>
      <c r="D207" t="s">
        <v>321</v>
      </c>
      <c r="E207">
        <v>2021</v>
      </c>
      <c r="F207">
        <v>0</v>
      </c>
      <c r="G207">
        <v>1</v>
      </c>
      <c r="H207">
        <v>0</v>
      </c>
      <c r="I207">
        <v>0</v>
      </c>
      <c r="J207">
        <v>1</v>
      </c>
      <c r="K207" t="s">
        <v>1756</v>
      </c>
      <c r="L207">
        <v>2030</v>
      </c>
      <c r="M207">
        <v>1</v>
      </c>
      <c r="N207" t="s">
        <v>1757</v>
      </c>
      <c r="O207" t="s">
        <v>1734</v>
      </c>
      <c r="P207" t="s">
        <v>1758</v>
      </c>
      <c r="Q207" t="s">
        <v>1262</v>
      </c>
      <c r="R207" t="s">
        <v>1833</v>
      </c>
      <c r="S207" t="s">
        <v>440</v>
      </c>
      <c r="T207">
        <v>3</v>
      </c>
      <c r="W207" t="s">
        <v>923</v>
      </c>
      <c r="X207" t="s">
        <v>1253</v>
      </c>
      <c r="Y207">
        <v>12.4</v>
      </c>
      <c r="Z207" t="e">
        <v>#NAME?</v>
      </c>
      <c r="AL207" t="s">
        <v>309</v>
      </c>
    </row>
    <row r="208" spans="1:41" ht="409.6">
      <c r="A208" t="s">
        <v>1410</v>
      </c>
      <c r="B208" t="s">
        <v>599</v>
      </c>
      <c r="C208" t="s">
        <v>389</v>
      </c>
      <c r="D208" t="s">
        <v>101</v>
      </c>
      <c r="E208">
        <v>2022</v>
      </c>
      <c r="F208">
        <v>0</v>
      </c>
      <c r="G208">
        <v>2</v>
      </c>
      <c r="H208">
        <v>0</v>
      </c>
      <c r="I208">
        <v>1</v>
      </c>
      <c r="J208">
        <v>1</v>
      </c>
      <c r="K208" t="s">
        <v>1417</v>
      </c>
      <c r="L208">
        <v>2040</v>
      </c>
      <c r="M208">
        <v>1</v>
      </c>
      <c r="N208" s="234" t="s">
        <v>1760</v>
      </c>
      <c r="O208" t="s">
        <v>392</v>
      </c>
      <c r="P208" t="s">
        <v>1419</v>
      </c>
      <c r="R208" s="234" t="s">
        <v>1834</v>
      </c>
      <c r="T208">
        <v>3</v>
      </c>
      <c r="U208" t="s">
        <v>331</v>
      </c>
      <c r="W208" t="s">
        <v>1413</v>
      </c>
      <c r="X208" t="s">
        <v>1418</v>
      </c>
      <c r="Y208">
        <v>6.2</v>
      </c>
      <c r="Z208" t="e">
        <v>#NAME?</v>
      </c>
      <c r="AA208" t="s">
        <v>821</v>
      </c>
      <c r="AB208" t="s">
        <v>1419</v>
      </c>
    </row>
    <row r="209" spans="1:41">
      <c r="A209" t="s">
        <v>1410</v>
      </c>
      <c r="B209" t="s">
        <v>599</v>
      </c>
      <c r="C209" t="s">
        <v>389</v>
      </c>
      <c r="D209" t="s">
        <v>101</v>
      </c>
      <c r="E209">
        <v>2022</v>
      </c>
      <c r="F209">
        <v>0</v>
      </c>
      <c r="G209">
        <v>2</v>
      </c>
      <c r="H209">
        <v>0</v>
      </c>
      <c r="I209">
        <v>1</v>
      </c>
      <c r="J209">
        <v>1</v>
      </c>
      <c r="K209" t="s">
        <v>1412</v>
      </c>
      <c r="L209">
        <v>2040</v>
      </c>
      <c r="M209">
        <v>1</v>
      </c>
      <c r="N209" t="s">
        <v>391</v>
      </c>
      <c r="O209" t="s">
        <v>392</v>
      </c>
      <c r="R209" t="s">
        <v>1835</v>
      </c>
      <c r="S209" t="s">
        <v>1004</v>
      </c>
      <c r="T209">
        <v>3</v>
      </c>
      <c r="U209" t="s">
        <v>331</v>
      </c>
      <c r="W209" t="s">
        <v>606</v>
      </c>
      <c r="X209" t="s">
        <v>1413</v>
      </c>
      <c r="Y209">
        <v>6.3</v>
      </c>
      <c r="Z209" t="e">
        <v>#NAME?</v>
      </c>
      <c r="AO209" t="s">
        <v>309</v>
      </c>
    </row>
    <row r="210" spans="1:41">
      <c r="A210" t="s">
        <v>1410</v>
      </c>
      <c r="B210" t="s">
        <v>1426</v>
      </c>
      <c r="C210" t="s">
        <v>1763</v>
      </c>
      <c r="D210" t="s">
        <v>298</v>
      </c>
      <c r="E210">
        <v>2019</v>
      </c>
      <c r="F210">
        <v>1</v>
      </c>
      <c r="G210">
        <v>3</v>
      </c>
      <c r="H210">
        <v>1</v>
      </c>
      <c r="J210">
        <v>1</v>
      </c>
      <c r="K210" t="s">
        <v>1764</v>
      </c>
      <c r="L210">
        <v>2025</v>
      </c>
      <c r="M210">
        <v>1</v>
      </c>
      <c r="O210" t="s">
        <v>1734</v>
      </c>
      <c r="W210" t="s">
        <v>1253</v>
      </c>
      <c r="X210" t="s">
        <v>1265</v>
      </c>
      <c r="Y210">
        <v>12.4</v>
      </c>
      <c r="Z210" t="e">
        <v>#NAME?</v>
      </c>
      <c r="AL210" t="s">
        <v>309</v>
      </c>
    </row>
    <row r="211" spans="1:41">
      <c r="A211" t="s">
        <v>1410</v>
      </c>
      <c r="C211" t="s">
        <v>1420</v>
      </c>
      <c r="D211" t="s">
        <v>101</v>
      </c>
      <c r="E211">
        <v>2022</v>
      </c>
      <c r="F211">
        <v>0</v>
      </c>
      <c r="G211">
        <v>2</v>
      </c>
      <c r="H211">
        <v>0</v>
      </c>
      <c r="I211">
        <v>1</v>
      </c>
      <c r="J211">
        <v>1</v>
      </c>
      <c r="K211" t="s">
        <v>1836</v>
      </c>
      <c r="M211">
        <v>1</v>
      </c>
      <c r="Z211" t="e">
        <v>#NAME?</v>
      </c>
    </row>
    <row r="212" spans="1:41">
      <c r="A212" t="s">
        <v>1410</v>
      </c>
      <c r="C212" t="s">
        <v>1420</v>
      </c>
      <c r="D212" t="s">
        <v>102</v>
      </c>
      <c r="E212">
        <v>2020</v>
      </c>
      <c r="F212">
        <v>1</v>
      </c>
      <c r="G212">
        <v>3</v>
      </c>
      <c r="H212">
        <v>1</v>
      </c>
      <c r="J212">
        <v>1</v>
      </c>
      <c r="K212" t="s">
        <v>1422</v>
      </c>
      <c r="M212">
        <v>1</v>
      </c>
      <c r="Z212" t="e">
        <v>#NAME?</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J25"/>
  <sheetViews>
    <sheetView workbookViewId="0"/>
  </sheetViews>
  <sheetFormatPr baseColWidth="10" defaultColWidth="8.83203125" defaultRowHeight="15"/>
  <cols>
    <col min="1" max="1" width="84.6640625" bestFit="1" customWidth="1"/>
    <col min="2" max="3" width="255.6640625" bestFit="1" customWidth="1"/>
    <col min="4" max="4" width="146" bestFit="1" customWidth="1"/>
    <col min="5" max="5" width="20.5" bestFit="1" customWidth="1"/>
    <col min="6" max="6" width="13.83203125" bestFit="1" customWidth="1"/>
    <col min="7" max="7" width="13.5" bestFit="1" customWidth="1"/>
    <col min="8" max="8" width="24" bestFit="1" customWidth="1"/>
    <col min="9" max="9" width="23.5" bestFit="1" customWidth="1"/>
    <col min="11" max="11" width="255.6640625" bestFit="1" customWidth="1"/>
    <col min="12" max="12" width="11.1640625" bestFit="1" customWidth="1"/>
    <col min="13" max="13" width="13" bestFit="1" customWidth="1"/>
    <col min="14" max="14" width="255.6640625" bestFit="1" customWidth="1"/>
    <col min="15" max="15" width="51.5" bestFit="1" customWidth="1"/>
    <col min="16" max="16" width="46" bestFit="1" customWidth="1"/>
    <col min="17" max="17" width="89.33203125" bestFit="1" customWidth="1"/>
    <col min="18" max="18" width="255.6640625" bestFit="1" customWidth="1"/>
    <col min="19" max="19" width="109.33203125" bestFit="1" customWidth="1"/>
    <col min="20" max="20" width="9.33203125" bestFit="1" customWidth="1"/>
    <col min="21" max="21" width="76.33203125" bestFit="1" customWidth="1"/>
    <col min="22" max="22" width="119.1640625" bestFit="1" customWidth="1"/>
    <col min="23" max="23" width="21.33203125" bestFit="1" customWidth="1"/>
    <col min="24" max="24" width="21.5" bestFit="1" customWidth="1"/>
    <col min="25" max="25" width="33.1640625" bestFit="1" customWidth="1"/>
    <col min="26" max="26" width="11.5" bestFit="1" customWidth="1"/>
    <col min="27" max="27" width="43" bestFit="1" customWidth="1"/>
    <col min="28" max="28" width="98.5" bestFit="1" customWidth="1"/>
    <col min="29" max="29" width="39" bestFit="1" customWidth="1"/>
    <col min="30" max="30" width="38.5" bestFit="1" customWidth="1"/>
  </cols>
  <sheetData>
    <row r="1" spans="1:62" ht="32">
      <c r="A1" s="235" t="s">
        <v>1837</v>
      </c>
    </row>
    <row r="3" spans="1:62">
      <c r="A3" t="s">
        <v>234</v>
      </c>
      <c r="B3" t="s">
        <v>235</v>
      </c>
      <c r="C3" t="s">
        <v>236</v>
      </c>
      <c r="D3" t="s">
        <v>81</v>
      </c>
      <c r="E3" t="s">
        <v>237</v>
      </c>
      <c r="F3" t="s">
        <v>238</v>
      </c>
      <c r="G3" t="s">
        <v>239</v>
      </c>
      <c r="H3" t="s">
        <v>240</v>
      </c>
      <c r="I3" t="s">
        <v>241</v>
      </c>
      <c r="J3" t="s">
        <v>242</v>
      </c>
      <c r="K3" t="s">
        <v>243</v>
      </c>
      <c r="L3" t="s">
        <v>244</v>
      </c>
      <c r="M3" t="s">
        <v>245</v>
      </c>
      <c r="N3" t="s">
        <v>246</v>
      </c>
      <c r="O3" t="s">
        <v>247</v>
      </c>
      <c r="P3" t="s">
        <v>248</v>
      </c>
      <c r="Q3" t="s">
        <v>249</v>
      </c>
      <c r="R3" t="s">
        <v>250</v>
      </c>
      <c r="S3" t="s">
        <v>251</v>
      </c>
      <c r="T3" t="s">
        <v>252</v>
      </c>
      <c r="U3" t="s">
        <v>253</v>
      </c>
      <c r="V3" t="s">
        <v>254</v>
      </c>
      <c r="W3" t="s">
        <v>255</v>
      </c>
      <c r="X3" t="s">
        <v>256</v>
      </c>
      <c r="Y3" t="s">
        <v>257</v>
      </c>
      <c r="Z3" t="s">
        <v>258</v>
      </c>
      <c r="AA3" t="s">
        <v>259</v>
      </c>
      <c r="AB3" t="s">
        <v>260</v>
      </c>
      <c r="AC3" t="s">
        <v>261</v>
      </c>
      <c r="AD3" t="s">
        <v>262</v>
      </c>
      <c r="AE3" t="s">
        <v>263</v>
      </c>
      <c r="AF3" t="s">
        <v>264</v>
      </c>
      <c r="AG3" t="s">
        <v>265</v>
      </c>
      <c r="AH3" t="s">
        <v>266</v>
      </c>
      <c r="AI3" t="s">
        <v>267</v>
      </c>
      <c r="AJ3" t="s">
        <v>268</v>
      </c>
      <c r="AK3" t="s">
        <v>269</v>
      </c>
      <c r="AL3" t="s">
        <v>270</v>
      </c>
      <c r="AM3" t="s">
        <v>271</v>
      </c>
      <c r="AN3" t="s">
        <v>272</v>
      </c>
      <c r="AO3" t="s">
        <v>273</v>
      </c>
      <c r="AP3" t="s">
        <v>274</v>
      </c>
      <c r="AQ3" t="s">
        <v>275</v>
      </c>
      <c r="AR3" t="s">
        <v>276</v>
      </c>
      <c r="AS3" t="s">
        <v>277</v>
      </c>
      <c r="AT3" t="s">
        <v>278</v>
      </c>
      <c r="AU3" t="s">
        <v>279</v>
      </c>
      <c r="AV3" t="s">
        <v>280</v>
      </c>
      <c r="AW3" t="s">
        <v>281</v>
      </c>
      <c r="AX3" t="s">
        <v>282</v>
      </c>
      <c r="AY3" t="s">
        <v>283</v>
      </c>
      <c r="AZ3" t="s">
        <v>284</v>
      </c>
      <c r="BA3" t="s">
        <v>285</v>
      </c>
      <c r="BB3" t="s">
        <v>286</v>
      </c>
      <c r="BC3" t="s">
        <v>287</v>
      </c>
      <c r="BD3" t="s">
        <v>288</v>
      </c>
      <c r="BE3" t="s">
        <v>289</v>
      </c>
      <c r="BF3" t="s">
        <v>290</v>
      </c>
      <c r="BG3" t="s">
        <v>291</v>
      </c>
      <c r="BH3" t="s">
        <v>292</v>
      </c>
      <c r="BI3" t="s">
        <v>293</v>
      </c>
      <c r="BJ3" t="s">
        <v>294</v>
      </c>
    </row>
    <row r="4" spans="1:62">
      <c r="A4" t="s">
        <v>295</v>
      </c>
      <c r="B4" t="s">
        <v>296</v>
      </c>
      <c r="C4" t="s">
        <v>297</v>
      </c>
      <c r="D4" t="s">
        <v>298</v>
      </c>
      <c r="E4">
        <v>2021</v>
      </c>
      <c r="F4">
        <v>1</v>
      </c>
      <c r="G4">
        <v>3</v>
      </c>
      <c r="H4">
        <v>1</v>
      </c>
      <c r="J4">
        <v>1</v>
      </c>
      <c r="K4" t="s">
        <v>299</v>
      </c>
      <c r="L4">
        <v>2050</v>
      </c>
      <c r="M4">
        <v>1</v>
      </c>
      <c r="O4" t="s">
        <v>300</v>
      </c>
      <c r="P4" t="s">
        <v>301</v>
      </c>
      <c r="Q4" t="s">
        <v>302</v>
      </c>
      <c r="S4" t="s">
        <v>303</v>
      </c>
      <c r="T4">
        <v>2</v>
      </c>
      <c r="U4" t="s">
        <v>304</v>
      </c>
      <c r="V4" t="s">
        <v>305</v>
      </c>
      <c r="W4" t="s">
        <v>306</v>
      </c>
      <c r="Y4">
        <v>13.2</v>
      </c>
      <c r="Z4" t="s">
        <v>307</v>
      </c>
      <c r="AA4" t="s">
        <v>190</v>
      </c>
      <c r="AB4" t="s">
        <v>308</v>
      </c>
      <c r="AK4" t="s">
        <v>309</v>
      </c>
      <c r="BA4" t="s">
        <v>310</v>
      </c>
      <c r="BB4" t="s">
        <v>310</v>
      </c>
      <c r="BC4" t="s">
        <v>310</v>
      </c>
      <c r="BI4" t="s">
        <v>310</v>
      </c>
    </row>
    <row r="5" spans="1:62" ht="48">
      <c r="A5" t="s">
        <v>295</v>
      </c>
      <c r="B5" t="s">
        <v>296</v>
      </c>
      <c r="C5" t="s">
        <v>297</v>
      </c>
      <c r="D5" t="s">
        <v>298</v>
      </c>
      <c r="E5">
        <v>2021</v>
      </c>
      <c r="F5">
        <v>1</v>
      </c>
      <c r="G5">
        <v>3</v>
      </c>
      <c r="H5">
        <v>1</v>
      </c>
      <c r="J5">
        <v>1</v>
      </c>
      <c r="K5" t="s">
        <v>311</v>
      </c>
      <c r="L5">
        <v>2030</v>
      </c>
      <c r="M5">
        <v>1</v>
      </c>
      <c r="O5" t="s">
        <v>300</v>
      </c>
      <c r="P5" t="s">
        <v>312</v>
      </c>
      <c r="Q5" t="s">
        <v>313</v>
      </c>
      <c r="R5" s="234" t="s">
        <v>314</v>
      </c>
      <c r="S5" t="s">
        <v>303</v>
      </c>
      <c r="T5">
        <v>2</v>
      </c>
      <c r="U5" t="s">
        <v>304</v>
      </c>
      <c r="V5" t="s">
        <v>305</v>
      </c>
      <c r="W5" t="s">
        <v>306</v>
      </c>
      <c r="X5" t="s">
        <v>315</v>
      </c>
      <c r="Y5">
        <v>13.2</v>
      </c>
      <c r="Z5" t="s">
        <v>307</v>
      </c>
      <c r="AA5" t="s">
        <v>190</v>
      </c>
      <c r="AB5" t="s">
        <v>308</v>
      </c>
      <c r="AK5" t="s">
        <v>309</v>
      </c>
      <c r="BA5" t="s">
        <v>310</v>
      </c>
      <c r="BB5" t="s">
        <v>310</v>
      </c>
      <c r="BC5" t="s">
        <v>310</v>
      </c>
      <c r="BI5" t="s">
        <v>310</v>
      </c>
    </row>
    <row r="6" spans="1:62">
      <c r="A6" t="s">
        <v>295</v>
      </c>
      <c r="C6" t="s">
        <v>316</v>
      </c>
      <c r="D6" t="s">
        <v>110</v>
      </c>
      <c r="E6">
        <v>2022</v>
      </c>
      <c r="F6">
        <v>0</v>
      </c>
      <c r="G6">
        <v>2</v>
      </c>
      <c r="H6">
        <v>0</v>
      </c>
      <c r="I6">
        <v>1</v>
      </c>
      <c r="J6">
        <v>1</v>
      </c>
      <c r="K6" t="s">
        <v>317</v>
      </c>
      <c r="L6">
        <v>2030</v>
      </c>
      <c r="M6">
        <v>1</v>
      </c>
      <c r="O6" t="s">
        <v>300</v>
      </c>
      <c r="R6" t="s">
        <v>318</v>
      </c>
      <c r="T6">
        <v>2</v>
      </c>
      <c r="W6" t="s">
        <v>315</v>
      </c>
      <c r="Y6">
        <v>13.2</v>
      </c>
      <c r="Z6" t="s">
        <v>307</v>
      </c>
      <c r="AA6" t="s">
        <v>190</v>
      </c>
      <c r="AB6" t="s">
        <v>319</v>
      </c>
      <c r="AK6" t="s">
        <v>310</v>
      </c>
      <c r="AL6" t="s">
        <v>309</v>
      </c>
    </row>
    <row r="7" spans="1:62">
      <c r="A7" t="s">
        <v>295</v>
      </c>
      <c r="C7" t="s">
        <v>320</v>
      </c>
      <c r="D7" t="s">
        <v>321</v>
      </c>
      <c r="E7">
        <v>2020</v>
      </c>
      <c r="F7">
        <v>0</v>
      </c>
      <c r="G7">
        <v>1</v>
      </c>
      <c r="H7">
        <v>0</v>
      </c>
      <c r="I7">
        <v>0</v>
      </c>
      <c r="J7">
        <v>1</v>
      </c>
      <c r="K7" t="s">
        <v>1838</v>
      </c>
      <c r="L7">
        <v>2030</v>
      </c>
      <c r="M7">
        <v>1</v>
      </c>
      <c r="N7" t="s">
        <v>1839</v>
      </c>
      <c r="O7" t="s">
        <v>300</v>
      </c>
      <c r="W7" t="s">
        <v>315</v>
      </c>
      <c r="Y7">
        <v>13.2</v>
      </c>
      <c r="Z7" t="s">
        <v>307</v>
      </c>
      <c r="AA7" t="s">
        <v>190</v>
      </c>
      <c r="AB7" t="s">
        <v>319</v>
      </c>
      <c r="AK7" t="s">
        <v>310</v>
      </c>
      <c r="AL7" t="s">
        <v>309</v>
      </c>
    </row>
    <row r="8" spans="1:62">
      <c r="A8" t="s">
        <v>295</v>
      </c>
      <c r="C8" t="s">
        <v>324</v>
      </c>
      <c r="D8" t="s">
        <v>321</v>
      </c>
      <c r="E8">
        <v>2020</v>
      </c>
      <c r="F8">
        <v>0</v>
      </c>
      <c r="G8">
        <v>1</v>
      </c>
      <c r="H8">
        <v>0</v>
      </c>
      <c r="I8">
        <v>0</v>
      </c>
      <c r="J8">
        <v>1</v>
      </c>
      <c r="K8" t="s">
        <v>325</v>
      </c>
      <c r="L8">
        <v>2030</v>
      </c>
      <c r="M8">
        <v>1</v>
      </c>
      <c r="O8" t="s">
        <v>326</v>
      </c>
      <c r="P8" t="s">
        <v>327</v>
      </c>
      <c r="Q8" t="s">
        <v>328</v>
      </c>
      <c r="R8" t="s">
        <v>329</v>
      </c>
      <c r="S8" t="s">
        <v>330</v>
      </c>
      <c r="T8">
        <v>2</v>
      </c>
      <c r="U8" t="s">
        <v>331</v>
      </c>
      <c r="W8" t="s">
        <v>332</v>
      </c>
      <c r="X8" t="s">
        <v>315</v>
      </c>
      <c r="Y8">
        <v>13.2</v>
      </c>
      <c r="Z8" t="s">
        <v>307</v>
      </c>
      <c r="AA8" t="s">
        <v>197</v>
      </c>
      <c r="AB8" t="s">
        <v>333</v>
      </c>
      <c r="AE8" t="s">
        <v>310</v>
      </c>
      <c r="AJ8" t="s">
        <v>309</v>
      </c>
    </row>
    <row r="9" spans="1:62">
      <c r="A9" t="s">
        <v>295</v>
      </c>
      <c r="B9" t="s">
        <v>334</v>
      </c>
      <c r="C9" t="s">
        <v>335</v>
      </c>
      <c r="D9" t="s">
        <v>298</v>
      </c>
      <c r="E9">
        <v>2023</v>
      </c>
      <c r="F9">
        <v>1</v>
      </c>
      <c r="G9">
        <v>3</v>
      </c>
      <c r="H9">
        <v>1</v>
      </c>
      <c r="J9">
        <v>1</v>
      </c>
      <c r="K9" t="s">
        <v>336</v>
      </c>
      <c r="L9">
        <v>2030</v>
      </c>
      <c r="M9">
        <v>1</v>
      </c>
      <c r="O9" t="s">
        <v>337</v>
      </c>
      <c r="P9" t="s">
        <v>338</v>
      </c>
      <c r="Q9" t="s">
        <v>339</v>
      </c>
      <c r="R9" t="s">
        <v>340</v>
      </c>
      <c r="S9" t="s">
        <v>341</v>
      </c>
      <c r="T9">
        <v>2</v>
      </c>
      <c r="U9" t="s">
        <v>342</v>
      </c>
      <c r="V9" t="s">
        <v>343</v>
      </c>
      <c r="W9" t="s">
        <v>344</v>
      </c>
      <c r="X9" t="s">
        <v>345</v>
      </c>
      <c r="Y9">
        <v>13.2</v>
      </c>
      <c r="Z9" t="s">
        <v>307</v>
      </c>
      <c r="AA9" t="s">
        <v>189</v>
      </c>
      <c r="AB9" t="s">
        <v>346</v>
      </c>
      <c r="AK9" t="s">
        <v>309</v>
      </c>
    </row>
    <row r="10" spans="1:62" ht="48">
      <c r="A10" t="s">
        <v>295</v>
      </c>
      <c r="B10" t="s">
        <v>334</v>
      </c>
      <c r="C10" t="s">
        <v>335</v>
      </c>
      <c r="D10" t="s">
        <v>298</v>
      </c>
      <c r="E10">
        <v>2023</v>
      </c>
      <c r="F10">
        <v>1</v>
      </c>
      <c r="G10">
        <v>3</v>
      </c>
      <c r="H10">
        <v>1</v>
      </c>
      <c r="J10">
        <v>1</v>
      </c>
      <c r="K10" t="s">
        <v>347</v>
      </c>
      <c r="L10">
        <v>2025</v>
      </c>
      <c r="M10">
        <v>1</v>
      </c>
      <c r="O10" t="s">
        <v>337</v>
      </c>
      <c r="P10" t="s">
        <v>338</v>
      </c>
      <c r="Q10" t="s">
        <v>348</v>
      </c>
      <c r="R10" s="234" t="s">
        <v>349</v>
      </c>
      <c r="S10" t="s">
        <v>350</v>
      </c>
      <c r="T10">
        <v>2</v>
      </c>
      <c r="U10" t="s">
        <v>342</v>
      </c>
      <c r="V10" t="s">
        <v>343</v>
      </c>
      <c r="W10" t="s">
        <v>344</v>
      </c>
      <c r="X10" t="s">
        <v>345</v>
      </c>
      <c r="Y10">
        <v>13.2</v>
      </c>
      <c r="Z10" t="s">
        <v>307</v>
      </c>
      <c r="AA10" t="s">
        <v>189</v>
      </c>
      <c r="AB10" t="s">
        <v>346</v>
      </c>
      <c r="AK10" t="s">
        <v>309</v>
      </c>
    </row>
    <row r="11" spans="1:62">
      <c r="A11" t="s">
        <v>295</v>
      </c>
      <c r="B11" t="s">
        <v>1109</v>
      </c>
      <c r="C11" t="s">
        <v>405</v>
      </c>
      <c r="D11" t="s">
        <v>321</v>
      </c>
      <c r="E11">
        <v>2022</v>
      </c>
      <c r="F11">
        <v>0</v>
      </c>
      <c r="G11">
        <v>1</v>
      </c>
      <c r="H11">
        <v>0</v>
      </c>
      <c r="I11">
        <v>0</v>
      </c>
      <c r="J11">
        <v>1</v>
      </c>
      <c r="K11" t="s">
        <v>437</v>
      </c>
      <c r="L11">
        <v>2030</v>
      </c>
      <c r="M11">
        <v>1</v>
      </c>
      <c r="N11" t="s">
        <v>528</v>
      </c>
      <c r="O11" t="s">
        <v>407</v>
      </c>
      <c r="R11" t="s">
        <v>439</v>
      </c>
      <c r="S11" t="s">
        <v>440</v>
      </c>
      <c r="T11">
        <v>3</v>
      </c>
      <c r="U11" t="s">
        <v>331</v>
      </c>
      <c r="W11" t="s">
        <v>400</v>
      </c>
      <c r="X11" t="s">
        <v>401</v>
      </c>
      <c r="Y11">
        <v>9.4</v>
      </c>
      <c r="Z11" t="s">
        <v>402</v>
      </c>
      <c r="AA11" t="s">
        <v>216</v>
      </c>
      <c r="AB11" t="s">
        <v>441</v>
      </c>
      <c r="AE11" t="s">
        <v>310</v>
      </c>
      <c r="AF11" t="s">
        <v>309</v>
      </c>
    </row>
    <row r="12" spans="1:62">
      <c r="A12" t="s">
        <v>295</v>
      </c>
      <c r="B12" t="s">
        <v>1109</v>
      </c>
      <c r="C12" t="s">
        <v>405</v>
      </c>
      <c r="D12" t="s">
        <v>321</v>
      </c>
      <c r="E12">
        <v>2022</v>
      </c>
      <c r="F12">
        <v>0</v>
      </c>
      <c r="G12">
        <v>1</v>
      </c>
      <c r="H12">
        <v>0</v>
      </c>
      <c r="I12">
        <v>0</v>
      </c>
      <c r="J12">
        <v>1</v>
      </c>
      <c r="K12" t="s">
        <v>442</v>
      </c>
      <c r="L12">
        <v>2030</v>
      </c>
      <c r="M12">
        <v>1</v>
      </c>
      <c r="N12" t="s">
        <v>1840</v>
      </c>
      <c r="O12" t="s">
        <v>407</v>
      </c>
      <c r="R12" t="s">
        <v>444</v>
      </c>
      <c r="S12" t="s">
        <v>445</v>
      </c>
      <c r="T12">
        <v>0</v>
      </c>
      <c r="U12" t="s">
        <v>331</v>
      </c>
      <c r="W12" t="s">
        <v>400</v>
      </c>
      <c r="Y12">
        <v>9.1</v>
      </c>
      <c r="Z12" t="s">
        <v>402</v>
      </c>
      <c r="AA12" t="s">
        <v>216</v>
      </c>
      <c r="AB12" t="s">
        <v>441</v>
      </c>
      <c r="AE12" t="s">
        <v>310</v>
      </c>
      <c r="AF12" t="s">
        <v>309</v>
      </c>
    </row>
    <row r="13" spans="1:62">
      <c r="A13" t="s">
        <v>295</v>
      </c>
      <c r="B13" t="s">
        <v>364</v>
      </c>
      <c r="C13" t="s">
        <v>365</v>
      </c>
      <c r="D13" t="s">
        <v>321</v>
      </c>
      <c r="E13">
        <v>2021</v>
      </c>
      <c r="F13">
        <v>0</v>
      </c>
      <c r="G13">
        <v>0</v>
      </c>
      <c r="H13">
        <v>0</v>
      </c>
      <c r="I13">
        <v>0</v>
      </c>
      <c r="J13">
        <v>1</v>
      </c>
      <c r="K13" t="s">
        <v>366</v>
      </c>
      <c r="L13">
        <v>2050</v>
      </c>
      <c r="M13">
        <v>0</v>
      </c>
      <c r="O13" t="s">
        <v>367</v>
      </c>
      <c r="R13" t="s">
        <v>368</v>
      </c>
      <c r="W13" t="s">
        <v>369</v>
      </c>
      <c r="Y13">
        <v>13.1</v>
      </c>
      <c r="Z13" t="s">
        <v>307</v>
      </c>
      <c r="AB13" t="s">
        <v>370</v>
      </c>
      <c r="AK13" t="s">
        <v>309</v>
      </c>
    </row>
    <row r="14" spans="1:62" ht="48">
      <c r="A14" t="s">
        <v>295</v>
      </c>
      <c r="B14" t="s">
        <v>334</v>
      </c>
      <c r="C14" t="s">
        <v>335</v>
      </c>
      <c r="D14" t="s">
        <v>298</v>
      </c>
      <c r="E14">
        <v>2023</v>
      </c>
      <c r="F14">
        <v>1</v>
      </c>
      <c r="G14">
        <v>3</v>
      </c>
      <c r="H14">
        <v>1</v>
      </c>
      <c r="J14">
        <v>1</v>
      </c>
      <c r="K14" t="s">
        <v>351</v>
      </c>
      <c r="L14">
        <v>2030</v>
      </c>
      <c r="M14">
        <v>1</v>
      </c>
      <c r="N14" t="s">
        <v>352</v>
      </c>
      <c r="O14" t="s">
        <v>337</v>
      </c>
      <c r="P14" t="s">
        <v>353</v>
      </c>
      <c r="Q14" t="s">
        <v>354</v>
      </c>
      <c r="R14" t="s">
        <v>355</v>
      </c>
      <c r="S14" t="s">
        <v>356</v>
      </c>
      <c r="T14">
        <v>1</v>
      </c>
      <c r="U14" t="s">
        <v>342</v>
      </c>
      <c r="V14" s="234" t="s">
        <v>357</v>
      </c>
      <c r="W14" t="s">
        <v>344</v>
      </c>
      <c r="X14" t="s">
        <v>345</v>
      </c>
      <c r="Y14">
        <v>13.2</v>
      </c>
      <c r="Z14" t="s">
        <v>307</v>
      </c>
      <c r="AA14" t="s">
        <v>201</v>
      </c>
      <c r="AB14" t="s">
        <v>346</v>
      </c>
      <c r="AK14" t="s">
        <v>309</v>
      </c>
    </row>
    <row r="15" spans="1:62">
      <c r="A15" t="s">
        <v>295</v>
      </c>
      <c r="B15" t="s">
        <v>334</v>
      </c>
      <c r="C15" t="s">
        <v>396</v>
      </c>
      <c r="D15" t="s">
        <v>102</v>
      </c>
      <c r="E15">
        <v>2023</v>
      </c>
      <c r="F15">
        <v>1</v>
      </c>
      <c r="G15">
        <v>3</v>
      </c>
      <c r="H15">
        <v>1</v>
      </c>
      <c r="J15">
        <v>1</v>
      </c>
      <c r="K15" t="s">
        <v>1123</v>
      </c>
      <c r="L15">
        <v>2030</v>
      </c>
      <c r="M15">
        <v>1</v>
      </c>
      <c r="O15" t="s">
        <v>1541</v>
      </c>
      <c r="P15" t="s">
        <v>1645</v>
      </c>
      <c r="Q15" t="s">
        <v>1124</v>
      </c>
      <c r="R15" t="s">
        <v>1841</v>
      </c>
      <c r="S15" t="s">
        <v>394</v>
      </c>
      <c r="T15">
        <v>3</v>
      </c>
      <c r="Y15">
        <v>7.2</v>
      </c>
      <c r="Z15" t="s">
        <v>388</v>
      </c>
    </row>
    <row r="16" spans="1:62">
      <c r="A16" t="s">
        <v>295</v>
      </c>
      <c r="B16" t="s">
        <v>334</v>
      </c>
      <c r="C16" t="s">
        <v>396</v>
      </c>
      <c r="D16" t="s">
        <v>102</v>
      </c>
      <c r="E16">
        <v>2023</v>
      </c>
      <c r="F16">
        <v>1</v>
      </c>
      <c r="G16">
        <v>3</v>
      </c>
      <c r="H16">
        <v>1</v>
      </c>
      <c r="J16">
        <v>1</v>
      </c>
      <c r="K16" t="s">
        <v>1842</v>
      </c>
      <c r="L16">
        <v>2030</v>
      </c>
      <c r="M16">
        <v>1</v>
      </c>
      <c r="O16" t="s">
        <v>1541</v>
      </c>
      <c r="P16" t="s">
        <v>385</v>
      </c>
      <c r="Q16" t="s">
        <v>386</v>
      </c>
      <c r="R16" t="s">
        <v>387</v>
      </c>
      <c r="S16" t="s">
        <v>330</v>
      </c>
      <c r="T16">
        <v>2</v>
      </c>
      <c r="Y16">
        <v>7.2</v>
      </c>
      <c r="Z16" t="s">
        <v>388</v>
      </c>
    </row>
    <row r="17" spans="1:42">
      <c r="A17" t="s">
        <v>295</v>
      </c>
      <c r="B17" t="s">
        <v>334</v>
      </c>
      <c r="C17" t="s">
        <v>396</v>
      </c>
      <c r="D17" t="s">
        <v>102</v>
      </c>
      <c r="E17">
        <v>2023</v>
      </c>
      <c r="F17">
        <v>1</v>
      </c>
      <c r="G17">
        <v>3</v>
      </c>
      <c r="H17">
        <v>1</v>
      </c>
      <c r="J17">
        <v>1</v>
      </c>
      <c r="K17" t="s">
        <v>398</v>
      </c>
      <c r="L17">
        <v>2030</v>
      </c>
      <c r="M17">
        <v>1</v>
      </c>
      <c r="O17" t="s">
        <v>407</v>
      </c>
      <c r="R17" t="s">
        <v>408</v>
      </c>
      <c r="S17" t="s">
        <v>473</v>
      </c>
      <c r="T17">
        <v>1</v>
      </c>
      <c r="Y17">
        <v>7.2</v>
      </c>
      <c r="Z17" t="s">
        <v>388</v>
      </c>
    </row>
    <row r="18" spans="1:42">
      <c r="A18" t="s">
        <v>295</v>
      </c>
      <c r="B18" t="s">
        <v>334</v>
      </c>
      <c r="C18" t="s">
        <v>396</v>
      </c>
      <c r="D18" t="s">
        <v>102</v>
      </c>
      <c r="E18">
        <v>2023</v>
      </c>
      <c r="F18">
        <v>1</v>
      </c>
      <c r="G18">
        <v>3</v>
      </c>
      <c r="H18">
        <v>1</v>
      </c>
      <c r="J18">
        <v>1</v>
      </c>
      <c r="K18" t="s">
        <v>474</v>
      </c>
      <c r="L18">
        <v>2030</v>
      </c>
      <c r="M18">
        <v>1</v>
      </c>
      <c r="O18" t="s">
        <v>407</v>
      </c>
      <c r="R18" t="s">
        <v>408</v>
      </c>
      <c r="S18" t="s">
        <v>473</v>
      </c>
      <c r="T18">
        <v>1</v>
      </c>
      <c r="W18" t="s">
        <v>416</v>
      </c>
      <c r="Y18">
        <v>9.1</v>
      </c>
      <c r="Z18" t="s">
        <v>402</v>
      </c>
      <c r="AE18" t="s">
        <v>309</v>
      </c>
    </row>
    <row r="19" spans="1:42" ht="32">
      <c r="A19" t="s">
        <v>295</v>
      </c>
      <c r="B19" t="s">
        <v>334</v>
      </c>
      <c r="C19" t="s">
        <v>358</v>
      </c>
      <c r="D19" t="s">
        <v>298</v>
      </c>
      <c r="E19">
        <v>2023</v>
      </c>
      <c r="F19">
        <v>1</v>
      </c>
      <c r="G19">
        <v>3</v>
      </c>
      <c r="H19">
        <v>1</v>
      </c>
      <c r="J19">
        <v>1</v>
      </c>
      <c r="K19" t="s">
        <v>359</v>
      </c>
      <c r="L19">
        <v>2030</v>
      </c>
      <c r="M19">
        <v>1</v>
      </c>
      <c r="O19" t="s">
        <v>300</v>
      </c>
      <c r="P19" t="s">
        <v>360</v>
      </c>
      <c r="Q19" t="s">
        <v>361</v>
      </c>
      <c r="R19" s="234" t="s">
        <v>362</v>
      </c>
      <c r="S19" t="s">
        <v>363</v>
      </c>
      <c r="T19">
        <v>3</v>
      </c>
      <c r="W19" t="s">
        <v>306</v>
      </c>
      <c r="Y19">
        <v>13.2</v>
      </c>
      <c r="Z19" t="s">
        <v>307</v>
      </c>
      <c r="AK19" t="s">
        <v>309</v>
      </c>
    </row>
    <row r="20" spans="1:42" ht="64">
      <c r="A20" t="s">
        <v>295</v>
      </c>
      <c r="B20" t="s">
        <v>334</v>
      </c>
      <c r="C20" t="s">
        <v>396</v>
      </c>
      <c r="D20" t="s">
        <v>102</v>
      </c>
      <c r="E20">
        <v>2023</v>
      </c>
      <c r="F20">
        <v>1</v>
      </c>
      <c r="G20">
        <v>3</v>
      </c>
      <c r="H20">
        <v>1</v>
      </c>
      <c r="J20">
        <v>1</v>
      </c>
      <c r="K20" s="234" t="s">
        <v>480</v>
      </c>
      <c r="M20">
        <v>1</v>
      </c>
      <c r="O20" t="s">
        <v>407</v>
      </c>
      <c r="Y20">
        <v>7.2</v>
      </c>
      <c r="Z20" t="s">
        <v>388</v>
      </c>
    </row>
    <row r="21" spans="1:42">
      <c r="A21" t="s">
        <v>295</v>
      </c>
      <c r="B21" t="s">
        <v>334</v>
      </c>
      <c r="C21" t="s">
        <v>389</v>
      </c>
      <c r="D21" t="s">
        <v>101</v>
      </c>
      <c r="E21">
        <v>2022</v>
      </c>
      <c r="F21">
        <v>0</v>
      </c>
      <c r="G21">
        <v>2</v>
      </c>
      <c r="H21">
        <v>0</v>
      </c>
      <c r="I21">
        <v>1</v>
      </c>
      <c r="J21">
        <v>1</v>
      </c>
      <c r="K21" t="s">
        <v>390</v>
      </c>
      <c r="L21">
        <v>2040</v>
      </c>
      <c r="M21">
        <v>1</v>
      </c>
      <c r="N21" t="s">
        <v>391</v>
      </c>
      <c r="O21" t="s">
        <v>392</v>
      </c>
      <c r="R21" t="s">
        <v>393</v>
      </c>
      <c r="S21" t="s">
        <v>394</v>
      </c>
      <c r="T21">
        <v>3</v>
      </c>
      <c r="U21" t="s">
        <v>331</v>
      </c>
      <c r="W21" t="s">
        <v>395</v>
      </c>
      <c r="Y21">
        <v>13.2</v>
      </c>
      <c r="Z21" t="s">
        <v>307</v>
      </c>
      <c r="AE21" t="s">
        <v>309</v>
      </c>
    </row>
    <row r="22" spans="1:42">
      <c r="A22" t="s">
        <v>295</v>
      </c>
      <c r="B22" t="s">
        <v>334</v>
      </c>
      <c r="C22" t="s">
        <v>376</v>
      </c>
      <c r="D22" t="s">
        <v>102</v>
      </c>
      <c r="E22">
        <v>2023</v>
      </c>
      <c r="F22">
        <v>1</v>
      </c>
      <c r="G22">
        <v>3</v>
      </c>
      <c r="H22">
        <v>1</v>
      </c>
      <c r="J22">
        <v>1</v>
      </c>
      <c r="K22" t="s">
        <v>380</v>
      </c>
      <c r="L22">
        <v>2030</v>
      </c>
      <c r="M22">
        <v>1</v>
      </c>
      <c r="O22" t="s">
        <v>300</v>
      </c>
      <c r="R22" t="s">
        <v>381</v>
      </c>
      <c r="T22">
        <v>2</v>
      </c>
      <c r="U22" t="s">
        <v>382</v>
      </c>
      <c r="V22" t="s">
        <v>383</v>
      </c>
      <c r="W22" t="s">
        <v>315</v>
      </c>
      <c r="Y22">
        <v>13.2</v>
      </c>
      <c r="Z22" t="s">
        <v>307</v>
      </c>
      <c r="AK22" t="s">
        <v>309</v>
      </c>
    </row>
    <row r="23" spans="1:42">
      <c r="A23" t="s">
        <v>295</v>
      </c>
      <c r="B23" t="s">
        <v>371</v>
      </c>
      <c r="C23" t="s">
        <v>372</v>
      </c>
      <c r="D23" t="s">
        <v>298</v>
      </c>
      <c r="E23">
        <v>2023</v>
      </c>
      <c r="F23">
        <v>1</v>
      </c>
      <c r="G23" t="e">
        <v>#VALUE!</v>
      </c>
      <c r="Y23">
        <v>13.2</v>
      </c>
      <c r="Z23" t="s">
        <v>307</v>
      </c>
    </row>
    <row r="24" spans="1:42">
      <c r="A24" t="s">
        <v>295</v>
      </c>
      <c r="B24" t="s">
        <v>373</v>
      </c>
      <c r="C24" t="s">
        <v>374</v>
      </c>
      <c r="D24" t="s">
        <v>103</v>
      </c>
      <c r="E24">
        <v>2021</v>
      </c>
      <c r="F24">
        <v>0</v>
      </c>
      <c r="G24" t="e">
        <v>#VALUE!</v>
      </c>
      <c r="N24" t="s">
        <v>375</v>
      </c>
    </row>
    <row r="25" spans="1:42">
      <c r="A25" t="s">
        <v>295</v>
      </c>
      <c r="B25" t="s">
        <v>334</v>
      </c>
      <c r="C25" t="s">
        <v>396</v>
      </c>
      <c r="D25" t="s">
        <v>102</v>
      </c>
      <c r="E25">
        <v>2023</v>
      </c>
      <c r="F25">
        <v>1</v>
      </c>
      <c r="G25" t="e">
        <v>#VALUE!</v>
      </c>
      <c r="K25" t="s">
        <v>398</v>
      </c>
      <c r="L25">
        <v>2030</v>
      </c>
      <c r="N25" t="s">
        <v>399</v>
      </c>
      <c r="O25" t="s">
        <v>407</v>
      </c>
      <c r="R25" t="s">
        <v>408</v>
      </c>
      <c r="T25">
        <v>1</v>
      </c>
      <c r="W25" t="s">
        <v>400</v>
      </c>
      <c r="X25" t="s">
        <v>401</v>
      </c>
      <c r="Y25">
        <v>9.4</v>
      </c>
      <c r="Z25" t="s">
        <v>402</v>
      </c>
      <c r="AF25" t="s">
        <v>309</v>
      </c>
      <c r="AP25" t="s">
        <v>310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J27"/>
  <sheetViews>
    <sheetView workbookViewId="0"/>
  </sheetViews>
  <sheetFormatPr baseColWidth="10" defaultColWidth="8.83203125" defaultRowHeight="15"/>
  <cols>
    <col min="1" max="1" width="84.6640625" bestFit="1" customWidth="1"/>
    <col min="2" max="2" width="68.1640625" bestFit="1" customWidth="1"/>
    <col min="3" max="3" width="147.33203125" bestFit="1" customWidth="1"/>
    <col min="4" max="4" width="146" bestFit="1" customWidth="1"/>
    <col min="5" max="5" width="20.5" bestFit="1" customWidth="1"/>
    <col min="6" max="6" width="13.83203125" bestFit="1" customWidth="1"/>
    <col min="7" max="7" width="13.5" bestFit="1" customWidth="1"/>
    <col min="8" max="8" width="24" bestFit="1" customWidth="1"/>
    <col min="9" max="9" width="23.5" bestFit="1" customWidth="1"/>
    <col min="11" max="11" width="255.6640625" bestFit="1" customWidth="1"/>
    <col min="12" max="12" width="11.1640625" bestFit="1" customWidth="1"/>
    <col min="13" max="13" width="13" bestFit="1" customWidth="1"/>
    <col min="14" max="14" width="120.6640625" bestFit="1" customWidth="1"/>
    <col min="15" max="15" width="49.1640625" bestFit="1" customWidth="1"/>
    <col min="16" max="16" width="42.5" bestFit="1" customWidth="1"/>
    <col min="17" max="17" width="23.83203125" bestFit="1" customWidth="1"/>
    <col min="18" max="18" width="255.6640625" bestFit="1" customWidth="1"/>
    <col min="19" max="19" width="22.5" bestFit="1" customWidth="1"/>
    <col min="20" max="20" width="9.33203125" bestFit="1" customWidth="1"/>
    <col min="21" max="21" width="47.6640625" bestFit="1" customWidth="1"/>
    <col min="22" max="22" width="87.5" bestFit="1" customWidth="1"/>
    <col min="23" max="23" width="13.33203125" bestFit="1" customWidth="1"/>
    <col min="24" max="24" width="21.6640625" bestFit="1" customWidth="1"/>
    <col min="25" max="25" width="33.1640625" bestFit="1" customWidth="1"/>
    <col min="26" max="26" width="11.5" bestFit="1" customWidth="1"/>
    <col min="27" max="27" width="32.5" bestFit="1" customWidth="1"/>
    <col min="28" max="28" width="70.33203125" bestFit="1" customWidth="1"/>
    <col min="29" max="29" width="39" bestFit="1" customWidth="1"/>
    <col min="30" max="30" width="38.5" bestFit="1" customWidth="1"/>
  </cols>
  <sheetData>
    <row r="1" spans="1:62" ht="48">
      <c r="A1" s="235" t="s">
        <v>1843</v>
      </c>
    </row>
    <row r="3" spans="1:62" ht="32">
      <c r="A3" s="234" t="s">
        <v>234</v>
      </c>
      <c r="B3" s="234" t="s">
        <v>235</v>
      </c>
      <c r="C3" t="s">
        <v>236</v>
      </c>
      <c r="D3" t="s">
        <v>81</v>
      </c>
      <c r="E3" t="s">
        <v>237</v>
      </c>
      <c r="F3" t="s">
        <v>238</v>
      </c>
      <c r="G3" t="s">
        <v>239</v>
      </c>
      <c r="H3" t="s">
        <v>240</v>
      </c>
      <c r="I3" t="s">
        <v>241</v>
      </c>
      <c r="J3" t="s">
        <v>242</v>
      </c>
      <c r="K3" t="s">
        <v>243</v>
      </c>
      <c r="L3" t="s">
        <v>244</v>
      </c>
      <c r="M3" t="s">
        <v>245</v>
      </c>
      <c r="N3" t="s">
        <v>246</v>
      </c>
      <c r="O3" t="s">
        <v>247</v>
      </c>
      <c r="P3" t="s">
        <v>248</v>
      </c>
      <c r="Q3" t="s">
        <v>249</v>
      </c>
      <c r="R3" t="s">
        <v>250</v>
      </c>
      <c r="S3" t="s">
        <v>251</v>
      </c>
      <c r="T3" t="s">
        <v>252</v>
      </c>
      <c r="U3" t="s">
        <v>253</v>
      </c>
      <c r="V3" t="s">
        <v>254</v>
      </c>
      <c r="W3" t="s">
        <v>255</v>
      </c>
      <c r="X3" t="s">
        <v>256</v>
      </c>
      <c r="Y3" t="s">
        <v>257</v>
      </c>
      <c r="Z3" t="s">
        <v>258</v>
      </c>
      <c r="AA3" t="s">
        <v>259</v>
      </c>
      <c r="AB3" t="s">
        <v>260</v>
      </c>
      <c r="AC3" t="s">
        <v>261</v>
      </c>
      <c r="AD3" t="s">
        <v>262</v>
      </c>
      <c r="AE3" t="s">
        <v>263</v>
      </c>
      <c r="AF3" t="s">
        <v>264</v>
      </c>
      <c r="AG3" t="s">
        <v>265</v>
      </c>
      <c r="AH3" t="s">
        <v>266</v>
      </c>
      <c r="AI3" t="s">
        <v>267</v>
      </c>
      <c r="AJ3" t="s">
        <v>268</v>
      </c>
      <c r="AK3" t="s">
        <v>269</v>
      </c>
      <c r="AL3" t="s">
        <v>270</v>
      </c>
      <c r="AM3" t="s">
        <v>271</v>
      </c>
      <c r="AN3" t="s">
        <v>272</v>
      </c>
      <c r="AO3" t="s">
        <v>273</v>
      </c>
      <c r="AP3" t="s">
        <v>274</v>
      </c>
      <c r="AQ3" t="s">
        <v>275</v>
      </c>
      <c r="AR3" t="s">
        <v>276</v>
      </c>
      <c r="AS3" t="s">
        <v>277</v>
      </c>
      <c r="AT3" t="s">
        <v>278</v>
      </c>
      <c r="AU3" t="s">
        <v>279</v>
      </c>
      <c r="AV3" t="s">
        <v>280</v>
      </c>
      <c r="AW3" t="s">
        <v>281</v>
      </c>
      <c r="AX3" t="s">
        <v>282</v>
      </c>
      <c r="AY3" t="s">
        <v>283</v>
      </c>
      <c r="AZ3" t="s">
        <v>284</v>
      </c>
      <c r="BA3" t="s">
        <v>285</v>
      </c>
      <c r="BB3" t="s">
        <v>286</v>
      </c>
      <c r="BC3" t="s">
        <v>287</v>
      </c>
      <c r="BD3" t="s">
        <v>288</v>
      </c>
      <c r="BE3" t="s">
        <v>289</v>
      </c>
      <c r="BF3" t="s">
        <v>290</v>
      </c>
      <c r="BG3" t="s">
        <v>291</v>
      </c>
      <c r="BH3" t="s">
        <v>292</v>
      </c>
      <c r="BI3" t="s">
        <v>293</v>
      </c>
      <c r="BJ3" t="s">
        <v>294</v>
      </c>
    </row>
    <row r="4" spans="1:62">
      <c r="A4" t="s">
        <v>792</v>
      </c>
      <c r="B4" t="s">
        <v>164</v>
      </c>
      <c r="C4" t="s">
        <v>895</v>
      </c>
      <c r="D4" t="s">
        <v>321</v>
      </c>
      <c r="E4">
        <v>2021</v>
      </c>
      <c r="F4">
        <v>0</v>
      </c>
      <c r="G4">
        <v>0</v>
      </c>
      <c r="H4">
        <v>0</v>
      </c>
      <c r="I4">
        <v>0</v>
      </c>
      <c r="J4">
        <v>1</v>
      </c>
      <c r="K4" t="s">
        <v>896</v>
      </c>
      <c r="L4">
        <v>2030</v>
      </c>
      <c r="M4">
        <v>0</v>
      </c>
      <c r="N4" t="s">
        <v>897</v>
      </c>
      <c r="O4" t="s">
        <v>898</v>
      </c>
      <c r="R4" t="s">
        <v>899</v>
      </c>
      <c r="T4">
        <v>3</v>
      </c>
      <c r="W4" t="s">
        <v>810</v>
      </c>
      <c r="Y4">
        <v>15.2</v>
      </c>
      <c r="Z4" t="s">
        <v>799</v>
      </c>
      <c r="AA4" t="s">
        <v>203</v>
      </c>
      <c r="AB4" t="s">
        <v>812</v>
      </c>
      <c r="AM4" t="s">
        <v>309</v>
      </c>
    </row>
    <row r="5" spans="1:62" ht="48">
      <c r="A5" t="s">
        <v>792</v>
      </c>
      <c r="B5" t="s">
        <v>164</v>
      </c>
      <c r="C5" t="s">
        <v>895</v>
      </c>
      <c r="D5" t="s">
        <v>321</v>
      </c>
      <c r="E5">
        <v>2021</v>
      </c>
      <c r="F5">
        <v>0</v>
      </c>
      <c r="G5">
        <v>0</v>
      </c>
      <c r="H5">
        <v>0</v>
      </c>
      <c r="I5">
        <v>0</v>
      </c>
      <c r="J5">
        <v>1</v>
      </c>
      <c r="K5" t="s">
        <v>900</v>
      </c>
      <c r="L5">
        <v>2030</v>
      </c>
      <c r="M5">
        <v>0</v>
      </c>
      <c r="N5" t="s">
        <v>897</v>
      </c>
      <c r="O5" t="s">
        <v>898</v>
      </c>
      <c r="R5" s="234" t="s">
        <v>901</v>
      </c>
      <c r="T5">
        <v>2</v>
      </c>
      <c r="W5" t="s">
        <v>810</v>
      </c>
      <c r="Y5">
        <v>15.2</v>
      </c>
      <c r="Z5" t="s">
        <v>799</v>
      </c>
      <c r="AA5" t="s">
        <v>203</v>
      </c>
      <c r="AB5" t="s">
        <v>812</v>
      </c>
      <c r="AK5" t="s">
        <v>310</v>
      </c>
      <c r="AM5" t="s">
        <v>309</v>
      </c>
    </row>
    <row r="6" spans="1:62">
      <c r="A6" t="s">
        <v>792</v>
      </c>
      <c r="B6" t="s">
        <v>164</v>
      </c>
      <c r="C6" t="s">
        <v>895</v>
      </c>
      <c r="D6" t="s">
        <v>321</v>
      </c>
      <c r="E6">
        <v>2021</v>
      </c>
      <c r="F6">
        <v>0</v>
      </c>
      <c r="G6">
        <v>0</v>
      </c>
      <c r="H6">
        <v>0</v>
      </c>
      <c r="I6">
        <v>0</v>
      </c>
      <c r="J6">
        <v>1</v>
      </c>
      <c r="K6" t="s">
        <v>902</v>
      </c>
      <c r="L6">
        <v>2030</v>
      </c>
      <c r="M6">
        <v>0</v>
      </c>
      <c r="N6" t="s">
        <v>897</v>
      </c>
      <c r="O6" t="s">
        <v>898</v>
      </c>
      <c r="R6" t="s">
        <v>903</v>
      </c>
      <c r="T6">
        <v>3</v>
      </c>
      <c r="W6" t="s">
        <v>810</v>
      </c>
      <c r="Y6">
        <v>15.2</v>
      </c>
      <c r="Z6" t="s">
        <v>799</v>
      </c>
      <c r="AA6" t="s">
        <v>203</v>
      </c>
      <c r="AB6" t="s">
        <v>812</v>
      </c>
      <c r="AM6" t="s">
        <v>309</v>
      </c>
    </row>
    <row r="7" spans="1:62">
      <c r="A7" t="s">
        <v>792</v>
      </c>
      <c r="B7" t="s">
        <v>802</v>
      </c>
      <c r="C7" t="s">
        <v>803</v>
      </c>
      <c r="D7" t="s">
        <v>298</v>
      </c>
      <c r="E7">
        <v>2023</v>
      </c>
      <c r="F7">
        <v>1</v>
      </c>
      <c r="G7">
        <v>3</v>
      </c>
      <c r="H7">
        <v>1</v>
      </c>
      <c r="J7">
        <v>1</v>
      </c>
      <c r="K7" t="s">
        <v>804</v>
      </c>
      <c r="L7">
        <v>2030</v>
      </c>
      <c r="M7">
        <v>1</v>
      </c>
      <c r="O7" t="s">
        <v>805</v>
      </c>
      <c r="R7" t="s">
        <v>806</v>
      </c>
      <c r="S7" t="s">
        <v>807</v>
      </c>
      <c r="T7">
        <v>3</v>
      </c>
      <c r="U7" t="s">
        <v>808</v>
      </c>
      <c r="V7" t="s">
        <v>809</v>
      </c>
      <c r="W7" t="s">
        <v>810</v>
      </c>
      <c r="X7" t="s">
        <v>811</v>
      </c>
      <c r="Y7">
        <v>15.2</v>
      </c>
      <c r="Z7" t="s">
        <v>799</v>
      </c>
      <c r="AA7" t="s">
        <v>203</v>
      </c>
      <c r="AB7" t="s">
        <v>812</v>
      </c>
    </row>
    <row r="8" spans="1:62">
      <c r="A8" t="s">
        <v>792</v>
      </c>
      <c r="B8" t="s">
        <v>802</v>
      </c>
      <c r="C8" t="s">
        <v>846</v>
      </c>
      <c r="D8" t="s">
        <v>321</v>
      </c>
      <c r="E8">
        <v>2023</v>
      </c>
      <c r="F8">
        <v>0</v>
      </c>
      <c r="G8">
        <v>1</v>
      </c>
      <c r="H8">
        <v>0</v>
      </c>
      <c r="I8">
        <v>0</v>
      </c>
      <c r="J8">
        <v>1</v>
      </c>
      <c r="K8" t="s">
        <v>847</v>
      </c>
      <c r="M8">
        <v>1</v>
      </c>
      <c r="O8" t="s">
        <v>593</v>
      </c>
      <c r="R8" t="s">
        <v>848</v>
      </c>
      <c r="S8" t="s">
        <v>849</v>
      </c>
      <c r="T8">
        <v>2</v>
      </c>
      <c r="W8" t="s">
        <v>594</v>
      </c>
      <c r="X8" t="s">
        <v>850</v>
      </c>
      <c r="Y8">
        <v>14.4</v>
      </c>
      <c r="Z8" t="s">
        <v>826</v>
      </c>
      <c r="AB8" t="s">
        <v>851</v>
      </c>
      <c r="AM8" t="s">
        <v>309</v>
      </c>
    </row>
    <row r="9" spans="1:62">
      <c r="A9" t="s">
        <v>792</v>
      </c>
      <c r="B9" t="s">
        <v>802</v>
      </c>
      <c r="C9" t="s">
        <v>852</v>
      </c>
      <c r="D9" t="s">
        <v>298</v>
      </c>
      <c r="E9">
        <v>2019</v>
      </c>
      <c r="F9">
        <v>1</v>
      </c>
      <c r="G9">
        <v>3</v>
      </c>
      <c r="H9">
        <v>1</v>
      </c>
      <c r="J9">
        <v>1</v>
      </c>
      <c r="K9" t="s">
        <v>853</v>
      </c>
      <c r="M9">
        <v>1</v>
      </c>
      <c r="N9" t="s">
        <v>854</v>
      </c>
      <c r="O9" t="s">
        <v>855</v>
      </c>
      <c r="R9" t="s">
        <v>856</v>
      </c>
      <c r="T9">
        <v>0</v>
      </c>
      <c r="W9" t="s">
        <v>594</v>
      </c>
      <c r="Y9">
        <v>14.6</v>
      </c>
      <c r="Z9" t="s">
        <v>826</v>
      </c>
      <c r="AM9" t="s">
        <v>309</v>
      </c>
    </row>
    <row r="10" spans="1:62">
      <c r="A10" t="s">
        <v>792</v>
      </c>
      <c r="B10" t="s">
        <v>857</v>
      </c>
      <c r="C10" t="s">
        <v>857</v>
      </c>
      <c r="D10" t="s">
        <v>321</v>
      </c>
      <c r="E10">
        <v>2020</v>
      </c>
      <c r="F10">
        <v>0</v>
      </c>
      <c r="G10">
        <v>0</v>
      </c>
      <c r="H10">
        <v>0</v>
      </c>
      <c r="I10">
        <v>0</v>
      </c>
      <c r="J10">
        <v>1</v>
      </c>
      <c r="K10" t="s">
        <v>953</v>
      </c>
      <c r="L10">
        <v>2030</v>
      </c>
      <c r="M10">
        <v>0</v>
      </c>
      <c r="N10" t="s">
        <v>954</v>
      </c>
      <c r="O10" t="s">
        <v>859</v>
      </c>
      <c r="P10" t="s">
        <v>955</v>
      </c>
      <c r="Q10" t="s">
        <v>955</v>
      </c>
      <c r="R10" t="s">
        <v>956</v>
      </c>
      <c r="S10" t="s">
        <v>861</v>
      </c>
      <c r="T10">
        <v>0</v>
      </c>
      <c r="W10" t="s">
        <v>862</v>
      </c>
      <c r="X10" t="s">
        <v>594</v>
      </c>
      <c r="Y10">
        <v>14.4</v>
      </c>
      <c r="Z10" t="s">
        <v>826</v>
      </c>
      <c r="AA10" t="s">
        <v>212</v>
      </c>
      <c r="AM10" t="s">
        <v>309</v>
      </c>
    </row>
    <row r="11" spans="1:62">
      <c r="A11" t="s">
        <v>792</v>
      </c>
      <c r="B11" t="s">
        <v>857</v>
      </c>
      <c r="C11" t="s">
        <v>857</v>
      </c>
      <c r="D11" t="s">
        <v>321</v>
      </c>
      <c r="E11">
        <v>2020</v>
      </c>
      <c r="F11">
        <v>0</v>
      </c>
      <c r="G11">
        <v>0</v>
      </c>
      <c r="H11">
        <v>0</v>
      </c>
      <c r="I11">
        <v>0</v>
      </c>
      <c r="J11">
        <v>1</v>
      </c>
      <c r="K11" t="s">
        <v>957</v>
      </c>
      <c r="L11">
        <v>2030</v>
      </c>
      <c r="M11">
        <v>0</v>
      </c>
      <c r="O11" t="s">
        <v>859</v>
      </c>
      <c r="P11" t="s">
        <v>958</v>
      </c>
      <c r="R11" t="s">
        <v>959</v>
      </c>
      <c r="S11" t="s">
        <v>519</v>
      </c>
      <c r="T11">
        <v>2</v>
      </c>
      <c r="W11" t="s">
        <v>862</v>
      </c>
      <c r="X11" t="s">
        <v>594</v>
      </c>
      <c r="Y11">
        <v>14.4</v>
      </c>
      <c r="Z11" t="s">
        <v>826</v>
      </c>
      <c r="AA11" t="s">
        <v>212</v>
      </c>
      <c r="AM11" t="s">
        <v>309</v>
      </c>
    </row>
    <row r="12" spans="1:62">
      <c r="A12" t="s">
        <v>792</v>
      </c>
      <c r="B12" t="s">
        <v>857</v>
      </c>
      <c r="C12" t="s">
        <v>857</v>
      </c>
      <c r="D12" t="s">
        <v>321</v>
      </c>
      <c r="E12">
        <v>2020</v>
      </c>
      <c r="F12">
        <v>0</v>
      </c>
      <c r="G12">
        <v>1</v>
      </c>
      <c r="H12">
        <v>0</v>
      </c>
      <c r="I12">
        <v>0</v>
      </c>
      <c r="J12">
        <v>1</v>
      </c>
      <c r="K12" t="s">
        <v>858</v>
      </c>
      <c r="L12">
        <v>2030</v>
      </c>
      <c r="M12">
        <v>1</v>
      </c>
      <c r="N12" t="s">
        <v>1844</v>
      </c>
      <c r="O12" t="s">
        <v>859</v>
      </c>
      <c r="R12" t="s">
        <v>860</v>
      </c>
      <c r="S12" t="s">
        <v>861</v>
      </c>
      <c r="T12">
        <v>0</v>
      </c>
      <c r="X12" t="s">
        <v>862</v>
      </c>
      <c r="Y12" t="s">
        <v>863</v>
      </c>
      <c r="Z12" t="s">
        <v>607</v>
      </c>
      <c r="AA12" t="s">
        <v>212</v>
      </c>
      <c r="AM12" t="s">
        <v>309</v>
      </c>
    </row>
    <row r="13" spans="1:62">
      <c r="A13" t="s">
        <v>792</v>
      </c>
      <c r="B13" t="s">
        <v>857</v>
      </c>
      <c r="C13" t="s">
        <v>857</v>
      </c>
      <c r="D13" t="s">
        <v>321</v>
      </c>
      <c r="E13">
        <v>2020</v>
      </c>
      <c r="F13">
        <v>0</v>
      </c>
      <c r="G13">
        <v>1</v>
      </c>
      <c r="H13">
        <v>0</v>
      </c>
      <c r="I13">
        <v>0</v>
      </c>
      <c r="J13">
        <v>1</v>
      </c>
      <c r="K13" t="s">
        <v>864</v>
      </c>
      <c r="L13">
        <v>2030</v>
      </c>
      <c r="M13">
        <v>1</v>
      </c>
      <c r="N13" t="s">
        <v>865</v>
      </c>
      <c r="O13" t="s">
        <v>859</v>
      </c>
      <c r="R13" t="s">
        <v>866</v>
      </c>
      <c r="S13" t="s">
        <v>303</v>
      </c>
      <c r="T13">
        <v>2</v>
      </c>
      <c r="U13" t="s">
        <v>867</v>
      </c>
      <c r="V13" t="s">
        <v>868</v>
      </c>
      <c r="X13" t="s">
        <v>862</v>
      </c>
      <c r="Y13">
        <v>15.5</v>
      </c>
      <c r="Z13" t="s">
        <v>799</v>
      </c>
      <c r="AA13" t="s">
        <v>212</v>
      </c>
    </row>
    <row r="14" spans="1:62">
      <c r="A14" t="s">
        <v>792</v>
      </c>
      <c r="B14" t="s">
        <v>857</v>
      </c>
      <c r="C14" t="s">
        <v>857</v>
      </c>
      <c r="D14" t="s">
        <v>321</v>
      </c>
      <c r="E14">
        <v>2020</v>
      </c>
      <c r="F14">
        <v>0</v>
      </c>
      <c r="G14">
        <v>1</v>
      </c>
      <c r="H14">
        <v>0</v>
      </c>
      <c r="I14">
        <v>0</v>
      </c>
      <c r="J14">
        <v>1</v>
      </c>
      <c r="K14" t="s">
        <v>869</v>
      </c>
      <c r="L14">
        <v>2030</v>
      </c>
      <c r="M14">
        <v>1</v>
      </c>
      <c r="N14" t="s">
        <v>870</v>
      </c>
      <c r="O14" t="s">
        <v>859</v>
      </c>
      <c r="R14" t="s">
        <v>871</v>
      </c>
      <c r="S14" t="s">
        <v>872</v>
      </c>
      <c r="T14">
        <v>0</v>
      </c>
      <c r="X14" t="s">
        <v>862</v>
      </c>
      <c r="Y14">
        <v>15.5</v>
      </c>
      <c r="Z14" t="s">
        <v>799</v>
      </c>
      <c r="AA14" t="s">
        <v>212</v>
      </c>
    </row>
    <row r="15" spans="1:62">
      <c r="A15" t="s">
        <v>792</v>
      </c>
      <c r="B15" t="s">
        <v>857</v>
      </c>
      <c r="C15" t="s">
        <v>857</v>
      </c>
      <c r="D15" t="s">
        <v>321</v>
      </c>
      <c r="E15">
        <v>2020</v>
      </c>
      <c r="F15">
        <v>0</v>
      </c>
      <c r="G15">
        <v>0</v>
      </c>
      <c r="H15">
        <v>0</v>
      </c>
      <c r="I15">
        <v>0</v>
      </c>
      <c r="J15">
        <v>0</v>
      </c>
      <c r="K15" t="s">
        <v>960</v>
      </c>
      <c r="L15">
        <v>2030</v>
      </c>
      <c r="M15">
        <v>1</v>
      </c>
      <c r="N15" t="s">
        <v>961</v>
      </c>
      <c r="O15" t="s">
        <v>859</v>
      </c>
      <c r="R15" t="s">
        <v>962</v>
      </c>
      <c r="S15" t="s">
        <v>861</v>
      </c>
      <c r="T15">
        <v>0</v>
      </c>
      <c r="X15" t="s">
        <v>862</v>
      </c>
      <c r="Y15">
        <v>6.6</v>
      </c>
      <c r="Z15" t="s">
        <v>833</v>
      </c>
      <c r="AA15" t="s">
        <v>212</v>
      </c>
      <c r="AJ15" t="s">
        <v>310</v>
      </c>
      <c r="AM15" t="s">
        <v>309</v>
      </c>
    </row>
    <row r="16" spans="1:62">
      <c r="A16" t="s">
        <v>792</v>
      </c>
      <c r="B16" t="s">
        <v>857</v>
      </c>
      <c r="C16" t="s">
        <v>857</v>
      </c>
      <c r="D16" t="s">
        <v>321</v>
      </c>
      <c r="E16">
        <v>2020</v>
      </c>
      <c r="F16">
        <v>0</v>
      </c>
      <c r="G16">
        <v>0</v>
      </c>
      <c r="H16">
        <v>0</v>
      </c>
      <c r="I16">
        <v>0</v>
      </c>
      <c r="J16">
        <v>1</v>
      </c>
      <c r="K16" t="s">
        <v>963</v>
      </c>
      <c r="L16">
        <v>2030</v>
      </c>
      <c r="M16">
        <v>0</v>
      </c>
      <c r="O16" t="s">
        <v>859</v>
      </c>
      <c r="R16" t="s">
        <v>964</v>
      </c>
      <c r="S16" t="s">
        <v>303</v>
      </c>
      <c r="T16">
        <v>2</v>
      </c>
      <c r="X16" t="s">
        <v>862</v>
      </c>
      <c r="Y16">
        <v>15.3</v>
      </c>
      <c r="Z16" t="s">
        <v>799</v>
      </c>
      <c r="AA16" t="s">
        <v>212</v>
      </c>
      <c r="AM16" t="s">
        <v>309</v>
      </c>
      <c r="AN16" t="s">
        <v>310</v>
      </c>
    </row>
    <row r="17" spans="1:39">
      <c r="A17" t="s">
        <v>792</v>
      </c>
      <c r="B17" t="s">
        <v>857</v>
      </c>
      <c r="C17" t="s">
        <v>857</v>
      </c>
      <c r="D17" t="s">
        <v>321</v>
      </c>
      <c r="E17">
        <v>2020</v>
      </c>
      <c r="F17">
        <v>0</v>
      </c>
      <c r="G17">
        <v>0</v>
      </c>
      <c r="H17">
        <v>0</v>
      </c>
      <c r="I17">
        <v>0</v>
      </c>
      <c r="J17">
        <v>0</v>
      </c>
      <c r="K17" t="s">
        <v>965</v>
      </c>
      <c r="L17">
        <v>2030</v>
      </c>
      <c r="M17">
        <v>1</v>
      </c>
      <c r="N17" t="s">
        <v>961</v>
      </c>
      <c r="O17" t="s">
        <v>859</v>
      </c>
      <c r="R17" t="s">
        <v>966</v>
      </c>
      <c r="S17" t="s">
        <v>303</v>
      </c>
      <c r="T17">
        <v>2</v>
      </c>
      <c r="U17" t="s">
        <v>331</v>
      </c>
      <c r="X17" t="s">
        <v>862</v>
      </c>
      <c r="Y17">
        <v>15.2</v>
      </c>
      <c r="Z17" t="s">
        <v>799</v>
      </c>
      <c r="AA17" t="s">
        <v>212</v>
      </c>
      <c r="AM17" t="s">
        <v>309</v>
      </c>
    </row>
    <row r="18" spans="1:39">
      <c r="A18" t="s">
        <v>792</v>
      </c>
      <c r="B18" t="s">
        <v>857</v>
      </c>
      <c r="C18" t="s">
        <v>857</v>
      </c>
      <c r="D18" t="s">
        <v>321</v>
      </c>
      <c r="E18">
        <v>2020</v>
      </c>
      <c r="F18">
        <v>0</v>
      </c>
      <c r="G18">
        <v>1</v>
      </c>
      <c r="H18">
        <v>0</v>
      </c>
      <c r="I18">
        <v>0</v>
      </c>
      <c r="J18">
        <v>1</v>
      </c>
      <c r="K18" t="s">
        <v>873</v>
      </c>
      <c r="L18">
        <v>2030</v>
      </c>
      <c r="M18">
        <v>1</v>
      </c>
      <c r="N18" s="234"/>
      <c r="O18" t="s">
        <v>859</v>
      </c>
      <c r="R18" t="s">
        <v>874</v>
      </c>
      <c r="S18" t="s">
        <v>303</v>
      </c>
      <c r="T18">
        <v>2</v>
      </c>
      <c r="U18" t="s">
        <v>875</v>
      </c>
      <c r="V18" t="s">
        <v>876</v>
      </c>
      <c r="X18" t="s">
        <v>862</v>
      </c>
      <c r="Y18">
        <v>2.4</v>
      </c>
      <c r="Z18" t="s">
        <v>877</v>
      </c>
      <c r="AA18" t="s">
        <v>212</v>
      </c>
      <c r="AM18" t="s">
        <v>309</v>
      </c>
    </row>
    <row r="19" spans="1:39">
      <c r="A19" t="s">
        <v>792</v>
      </c>
      <c r="B19" t="s">
        <v>857</v>
      </c>
      <c r="C19" t="s">
        <v>857</v>
      </c>
      <c r="D19" t="s">
        <v>321</v>
      </c>
      <c r="E19">
        <v>2020</v>
      </c>
      <c r="F19">
        <v>0</v>
      </c>
      <c r="G19">
        <v>1</v>
      </c>
      <c r="H19">
        <v>0</v>
      </c>
      <c r="I19">
        <v>0</v>
      </c>
      <c r="J19">
        <v>1</v>
      </c>
      <c r="K19" t="s">
        <v>878</v>
      </c>
      <c r="L19">
        <v>2030</v>
      </c>
      <c r="M19">
        <v>1</v>
      </c>
      <c r="O19" t="s">
        <v>859</v>
      </c>
      <c r="R19" t="s">
        <v>879</v>
      </c>
      <c r="S19" t="s">
        <v>861</v>
      </c>
      <c r="T19">
        <v>0</v>
      </c>
      <c r="X19" t="s">
        <v>862</v>
      </c>
      <c r="Y19">
        <v>2.4</v>
      </c>
      <c r="Z19" t="s">
        <v>877</v>
      </c>
      <c r="AA19" t="s">
        <v>212</v>
      </c>
    </row>
    <row r="20" spans="1:39">
      <c r="A20" t="s">
        <v>792</v>
      </c>
      <c r="B20" t="s">
        <v>857</v>
      </c>
      <c r="C20" t="s">
        <v>857</v>
      </c>
      <c r="D20" t="s">
        <v>321</v>
      </c>
      <c r="E20">
        <v>2020</v>
      </c>
      <c r="F20">
        <v>0</v>
      </c>
      <c r="G20">
        <v>1</v>
      </c>
      <c r="H20">
        <v>0</v>
      </c>
      <c r="I20">
        <v>0</v>
      </c>
      <c r="J20">
        <v>1</v>
      </c>
      <c r="K20" t="s">
        <v>880</v>
      </c>
      <c r="L20">
        <v>2030</v>
      </c>
      <c r="M20">
        <v>1</v>
      </c>
      <c r="N20" t="s">
        <v>881</v>
      </c>
      <c r="O20" t="s">
        <v>859</v>
      </c>
      <c r="R20" t="s">
        <v>882</v>
      </c>
      <c r="S20" t="s">
        <v>440</v>
      </c>
      <c r="T20">
        <v>3</v>
      </c>
      <c r="U20" t="s">
        <v>331</v>
      </c>
      <c r="X20" t="s">
        <v>862</v>
      </c>
      <c r="Y20">
        <v>12.4</v>
      </c>
      <c r="Z20" t="s">
        <v>614</v>
      </c>
      <c r="AA20" t="s">
        <v>212</v>
      </c>
    </row>
    <row r="21" spans="1:39">
      <c r="A21" t="s">
        <v>792</v>
      </c>
      <c r="B21" t="s">
        <v>857</v>
      </c>
      <c r="C21" t="s">
        <v>857</v>
      </c>
      <c r="D21" t="s">
        <v>321</v>
      </c>
      <c r="E21">
        <v>2020</v>
      </c>
      <c r="F21">
        <v>0</v>
      </c>
      <c r="G21">
        <v>0</v>
      </c>
      <c r="H21">
        <v>0</v>
      </c>
      <c r="I21">
        <v>0</v>
      </c>
      <c r="J21">
        <v>0</v>
      </c>
      <c r="K21" t="s">
        <v>967</v>
      </c>
      <c r="L21">
        <v>2030</v>
      </c>
      <c r="M21">
        <v>1</v>
      </c>
      <c r="N21" t="s">
        <v>961</v>
      </c>
      <c r="O21" t="s">
        <v>859</v>
      </c>
      <c r="R21" t="s">
        <v>968</v>
      </c>
      <c r="S21" t="s">
        <v>969</v>
      </c>
      <c r="T21">
        <v>1</v>
      </c>
      <c r="U21" t="s">
        <v>331</v>
      </c>
      <c r="X21" t="s">
        <v>862</v>
      </c>
      <c r="Y21">
        <v>15.5</v>
      </c>
      <c r="Z21" t="s">
        <v>799</v>
      </c>
      <c r="AA21" t="s">
        <v>212</v>
      </c>
    </row>
    <row r="22" spans="1:39">
      <c r="A22" t="s">
        <v>792</v>
      </c>
      <c r="B22" t="s">
        <v>857</v>
      </c>
      <c r="C22" t="s">
        <v>857</v>
      </c>
      <c r="D22" t="s">
        <v>321</v>
      </c>
      <c r="E22">
        <v>2020</v>
      </c>
      <c r="F22">
        <v>0</v>
      </c>
      <c r="G22">
        <v>0</v>
      </c>
      <c r="H22">
        <v>0</v>
      </c>
      <c r="I22">
        <v>0</v>
      </c>
      <c r="J22">
        <v>0</v>
      </c>
      <c r="K22" t="s">
        <v>970</v>
      </c>
      <c r="L22">
        <v>2030</v>
      </c>
      <c r="M22">
        <v>1</v>
      </c>
      <c r="N22" t="s">
        <v>961</v>
      </c>
      <c r="O22" t="s">
        <v>859</v>
      </c>
      <c r="R22" t="s">
        <v>971</v>
      </c>
      <c r="S22" t="s">
        <v>861</v>
      </c>
      <c r="T22">
        <v>0</v>
      </c>
      <c r="U22" t="s">
        <v>331</v>
      </c>
      <c r="X22" t="s">
        <v>862</v>
      </c>
      <c r="Y22">
        <v>15.5</v>
      </c>
      <c r="Z22" t="s">
        <v>799</v>
      </c>
      <c r="AA22" t="s">
        <v>212</v>
      </c>
    </row>
    <row r="23" spans="1:39">
      <c r="A23" t="s">
        <v>792</v>
      </c>
      <c r="B23" t="s">
        <v>857</v>
      </c>
      <c r="C23" t="s">
        <v>857</v>
      </c>
      <c r="D23" t="s">
        <v>321</v>
      </c>
      <c r="E23">
        <v>2020</v>
      </c>
      <c r="F23">
        <v>0</v>
      </c>
      <c r="G23">
        <v>0</v>
      </c>
      <c r="H23">
        <v>0</v>
      </c>
      <c r="I23">
        <v>0</v>
      </c>
      <c r="J23">
        <v>1</v>
      </c>
      <c r="K23" t="s">
        <v>972</v>
      </c>
      <c r="L23">
        <v>2030</v>
      </c>
      <c r="M23">
        <v>0</v>
      </c>
      <c r="O23" t="s">
        <v>859</v>
      </c>
      <c r="R23" t="s">
        <v>973</v>
      </c>
      <c r="S23" t="s">
        <v>861</v>
      </c>
      <c r="T23">
        <v>0</v>
      </c>
      <c r="U23" t="s">
        <v>331</v>
      </c>
      <c r="X23" t="s">
        <v>862</v>
      </c>
      <c r="Y23">
        <v>15.1</v>
      </c>
      <c r="Z23" t="s">
        <v>799</v>
      </c>
      <c r="AA23" t="s">
        <v>212</v>
      </c>
    </row>
    <row r="24" spans="1:39">
      <c r="A24" t="s">
        <v>792</v>
      </c>
      <c r="B24" t="s">
        <v>857</v>
      </c>
      <c r="C24" t="s">
        <v>857</v>
      </c>
      <c r="D24" t="s">
        <v>321</v>
      </c>
      <c r="E24">
        <v>2020</v>
      </c>
      <c r="F24">
        <v>0</v>
      </c>
      <c r="G24">
        <v>1</v>
      </c>
      <c r="H24">
        <v>0</v>
      </c>
      <c r="I24">
        <v>0</v>
      </c>
      <c r="J24">
        <v>1</v>
      </c>
      <c r="K24" t="s">
        <v>883</v>
      </c>
      <c r="L24">
        <v>2030</v>
      </c>
      <c r="M24">
        <v>1</v>
      </c>
      <c r="O24" t="s">
        <v>859</v>
      </c>
      <c r="Q24" t="s">
        <v>884</v>
      </c>
      <c r="R24" t="s">
        <v>885</v>
      </c>
      <c r="S24" t="s">
        <v>886</v>
      </c>
      <c r="T24">
        <v>3</v>
      </c>
      <c r="U24" t="s">
        <v>331</v>
      </c>
      <c r="V24" s="234"/>
      <c r="X24" t="s">
        <v>862</v>
      </c>
      <c r="Y24">
        <v>15.1</v>
      </c>
      <c r="Z24" t="s">
        <v>799</v>
      </c>
      <c r="AA24" t="s">
        <v>212</v>
      </c>
    </row>
    <row r="25" spans="1:39">
      <c r="A25" t="s">
        <v>792</v>
      </c>
      <c r="B25" t="s">
        <v>857</v>
      </c>
      <c r="C25" t="s">
        <v>857</v>
      </c>
      <c r="D25" t="s">
        <v>321</v>
      </c>
      <c r="E25">
        <v>2020</v>
      </c>
      <c r="F25">
        <v>0</v>
      </c>
      <c r="G25">
        <v>1</v>
      </c>
      <c r="H25">
        <v>0</v>
      </c>
      <c r="I25">
        <v>0</v>
      </c>
      <c r="J25">
        <v>1</v>
      </c>
      <c r="K25" t="s">
        <v>887</v>
      </c>
      <c r="L25">
        <v>2030</v>
      </c>
      <c r="M25">
        <v>1</v>
      </c>
      <c r="O25" t="s">
        <v>859</v>
      </c>
      <c r="Q25" t="s">
        <v>888</v>
      </c>
      <c r="R25" t="s">
        <v>889</v>
      </c>
      <c r="S25" t="s">
        <v>303</v>
      </c>
      <c r="T25">
        <v>2</v>
      </c>
      <c r="U25" t="s">
        <v>331</v>
      </c>
      <c r="X25" t="s">
        <v>862</v>
      </c>
      <c r="Y25">
        <v>15.1</v>
      </c>
      <c r="Z25" t="s">
        <v>799</v>
      </c>
      <c r="AA25" t="s">
        <v>212</v>
      </c>
    </row>
    <row r="26" spans="1:39" ht="16">
      <c r="A26" t="s">
        <v>792</v>
      </c>
      <c r="B26" t="s">
        <v>857</v>
      </c>
      <c r="C26" t="s">
        <v>857</v>
      </c>
      <c r="D26" t="s">
        <v>321</v>
      </c>
      <c r="E26">
        <v>2020</v>
      </c>
      <c r="F26">
        <v>0</v>
      </c>
      <c r="G26">
        <v>0</v>
      </c>
      <c r="H26">
        <v>0</v>
      </c>
      <c r="I26">
        <v>0</v>
      </c>
      <c r="J26">
        <v>0</v>
      </c>
      <c r="K26" t="s">
        <v>974</v>
      </c>
      <c r="L26">
        <v>2030</v>
      </c>
      <c r="M26">
        <v>1</v>
      </c>
      <c r="N26" t="s">
        <v>961</v>
      </c>
      <c r="O26" t="s">
        <v>859</v>
      </c>
      <c r="Q26" t="s">
        <v>975</v>
      </c>
      <c r="R26" s="234" t="s">
        <v>976</v>
      </c>
      <c r="S26" t="s">
        <v>519</v>
      </c>
      <c r="T26">
        <v>2</v>
      </c>
      <c r="U26" t="s">
        <v>977</v>
      </c>
      <c r="V26" t="s">
        <v>978</v>
      </c>
      <c r="X26" t="s">
        <v>862</v>
      </c>
      <c r="Y26">
        <v>14.5</v>
      </c>
      <c r="Z26" t="s">
        <v>826</v>
      </c>
      <c r="AA26" t="s">
        <v>212</v>
      </c>
    </row>
    <row r="27" spans="1:39">
      <c r="A27" t="s">
        <v>792</v>
      </c>
      <c r="B27" t="s">
        <v>857</v>
      </c>
      <c r="C27" t="s">
        <v>857</v>
      </c>
      <c r="D27" t="s">
        <v>321</v>
      </c>
      <c r="E27">
        <v>2020</v>
      </c>
      <c r="F27">
        <v>0</v>
      </c>
      <c r="G27">
        <v>0</v>
      </c>
      <c r="H27">
        <v>0</v>
      </c>
      <c r="I27">
        <v>0</v>
      </c>
      <c r="J27">
        <v>0</v>
      </c>
      <c r="K27" t="s">
        <v>979</v>
      </c>
      <c r="L27">
        <v>2030</v>
      </c>
      <c r="M27">
        <v>1</v>
      </c>
      <c r="N27" t="s">
        <v>961</v>
      </c>
      <c r="O27" t="s">
        <v>859</v>
      </c>
      <c r="Q27" t="s">
        <v>975</v>
      </c>
      <c r="R27" t="s">
        <v>980</v>
      </c>
      <c r="S27" t="s">
        <v>519</v>
      </c>
      <c r="T27">
        <v>2</v>
      </c>
      <c r="U27" t="s">
        <v>981</v>
      </c>
      <c r="V27" t="s">
        <v>982</v>
      </c>
      <c r="W27" t="s">
        <v>344</v>
      </c>
      <c r="X27" t="s">
        <v>862</v>
      </c>
      <c r="Y27">
        <v>15.1</v>
      </c>
      <c r="Z27" t="s">
        <v>799</v>
      </c>
      <c r="AA27" t="s">
        <v>212</v>
      </c>
      <c r="AM27" t="s">
        <v>309</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B248"/>
  <sheetViews>
    <sheetView zoomScale="45" workbookViewId="0">
      <selection activeCell="E37" sqref="E37"/>
    </sheetView>
  </sheetViews>
  <sheetFormatPr baseColWidth="10" defaultColWidth="8.83203125" defaultRowHeight="15"/>
  <cols>
    <col min="1" max="1" width="73.5" customWidth="1"/>
    <col min="2" max="2" width="29.83203125" customWidth="1"/>
  </cols>
  <sheetData>
    <row r="2" spans="1:2">
      <c r="A2" s="17" t="s">
        <v>1845</v>
      </c>
      <c r="B2" s="17" t="s">
        <v>1846</v>
      </c>
    </row>
    <row r="3" spans="1:2">
      <c r="A3" s="13" t="s">
        <v>1847</v>
      </c>
      <c r="B3" s="14" t="s">
        <v>1848</v>
      </c>
    </row>
    <row r="4" spans="1:2">
      <c r="A4" s="15"/>
      <c r="B4" s="15" t="s">
        <v>1849</v>
      </c>
    </row>
    <row r="5" spans="1:2">
      <c r="A5" s="15"/>
      <c r="B5" s="15" t="s">
        <v>1850</v>
      </c>
    </row>
    <row r="6" spans="1:2">
      <c r="A6" s="15"/>
      <c r="B6" s="15" t="s">
        <v>1851</v>
      </c>
    </row>
    <row r="7" spans="1:2">
      <c r="A7" s="15"/>
      <c r="B7" s="15" t="s">
        <v>1852</v>
      </c>
    </row>
    <row r="8" spans="1:2">
      <c r="A8" s="15"/>
      <c r="B8" s="15" t="s">
        <v>1853</v>
      </c>
    </row>
    <row r="9" spans="1:2">
      <c r="A9" s="15"/>
      <c r="B9" s="15" t="s">
        <v>1854</v>
      </c>
    </row>
    <row r="10" spans="1:2">
      <c r="A10" s="15"/>
      <c r="B10" s="15" t="s">
        <v>1855</v>
      </c>
    </row>
    <row r="11" spans="1:2">
      <c r="A11" s="16"/>
      <c r="B11" s="16" t="s">
        <v>1856</v>
      </c>
    </row>
    <row r="12" spans="1:2">
      <c r="A12" s="13" t="s">
        <v>1857</v>
      </c>
      <c r="B12" s="14" t="s">
        <v>1858</v>
      </c>
    </row>
    <row r="13" spans="1:2">
      <c r="A13" s="15"/>
      <c r="B13" s="15" t="s">
        <v>1859</v>
      </c>
    </row>
    <row r="14" spans="1:2">
      <c r="A14" s="15"/>
      <c r="B14" s="15" t="s">
        <v>1850</v>
      </c>
    </row>
    <row r="15" spans="1:2">
      <c r="A15" s="15"/>
      <c r="B15" s="15" t="s">
        <v>1860</v>
      </c>
    </row>
    <row r="16" spans="1:2">
      <c r="A16" s="15"/>
      <c r="B16" s="15" t="s">
        <v>1861</v>
      </c>
    </row>
    <row r="17" spans="1:2">
      <c r="A17" s="15"/>
      <c r="B17" s="15" t="s">
        <v>1855</v>
      </c>
    </row>
    <row r="18" spans="1:2">
      <c r="A18" s="15"/>
      <c r="B18" s="15" t="s">
        <v>1862</v>
      </c>
    </row>
    <row r="19" spans="1:2">
      <c r="A19" s="15"/>
      <c r="B19" s="15" t="s">
        <v>1863</v>
      </c>
    </row>
    <row r="20" spans="1:2">
      <c r="A20" s="15"/>
      <c r="B20" s="15" t="s">
        <v>1864</v>
      </c>
    </row>
    <row r="21" spans="1:2">
      <c r="A21" s="15"/>
      <c r="B21" s="15" t="s">
        <v>1865</v>
      </c>
    </row>
    <row r="22" spans="1:2">
      <c r="A22" s="15"/>
      <c r="B22" s="15" t="s">
        <v>1866</v>
      </c>
    </row>
    <row r="23" spans="1:2">
      <c r="A23" s="15"/>
      <c r="B23" s="15" t="s">
        <v>1867</v>
      </c>
    </row>
    <row r="24" spans="1:2">
      <c r="A24" s="16"/>
      <c r="B24" s="16" t="s">
        <v>1868</v>
      </c>
    </row>
    <row r="25" spans="1:2">
      <c r="A25" s="13" t="s">
        <v>1869</v>
      </c>
      <c r="B25" s="14" t="s">
        <v>1870</v>
      </c>
    </row>
    <row r="26" spans="1:2">
      <c r="A26" s="15"/>
      <c r="B26" s="15" t="s">
        <v>1871</v>
      </c>
    </row>
    <row r="27" spans="1:2">
      <c r="A27" s="15"/>
      <c r="B27" s="15" t="s">
        <v>1872</v>
      </c>
    </row>
    <row r="28" spans="1:2">
      <c r="A28" s="15"/>
      <c r="B28" s="15" t="s">
        <v>1873</v>
      </c>
    </row>
    <row r="29" spans="1:2">
      <c r="A29" s="15"/>
      <c r="B29" s="15" t="s">
        <v>1874</v>
      </c>
    </row>
    <row r="30" spans="1:2">
      <c r="A30" s="15"/>
      <c r="B30" s="15" t="s">
        <v>1875</v>
      </c>
    </row>
    <row r="31" spans="1:2">
      <c r="A31" s="16"/>
      <c r="B31" s="16" t="s">
        <v>1876</v>
      </c>
    </row>
    <row r="32" spans="1:2">
      <c r="A32" s="13" t="s">
        <v>1877</v>
      </c>
      <c r="B32" s="14" t="s">
        <v>1878</v>
      </c>
    </row>
    <row r="33" spans="1:2">
      <c r="A33" s="15"/>
      <c r="B33" s="15" t="s">
        <v>1879</v>
      </c>
    </row>
    <row r="34" spans="1:2">
      <c r="A34" s="15"/>
      <c r="B34" s="15" t="s">
        <v>1880</v>
      </c>
    </row>
    <row r="35" spans="1:2">
      <c r="A35" s="15"/>
      <c r="B35" s="15" t="s">
        <v>1881</v>
      </c>
    </row>
    <row r="36" spans="1:2">
      <c r="A36" s="15"/>
      <c r="B36" s="15" t="s">
        <v>1882</v>
      </c>
    </row>
    <row r="37" spans="1:2">
      <c r="A37" s="16"/>
      <c r="B37" s="16" t="s">
        <v>1883</v>
      </c>
    </row>
    <row r="38" spans="1:2">
      <c r="A38" s="13" t="s">
        <v>1884</v>
      </c>
      <c r="B38" s="14" t="s">
        <v>1878</v>
      </c>
    </row>
    <row r="39" spans="1:2">
      <c r="A39" s="15"/>
      <c r="B39" s="15" t="s">
        <v>1858</v>
      </c>
    </row>
    <row r="40" spans="1:2">
      <c r="A40" s="15"/>
      <c r="B40" s="15" t="s">
        <v>1885</v>
      </c>
    </row>
    <row r="41" spans="1:2">
      <c r="A41" s="15"/>
      <c r="B41" s="15" t="s">
        <v>1886</v>
      </c>
    </row>
    <row r="42" spans="1:2">
      <c r="A42" s="15"/>
      <c r="B42" s="15" t="s">
        <v>1887</v>
      </c>
    </row>
    <row r="43" spans="1:2">
      <c r="A43" s="16"/>
      <c r="B43" s="16" t="s">
        <v>1888</v>
      </c>
    </row>
    <row r="44" spans="1:2">
      <c r="A44" s="13" t="s">
        <v>1889</v>
      </c>
      <c r="B44" s="14" t="s">
        <v>1890</v>
      </c>
    </row>
    <row r="45" spans="1:2">
      <c r="A45" s="15"/>
      <c r="B45" s="15" t="s">
        <v>1891</v>
      </c>
    </row>
    <row r="46" spans="1:2">
      <c r="A46" s="15"/>
      <c r="B46" s="15" t="s">
        <v>1892</v>
      </c>
    </row>
    <row r="47" spans="1:2">
      <c r="A47" s="15"/>
      <c r="B47" s="15" t="s">
        <v>1893</v>
      </c>
    </row>
    <row r="48" spans="1:2">
      <c r="A48" s="15"/>
      <c r="B48" s="15" t="s">
        <v>1894</v>
      </c>
    </row>
    <row r="49" spans="1:2">
      <c r="A49" s="15"/>
      <c r="B49" s="15" t="s">
        <v>1895</v>
      </c>
    </row>
    <row r="50" spans="1:2">
      <c r="A50" s="15"/>
      <c r="B50" s="15" t="s">
        <v>1896</v>
      </c>
    </row>
    <row r="51" spans="1:2">
      <c r="A51" s="16"/>
      <c r="B51" s="16" t="s">
        <v>1863</v>
      </c>
    </row>
    <row r="52" spans="1:2">
      <c r="A52" s="13" t="s">
        <v>1897</v>
      </c>
      <c r="B52" s="14" t="s">
        <v>1898</v>
      </c>
    </row>
    <row r="53" spans="1:2">
      <c r="A53" s="15"/>
      <c r="B53" s="15" t="s">
        <v>1899</v>
      </c>
    </row>
    <row r="54" spans="1:2">
      <c r="A54" s="15"/>
      <c r="B54" s="15" t="s">
        <v>1900</v>
      </c>
    </row>
    <row r="55" spans="1:2">
      <c r="A55" s="15"/>
      <c r="B55" s="15" t="s">
        <v>1901</v>
      </c>
    </row>
    <row r="56" spans="1:2">
      <c r="A56" s="15"/>
      <c r="B56" s="15" t="s">
        <v>1902</v>
      </c>
    </row>
    <row r="57" spans="1:2">
      <c r="A57" s="15"/>
      <c r="B57" s="15" t="s">
        <v>1903</v>
      </c>
    </row>
    <row r="58" spans="1:2">
      <c r="A58" s="15"/>
      <c r="B58" s="15" t="s">
        <v>1904</v>
      </c>
    </row>
    <row r="59" spans="1:2">
      <c r="A59" s="16"/>
      <c r="B59" s="16" t="s">
        <v>1905</v>
      </c>
    </row>
    <row r="60" spans="1:2">
      <c r="A60" s="13" t="s">
        <v>1906</v>
      </c>
      <c r="B60" s="14" t="s">
        <v>1907</v>
      </c>
    </row>
    <row r="61" spans="1:2">
      <c r="A61" s="15"/>
      <c r="B61" s="15" t="s">
        <v>1908</v>
      </c>
    </row>
    <row r="62" spans="1:2">
      <c r="A62" s="15"/>
      <c r="B62" s="15" t="s">
        <v>1909</v>
      </c>
    </row>
    <row r="63" spans="1:2">
      <c r="A63" s="15"/>
      <c r="B63" s="15" t="s">
        <v>1910</v>
      </c>
    </row>
    <row r="64" spans="1:2">
      <c r="A64" s="15"/>
      <c r="B64" s="15" t="s">
        <v>1911</v>
      </c>
    </row>
    <row r="65" spans="1:2">
      <c r="A65" s="15"/>
      <c r="B65" s="15" t="s">
        <v>1912</v>
      </c>
    </row>
    <row r="66" spans="1:2">
      <c r="A66" s="15"/>
      <c r="B66" s="15" t="s">
        <v>1913</v>
      </c>
    </row>
    <row r="67" spans="1:2">
      <c r="A67" s="16"/>
      <c r="B67" s="16" t="s">
        <v>1914</v>
      </c>
    </row>
    <row r="68" spans="1:2">
      <c r="A68" s="13" t="s">
        <v>1915</v>
      </c>
      <c r="B68" s="14" t="s">
        <v>1916</v>
      </c>
    </row>
    <row r="69" spans="1:2">
      <c r="A69" s="15"/>
      <c r="B69" s="15" t="s">
        <v>1917</v>
      </c>
    </row>
    <row r="70" spans="1:2">
      <c r="A70" s="15"/>
      <c r="B70" s="15" t="s">
        <v>1918</v>
      </c>
    </row>
    <row r="71" spans="1:2">
      <c r="A71" s="15"/>
      <c r="B71" s="15" t="s">
        <v>1919</v>
      </c>
    </row>
    <row r="72" spans="1:2">
      <c r="A72" s="15"/>
      <c r="B72" s="15" t="s">
        <v>1920</v>
      </c>
    </row>
    <row r="73" spans="1:2">
      <c r="A73" s="15"/>
      <c r="B73" s="15" t="s">
        <v>1921</v>
      </c>
    </row>
    <row r="74" spans="1:2">
      <c r="A74" s="15"/>
      <c r="B74" s="15" t="s">
        <v>1922</v>
      </c>
    </row>
    <row r="75" spans="1:2">
      <c r="A75" s="15"/>
      <c r="B75" s="15" t="s">
        <v>1923</v>
      </c>
    </row>
    <row r="76" spans="1:2">
      <c r="A76" s="15"/>
      <c r="B76" s="15" t="s">
        <v>1924</v>
      </c>
    </row>
    <row r="77" spans="1:2">
      <c r="A77" s="15"/>
      <c r="B77" s="15" t="s">
        <v>1925</v>
      </c>
    </row>
    <row r="78" spans="1:2">
      <c r="A78" s="15"/>
      <c r="B78" s="15" t="s">
        <v>1926</v>
      </c>
    </row>
    <row r="79" spans="1:2">
      <c r="A79" s="16"/>
      <c r="B79" s="16" t="s">
        <v>1927</v>
      </c>
    </row>
    <row r="80" spans="1:2">
      <c r="A80" s="13" t="s">
        <v>1928</v>
      </c>
      <c r="B80" s="14" t="s">
        <v>1929</v>
      </c>
    </row>
    <row r="81" spans="1:2">
      <c r="A81" s="15"/>
      <c r="B81" s="15" t="s">
        <v>1930</v>
      </c>
    </row>
    <row r="82" spans="1:2">
      <c r="A82" s="15"/>
      <c r="B82" s="15" t="s">
        <v>1931</v>
      </c>
    </row>
    <row r="83" spans="1:2">
      <c r="A83" s="15"/>
      <c r="B83" s="15" t="s">
        <v>1932</v>
      </c>
    </row>
    <row r="84" spans="1:2">
      <c r="A84" s="15"/>
      <c r="B84" s="15" t="s">
        <v>1921</v>
      </c>
    </row>
    <row r="85" spans="1:2">
      <c r="A85" s="15"/>
      <c r="B85" s="15" t="s">
        <v>1933</v>
      </c>
    </row>
    <row r="86" spans="1:2">
      <c r="A86" s="15"/>
      <c r="B86" s="15" t="s">
        <v>1934</v>
      </c>
    </row>
    <row r="87" spans="1:2">
      <c r="A87" s="15"/>
      <c r="B87" s="15" t="s">
        <v>1935</v>
      </c>
    </row>
    <row r="88" spans="1:2">
      <c r="A88" s="15"/>
      <c r="B88" s="15" t="s">
        <v>1936</v>
      </c>
    </row>
    <row r="89" spans="1:2">
      <c r="A89" s="16"/>
      <c r="B89" s="16" t="s">
        <v>1937</v>
      </c>
    </row>
    <row r="90" spans="1:2">
      <c r="A90" s="13" t="s">
        <v>1938</v>
      </c>
      <c r="B90" s="14" t="s">
        <v>1939</v>
      </c>
    </row>
    <row r="91" spans="1:2">
      <c r="A91" s="15"/>
      <c r="B91" s="15" t="s">
        <v>1940</v>
      </c>
    </row>
    <row r="92" spans="1:2">
      <c r="A92" s="15"/>
      <c r="B92" s="15" t="s">
        <v>1941</v>
      </c>
    </row>
    <row r="93" spans="1:2">
      <c r="A93" s="15"/>
      <c r="B93" s="15" t="s">
        <v>1942</v>
      </c>
    </row>
    <row r="94" spans="1:2">
      <c r="A94" s="15"/>
      <c r="B94" s="15" t="s">
        <v>1943</v>
      </c>
    </row>
    <row r="95" spans="1:2">
      <c r="A95" s="15"/>
      <c r="B95" s="15" t="s">
        <v>1944</v>
      </c>
    </row>
    <row r="96" spans="1:2">
      <c r="A96" s="15"/>
      <c r="B96" s="15" t="s">
        <v>1945</v>
      </c>
    </row>
    <row r="97" spans="1:2">
      <c r="A97" s="15"/>
      <c r="B97" s="15" t="s">
        <v>1920</v>
      </c>
    </row>
    <row r="98" spans="1:2">
      <c r="A98" s="15"/>
      <c r="B98" s="15" t="s">
        <v>1946</v>
      </c>
    </row>
    <row r="99" spans="1:2">
      <c r="A99" s="15"/>
      <c r="B99" s="15" t="s">
        <v>1947</v>
      </c>
    </row>
    <row r="100" spans="1:2">
      <c r="A100" s="15"/>
      <c r="B100" s="15" t="s">
        <v>1948</v>
      </c>
    </row>
    <row r="101" spans="1:2">
      <c r="A101" s="15"/>
      <c r="B101" s="15" t="s">
        <v>1949</v>
      </c>
    </row>
    <row r="102" spans="1:2">
      <c r="A102" s="15"/>
      <c r="B102" s="15" t="s">
        <v>1950</v>
      </c>
    </row>
    <row r="103" spans="1:2">
      <c r="A103" s="15"/>
      <c r="B103" s="15" t="s">
        <v>1951</v>
      </c>
    </row>
    <row r="104" spans="1:2">
      <c r="A104" s="15"/>
      <c r="B104" s="15" t="s">
        <v>1952</v>
      </c>
    </row>
    <row r="105" spans="1:2">
      <c r="A105" s="16"/>
      <c r="B105" s="16" t="s">
        <v>1953</v>
      </c>
    </row>
    <row r="106" spans="1:2">
      <c r="A106" s="13" t="s">
        <v>1954</v>
      </c>
      <c r="B106" s="14" t="s">
        <v>1955</v>
      </c>
    </row>
    <row r="107" spans="1:2">
      <c r="A107" s="15"/>
      <c r="B107" s="15" t="s">
        <v>1956</v>
      </c>
    </row>
    <row r="108" spans="1:2">
      <c r="A108" s="15"/>
      <c r="B108" s="15" t="s">
        <v>1957</v>
      </c>
    </row>
    <row r="109" spans="1:2">
      <c r="A109" s="16"/>
      <c r="B109" s="16" t="s">
        <v>1958</v>
      </c>
    </row>
    <row r="110" spans="1:2">
      <c r="A110" s="13" t="s">
        <v>1959</v>
      </c>
      <c r="B110" s="14" t="s">
        <v>1960</v>
      </c>
    </row>
    <row r="111" spans="1:2">
      <c r="A111" s="15"/>
      <c r="B111" s="15" t="s">
        <v>1961</v>
      </c>
    </row>
    <row r="112" spans="1:2">
      <c r="A112" s="15"/>
      <c r="B112" s="15" t="s">
        <v>1962</v>
      </c>
    </row>
    <row r="113" spans="1:2">
      <c r="A113" s="15"/>
      <c r="B113" s="15" t="s">
        <v>1963</v>
      </c>
    </row>
    <row r="114" spans="1:2">
      <c r="A114" s="15"/>
      <c r="B114" s="15" t="s">
        <v>1964</v>
      </c>
    </row>
    <row r="115" spans="1:2">
      <c r="A115" s="15"/>
      <c r="B115" s="15" t="s">
        <v>1965</v>
      </c>
    </row>
    <row r="116" spans="1:2">
      <c r="A116" s="15"/>
      <c r="B116" s="15" t="s">
        <v>1855</v>
      </c>
    </row>
    <row r="117" spans="1:2">
      <c r="A117" s="16"/>
      <c r="B117" s="16" t="s">
        <v>1966</v>
      </c>
    </row>
    <row r="118" spans="1:2">
      <c r="A118" s="13" t="s">
        <v>1967</v>
      </c>
      <c r="B118" s="14" t="s">
        <v>1892</v>
      </c>
    </row>
    <row r="119" spans="1:2">
      <c r="A119" s="15"/>
      <c r="B119" s="15" t="s">
        <v>1961</v>
      </c>
    </row>
    <row r="120" spans="1:2">
      <c r="A120" s="15"/>
      <c r="B120" s="15" t="s">
        <v>1968</v>
      </c>
    </row>
    <row r="121" spans="1:2">
      <c r="A121" s="15"/>
      <c r="B121" s="15" t="s">
        <v>1969</v>
      </c>
    </row>
    <row r="122" spans="1:2">
      <c r="A122" s="15"/>
      <c r="B122" s="15" t="s">
        <v>1970</v>
      </c>
    </row>
    <row r="123" spans="1:2">
      <c r="A123" s="16"/>
      <c r="B123" s="16" t="s">
        <v>1971</v>
      </c>
    </row>
    <row r="124" spans="1:2">
      <c r="A124" s="13" t="s">
        <v>1972</v>
      </c>
      <c r="B124" s="14" t="s">
        <v>1973</v>
      </c>
    </row>
    <row r="125" spans="1:2">
      <c r="A125" s="16"/>
      <c r="B125" s="16" t="s">
        <v>1974</v>
      </c>
    </row>
    <row r="126" spans="1:2">
      <c r="A126" s="13" t="s">
        <v>1975</v>
      </c>
      <c r="B126" s="14" t="s">
        <v>1976</v>
      </c>
    </row>
    <row r="127" spans="1:2">
      <c r="A127" s="15"/>
      <c r="B127" s="15" t="s">
        <v>1892</v>
      </c>
    </row>
    <row r="128" spans="1:2">
      <c r="A128" s="15"/>
      <c r="B128" s="15" t="s">
        <v>1977</v>
      </c>
    </row>
    <row r="129" spans="1:2">
      <c r="A129" s="15"/>
      <c r="B129" s="15" t="s">
        <v>1978</v>
      </c>
    </row>
    <row r="130" spans="1:2">
      <c r="A130" s="15"/>
      <c r="B130" s="15" t="s">
        <v>1979</v>
      </c>
    </row>
    <row r="131" spans="1:2">
      <c r="A131" s="15"/>
      <c r="B131" s="15" t="s">
        <v>1980</v>
      </c>
    </row>
    <row r="132" spans="1:2">
      <c r="A132" s="16"/>
      <c r="B132" s="16" t="s">
        <v>1981</v>
      </c>
    </row>
    <row r="133" spans="1:2">
      <c r="A133" s="13" t="s">
        <v>1982</v>
      </c>
      <c r="B133" s="14" t="s">
        <v>1983</v>
      </c>
    </row>
    <row r="134" spans="1:2">
      <c r="A134" s="15"/>
      <c r="B134" s="15" t="s">
        <v>1984</v>
      </c>
    </row>
    <row r="135" spans="1:2">
      <c r="A135" s="15"/>
      <c r="B135" s="15" t="s">
        <v>1985</v>
      </c>
    </row>
    <row r="136" spans="1:2">
      <c r="A136" s="15"/>
      <c r="B136" s="15" t="s">
        <v>1986</v>
      </c>
    </row>
    <row r="137" spans="1:2">
      <c r="A137" s="15"/>
      <c r="B137" s="15" t="s">
        <v>1987</v>
      </c>
    </row>
    <row r="138" spans="1:2">
      <c r="A138" s="16"/>
      <c r="B138" s="16" t="s">
        <v>1988</v>
      </c>
    </row>
    <row r="139" spans="1:2">
      <c r="A139" s="13" t="s">
        <v>1989</v>
      </c>
      <c r="B139" s="14" t="s">
        <v>1990</v>
      </c>
    </row>
    <row r="140" spans="1:2">
      <c r="A140" s="15"/>
      <c r="B140" s="15" t="s">
        <v>1991</v>
      </c>
    </row>
    <row r="141" spans="1:2">
      <c r="A141" s="15"/>
      <c r="B141" s="15" t="s">
        <v>1992</v>
      </c>
    </row>
    <row r="142" spans="1:2">
      <c r="A142" s="15"/>
      <c r="B142" s="15" t="s">
        <v>1993</v>
      </c>
    </row>
    <row r="143" spans="1:2">
      <c r="A143" s="15"/>
      <c r="B143" s="15" t="s">
        <v>1994</v>
      </c>
    </row>
    <row r="144" spans="1:2">
      <c r="A144" s="15"/>
      <c r="B144" s="15" t="s">
        <v>1995</v>
      </c>
    </row>
    <row r="145" spans="1:2">
      <c r="A145" s="15"/>
      <c r="B145" s="15" t="s">
        <v>1996</v>
      </c>
    </row>
    <row r="146" spans="1:2">
      <c r="A146" s="15"/>
      <c r="B146" s="15" t="s">
        <v>1997</v>
      </c>
    </row>
    <row r="147" spans="1:2">
      <c r="A147" s="15"/>
      <c r="B147" s="15" t="s">
        <v>1998</v>
      </c>
    </row>
    <row r="148" spans="1:2">
      <c r="A148" s="15"/>
      <c r="B148" s="15" t="s">
        <v>1999</v>
      </c>
    </row>
    <row r="149" spans="1:2">
      <c r="A149" s="15"/>
      <c r="B149" s="15" t="s">
        <v>1933</v>
      </c>
    </row>
    <row r="150" spans="1:2">
      <c r="A150" s="15"/>
      <c r="B150" s="15" t="s">
        <v>2000</v>
      </c>
    </row>
    <row r="151" spans="1:2">
      <c r="A151" s="15"/>
      <c r="B151" s="15" t="s">
        <v>1951</v>
      </c>
    </row>
    <row r="152" spans="1:2">
      <c r="A152" s="15"/>
      <c r="B152" s="15" t="s">
        <v>2001</v>
      </c>
    </row>
    <row r="153" spans="1:2">
      <c r="A153" s="16"/>
      <c r="B153" s="16" t="s">
        <v>1937</v>
      </c>
    </row>
    <row r="154" spans="1:2">
      <c r="A154" s="13" t="s">
        <v>2002</v>
      </c>
      <c r="B154" s="14" t="s">
        <v>2003</v>
      </c>
    </row>
    <row r="155" spans="1:2">
      <c r="A155" s="15"/>
      <c r="B155" s="15" t="s">
        <v>1892</v>
      </c>
    </row>
    <row r="156" spans="1:2">
      <c r="A156" s="15"/>
      <c r="B156" s="15" t="s">
        <v>1996</v>
      </c>
    </row>
    <row r="157" spans="1:2">
      <c r="A157" s="15"/>
      <c r="B157" s="15" t="s">
        <v>2004</v>
      </c>
    </row>
    <row r="158" spans="1:2">
      <c r="A158" s="16"/>
      <c r="B158" s="16" t="s">
        <v>2005</v>
      </c>
    </row>
    <row r="159" spans="1:2">
      <c r="A159" s="13" t="s">
        <v>2006</v>
      </c>
      <c r="B159" s="14" t="s">
        <v>2007</v>
      </c>
    </row>
    <row r="160" spans="1:2">
      <c r="A160" s="15"/>
      <c r="B160" s="15" t="s">
        <v>2008</v>
      </c>
    </row>
    <row r="161" spans="1:2">
      <c r="A161" s="15"/>
      <c r="B161" s="15" t="s">
        <v>2009</v>
      </c>
    </row>
    <row r="162" spans="1:2">
      <c r="A162" s="15"/>
      <c r="B162" s="15" t="s">
        <v>2010</v>
      </c>
    </row>
    <row r="163" spans="1:2">
      <c r="A163" s="15"/>
      <c r="B163" s="15" t="s">
        <v>2011</v>
      </c>
    </row>
    <row r="164" spans="1:2">
      <c r="A164" s="15"/>
      <c r="B164" s="15" t="s">
        <v>2012</v>
      </c>
    </row>
    <row r="165" spans="1:2">
      <c r="A165" s="16"/>
      <c r="B165" s="16" t="s">
        <v>2013</v>
      </c>
    </row>
    <row r="166" spans="1:2">
      <c r="A166" s="13" t="s">
        <v>2014</v>
      </c>
      <c r="B166" s="14" t="s">
        <v>2015</v>
      </c>
    </row>
    <row r="167" spans="1:2">
      <c r="A167" s="15"/>
      <c r="B167" s="15" t="s">
        <v>2016</v>
      </c>
    </row>
    <row r="168" spans="1:2">
      <c r="A168" s="16"/>
      <c r="B168" s="16" t="s">
        <v>2017</v>
      </c>
    </row>
    <row r="169" spans="1:2">
      <c r="A169" s="13" t="s">
        <v>2018</v>
      </c>
      <c r="B169" s="14" t="s">
        <v>2019</v>
      </c>
    </row>
    <row r="170" spans="1:2">
      <c r="A170" s="15"/>
      <c r="B170" s="15" t="s">
        <v>2020</v>
      </c>
    </row>
    <row r="171" spans="1:2">
      <c r="A171" s="16"/>
      <c r="B171" s="16" t="s">
        <v>2021</v>
      </c>
    </row>
    <row r="172" spans="1:2">
      <c r="A172" s="13" t="s">
        <v>2022</v>
      </c>
      <c r="B172" s="14" t="s">
        <v>2023</v>
      </c>
    </row>
    <row r="173" spans="1:2">
      <c r="A173" s="15"/>
      <c r="B173" s="15" t="s">
        <v>2024</v>
      </c>
    </row>
    <row r="174" spans="1:2">
      <c r="A174" s="15"/>
      <c r="B174" s="15" t="s">
        <v>2025</v>
      </c>
    </row>
    <row r="175" spans="1:2">
      <c r="A175" s="16"/>
      <c r="B175" s="16" t="s">
        <v>2026</v>
      </c>
    </row>
    <row r="176" spans="1:2">
      <c r="A176" s="13" t="s">
        <v>2027</v>
      </c>
      <c r="B176" s="14" t="s">
        <v>2028</v>
      </c>
    </row>
    <row r="177" spans="1:2">
      <c r="A177" s="15"/>
      <c r="B177" s="15" t="s">
        <v>2029</v>
      </c>
    </row>
    <row r="178" spans="1:2">
      <c r="A178" s="15"/>
      <c r="B178" s="15" t="s">
        <v>2030</v>
      </c>
    </row>
    <row r="179" spans="1:2">
      <c r="A179" s="15"/>
      <c r="B179" s="15" t="s">
        <v>2031</v>
      </c>
    </row>
    <row r="180" spans="1:2">
      <c r="A180" s="15"/>
      <c r="B180" s="15" t="s">
        <v>2032</v>
      </c>
    </row>
    <row r="181" spans="1:2">
      <c r="A181" s="15"/>
      <c r="B181" s="15" t="s">
        <v>2033</v>
      </c>
    </row>
    <row r="182" spans="1:2">
      <c r="A182" s="15"/>
      <c r="B182" s="15" t="s">
        <v>1850</v>
      </c>
    </row>
    <row r="183" spans="1:2">
      <c r="A183" s="15"/>
      <c r="B183" s="15" t="s">
        <v>1921</v>
      </c>
    </row>
    <row r="184" spans="1:2">
      <c r="A184" s="15"/>
      <c r="B184" s="15" t="s">
        <v>1901</v>
      </c>
    </row>
    <row r="185" spans="1:2">
      <c r="A185" s="15"/>
      <c r="B185" s="15" t="s">
        <v>2034</v>
      </c>
    </row>
    <row r="186" spans="1:2">
      <c r="A186" s="15"/>
      <c r="B186" s="15" t="s">
        <v>1933</v>
      </c>
    </row>
    <row r="187" spans="1:2">
      <c r="A187" s="15"/>
      <c r="B187" s="15" t="s">
        <v>2035</v>
      </c>
    </row>
    <row r="188" spans="1:2">
      <c r="A188" s="15"/>
      <c r="B188" s="15" t="s">
        <v>2036</v>
      </c>
    </row>
    <row r="189" spans="1:2">
      <c r="A189" s="15"/>
      <c r="B189" s="15" t="s">
        <v>2037</v>
      </c>
    </row>
    <row r="190" spans="1:2">
      <c r="A190" s="16"/>
      <c r="B190" s="16" t="s">
        <v>1864</v>
      </c>
    </row>
    <row r="191" spans="1:2">
      <c r="A191" s="13" t="s">
        <v>2038</v>
      </c>
      <c r="B191" s="14" t="s">
        <v>2039</v>
      </c>
    </row>
    <row r="192" spans="1:2">
      <c r="A192" s="15"/>
      <c r="B192" s="15" t="s">
        <v>2040</v>
      </c>
    </row>
    <row r="193" spans="1:2">
      <c r="A193" s="15"/>
      <c r="B193" s="15" t="s">
        <v>2041</v>
      </c>
    </row>
    <row r="194" spans="1:2">
      <c r="A194" s="15"/>
      <c r="B194" s="15" t="s">
        <v>1948</v>
      </c>
    </row>
    <row r="195" spans="1:2">
      <c r="A195" s="15"/>
      <c r="B195" s="15" t="s">
        <v>2042</v>
      </c>
    </row>
    <row r="196" spans="1:2">
      <c r="A196" s="15"/>
      <c r="B196" s="15" t="s">
        <v>2043</v>
      </c>
    </row>
    <row r="197" spans="1:2">
      <c r="A197" s="15"/>
      <c r="B197" s="15" t="s">
        <v>1950</v>
      </c>
    </row>
    <row r="198" spans="1:2">
      <c r="A198" s="16"/>
      <c r="B198" s="16" t="s">
        <v>2044</v>
      </c>
    </row>
    <row r="199" spans="1:2">
      <c r="A199" s="13" t="s">
        <v>2045</v>
      </c>
      <c r="B199" s="14" t="s">
        <v>2046</v>
      </c>
    </row>
    <row r="200" spans="1:2">
      <c r="A200" s="15"/>
      <c r="B200" s="15" t="s">
        <v>2047</v>
      </c>
    </row>
    <row r="201" spans="1:2">
      <c r="A201" s="15"/>
      <c r="B201" s="15" t="s">
        <v>1871</v>
      </c>
    </row>
    <row r="202" spans="1:2">
      <c r="A202" s="15"/>
      <c r="B202" s="15" t="s">
        <v>2048</v>
      </c>
    </row>
    <row r="203" spans="1:2">
      <c r="A203" s="15"/>
      <c r="B203" s="15" t="s">
        <v>2049</v>
      </c>
    </row>
    <row r="204" spans="1:2">
      <c r="A204" s="15"/>
      <c r="B204" s="15" t="s">
        <v>2040</v>
      </c>
    </row>
    <row r="205" spans="1:2">
      <c r="A205" s="15"/>
      <c r="B205" s="15" t="s">
        <v>1907</v>
      </c>
    </row>
    <row r="206" spans="1:2">
      <c r="A206" s="15"/>
      <c r="B206" s="15" t="s">
        <v>2050</v>
      </c>
    </row>
    <row r="207" spans="1:2">
      <c r="A207" s="15"/>
      <c r="B207" s="15" t="s">
        <v>2051</v>
      </c>
    </row>
    <row r="208" spans="1:2">
      <c r="A208" s="16"/>
      <c r="B208" s="16" t="s">
        <v>2052</v>
      </c>
    </row>
    <row r="209" spans="1:2">
      <c r="A209" s="13" t="s">
        <v>2053</v>
      </c>
      <c r="B209" s="14" t="s">
        <v>2054</v>
      </c>
    </row>
    <row r="210" spans="1:2">
      <c r="A210" s="15"/>
      <c r="B210" s="15" t="s">
        <v>2055</v>
      </c>
    </row>
    <row r="211" spans="1:2">
      <c r="A211" s="16"/>
      <c r="B211" s="16" t="s">
        <v>2056</v>
      </c>
    </row>
    <row r="212" spans="1:2">
      <c r="A212" s="13" t="s">
        <v>2057</v>
      </c>
      <c r="B212" s="14" t="s">
        <v>2058</v>
      </c>
    </row>
    <row r="213" spans="1:2">
      <c r="A213" s="15"/>
      <c r="B213" s="15" t="s">
        <v>2059</v>
      </c>
    </row>
    <row r="214" spans="1:2">
      <c r="A214" s="15"/>
      <c r="B214" s="15" t="s">
        <v>2060</v>
      </c>
    </row>
    <row r="215" spans="1:2">
      <c r="A215" s="15"/>
      <c r="B215" s="15" t="s">
        <v>2061</v>
      </c>
    </row>
    <row r="216" spans="1:2">
      <c r="A216" s="16"/>
      <c r="B216" s="16" t="s">
        <v>2062</v>
      </c>
    </row>
    <row r="217" spans="1:2">
      <c r="A217" s="13" t="s">
        <v>2063</v>
      </c>
      <c r="B217" s="14" t="s">
        <v>2064</v>
      </c>
    </row>
    <row r="218" spans="1:2">
      <c r="A218" s="15"/>
      <c r="B218" s="15" t="s">
        <v>2065</v>
      </c>
    </row>
    <row r="219" spans="1:2">
      <c r="A219" s="16"/>
      <c r="B219" s="16" t="s">
        <v>2066</v>
      </c>
    </row>
    <row r="220" spans="1:2">
      <c r="A220" s="13" t="s">
        <v>2067</v>
      </c>
      <c r="B220" s="14" t="s">
        <v>2068</v>
      </c>
    </row>
    <row r="221" spans="1:2">
      <c r="A221" s="15"/>
      <c r="B221" s="15" t="s">
        <v>2069</v>
      </c>
    </row>
    <row r="222" spans="1:2">
      <c r="A222" s="15"/>
      <c r="B222" s="15" t="s">
        <v>2070</v>
      </c>
    </row>
    <row r="223" spans="1:2">
      <c r="A223" s="15"/>
      <c r="B223" s="15" t="s">
        <v>2071</v>
      </c>
    </row>
    <row r="224" spans="1:2">
      <c r="A224" s="15"/>
      <c r="B224" s="15" t="s">
        <v>2072</v>
      </c>
    </row>
    <row r="225" spans="1:2">
      <c r="A225" s="16"/>
      <c r="B225" s="16" t="s">
        <v>2073</v>
      </c>
    </row>
    <row r="226" spans="1:2">
      <c r="A226" s="13" t="s">
        <v>2074</v>
      </c>
      <c r="B226" s="14" t="s">
        <v>2075</v>
      </c>
    </row>
    <row r="227" spans="1:2">
      <c r="A227" s="15"/>
      <c r="B227" s="15" t="s">
        <v>2076</v>
      </c>
    </row>
    <row r="228" spans="1:2">
      <c r="A228" s="15"/>
      <c r="B228" s="15" t="s">
        <v>2077</v>
      </c>
    </row>
    <row r="229" spans="1:2">
      <c r="A229" s="15"/>
      <c r="B229" s="15" t="s">
        <v>2078</v>
      </c>
    </row>
    <row r="230" spans="1:2">
      <c r="A230" s="15"/>
      <c r="B230" s="15" t="s">
        <v>2079</v>
      </c>
    </row>
    <row r="231" spans="1:2">
      <c r="A231" s="16"/>
      <c r="B231" s="16" t="s">
        <v>2080</v>
      </c>
    </row>
    <row r="232" spans="1:2">
      <c r="A232" s="13" t="s">
        <v>2081</v>
      </c>
      <c r="B232" s="14" t="s">
        <v>2082</v>
      </c>
    </row>
    <row r="233" spans="1:2">
      <c r="A233" s="15"/>
      <c r="B233" s="15" t="s">
        <v>2083</v>
      </c>
    </row>
    <row r="234" spans="1:2">
      <c r="A234" s="15"/>
      <c r="B234" s="15" t="s">
        <v>1919</v>
      </c>
    </row>
    <row r="235" spans="1:2">
      <c r="A235" s="15"/>
      <c r="B235" s="15" t="s">
        <v>2084</v>
      </c>
    </row>
    <row r="236" spans="1:2">
      <c r="A236" s="15"/>
      <c r="B236" s="15" t="s">
        <v>2085</v>
      </c>
    </row>
    <row r="237" spans="1:2">
      <c r="A237" s="16"/>
      <c r="B237" s="16" t="s">
        <v>2086</v>
      </c>
    </row>
    <row r="238" spans="1:2">
      <c r="A238" s="13" t="s">
        <v>2087</v>
      </c>
      <c r="B238" s="14" t="s">
        <v>2088</v>
      </c>
    </row>
    <row r="239" spans="1:2">
      <c r="A239" s="15"/>
      <c r="B239" s="15" t="s">
        <v>2089</v>
      </c>
    </row>
    <row r="240" spans="1:2">
      <c r="A240" s="15"/>
      <c r="B240" s="15" t="s">
        <v>2090</v>
      </c>
    </row>
    <row r="241" spans="1:2">
      <c r="A241" s="15"/>
      <c r="B241" s="15" t="s">
        <v>2091</v>
      </c>
    </row>
    <row r="242" spans="1:2">
      <c r="A242" s="15"/>
      <c r="B242" s="15" t="s">
        <v>2092</v>
      </c>
    </row>
    <row r="243" spans="1:2">
      <c r="A243" s="15"/>
      <c r="B243" s="15" t="s">
        <v>2093</v>
      </c>
    </row>
    <row r="244" spans="1:2">
      <c r="A244" s="15"/>
      <c r="B244" s="15" t="s">
        <v>2094</v>
      </c>
    </row>
    <row r="245" spans="1:2">
      <c r="A245" s="15"/>
      <c r="B245" s="15" t="s">
        <v>2095</v>
      </c>
    </row>
    <row r="246" spans="1:2">
      <c r="A246" s="15"/>
      <c r="B246" s="15" t="s">
        <v>2096</v>
      </c>
    </row>
    <row r="247" spans="1:2">
      <c r="A247" s="15"/>
      <c r="B247" s="15" t="s">
        <v>2097</v>
      </c>
    </row>
    <row r="248" spans="1:2">
      <c r="A248" s="16"/>
      <c r="B248" s="16" t="s">
        <v>2098</v>
      </c>
    </row>
  </sheetData>
  <hyperlinks>
    <hyperlink ref="A3" r:id="rId1" display="Shaping Green transitions for a Sustainable Europe" xr:uid="{00000000-0004-0000-1400-000000000000}"/>
    <hyperlink ref="A12" r:id="rId2" xr:uid="{00000000-0004-0000-1400-000001000000}"/>
    <hyperlink ref="A25" r:id="rId3" xr:uid="{00000000-0004-0000-1400-000002000000}"/>
    <hyperlink ref="A32" r:id="rId4" xr:uid="{00000000-0004-0000-1400-000003000000}"/>
    <hyperlink ref="A38" r:id="rId5" xr:uid="{00000000-0004-0000-1400-000004000000}"/>
    <hyperlink ref="A44" r:id="rId6" xr:uid="{00000000-0004-0000-1400-000005000000}"/>
    <hyperlink ref="A52" r:id="rId7" xr:uid="{00000000-0004-0000-1400-000006000000}"/>
    <hyperlink ref="A60" r:id="rId8" xr:uid="{00000000-0004-0000-1400-000007000000}"/>
    <hyperlink ref="A68" r:id="rId9" xr:uid="{00000000-0004-0000-1400-000008000000}"/>
    <hyperlink ref="A80" r:id="rId10" xr:uid="{00000000-0004-0000-1400-000009000000}"/>
    <hyperlink ref="A90" r:id="rId11" xr:uid="{00000000-0004-0000-1400-00000A000000}"/>
    <hyperlink ref="A106" r:id="rId12" xr:uid="{00000000-0004-0000-1400-00000B000000}"/>
    <hyperlink ref="A110" r:id="rId13" xr:uid="{00000000-0004-0000-1400-00000C000000}"/>
    <hyperlink ref="A118" r:id="rId14" xr:uid="{00000000-0004-0000-1400-00000D000000}"/>
    <hyperlink ref="A124" r:id="rId15" xr:uid="{00000000-0004-0000-1400-00000E000000}"/>
    <hyperlink ref="A126" r:id="rId16" xr:uid="{00000000-0004-0000-1400-00000F000000}"/>
    <hyperlink ref="A133" r:id="rId17" xr:uid="{00000000-0004-0000-1400-000010000000}"/>
    <hyperlink ref="A139" r:id="rId18" xr:uid="{00000000-0004-0000-1400-000011000000}"/>
    <hyperlink ref="A154" r:id="rId19" xr:uid="{00000000-0004-0000-1400-000012000000}"/>
    <hyperlink ref="A159" r:id="rId20" xr:uid="{00000000-0004-0000-1400-000013000000}"/>
    <hyperlink ref="A166" r:id="rId21" xr:uid="{00000000-0004-0000-1400-000014000000}"/>
    <hyperlink ref="A169" r:id="rId22" xr:uid="{00000000-0004-0000-1400-000015000000}"/>
    <hyperlink ref="A172" r:id="rId23" xr:uid="{00000000-0004-0000-1400-000016000000}"/>
    <hyperlink ref="A176" r:id="rId24" xr:uid="{00000000-0004-0000-1400-000017000000}"/>
    <hyperlink ref="A191" r:id="rId25" xr:uid="{00000000-0004-0000-1400-000018000000}"/>
    <hyperlink ref="A199" r:id="rId26" xr:uid="{00000000-0004-0000-1400-000019000000}"/>
    <hyperlink ref="A209" r:id="rId27" xr:uid="{00000000-0004-0000-1400-00001A000000}"/>
    <hyperlink ref="A212" r:id="rId28" xr:uid="{00000000-0004-0000-1400-00001B000000}"/>
    <hyperlink ref="A217" r:id="rId29" xr:uid="{00000000-0004-0000-1400-00001C000000}"/>
    <hyperlink ref="A220" r:id="rId30" xr:uid="{00000000-0004-0000-1400-00001D000000}"/>
    <hyperlink ref="A226" r:id="rId31" xr:uid="{00000000-0004-0000-1400-00001E000000}"/>
    <hyperlink ref="A232" r:id="rId32" xr:uid="{00000000-0004-0000-1400-00001F000000}"/>
    <hyperlink ref="A238" r:id="rId33" xr:uid="{00000000-0004-0000-1400-000020000000}"/>
  </hyperlinks>
  <pageMargins left="0.7" right="0.7" top="0.75" bottom="0.75" header="0.3" footer="0.3"/>
  <pageSetup orientation="portrait" horizontalDpi="90" verticalDpi="90" r:id="rId3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34"/>
  <sheetViews>
    <sheetView zoomScale="145" zoomScaleNormal="145" workbookViewId="0">
      <selection activeCell="E37" sqref="E37"/>
    </sheetView>
  </sheetViews>
  <sheetFormatPr baseColWidth="10" defaultColWidth="8.83203125" defaultRowHeight="15"/>
  <cols>
    <col min="1" max="1" width="76.83203125" customWidth="1"/>
  </cols>
  <sheetData>
    <row r="1" spans="1:1">
      <c r="A1" s="17" t="s">
        <v>2099</v>
      </c>
    </row>
    <row r="2" spans="1:1">
      <c r="A2" t="s">
        <v>1847</v>
      </c>
    </row>
    <row r="3" spans="1:1">
      <c r="A3" t="s">
        <v>2100</v>
      </c>
    </row>
    <row r="4" spans="1:1">
      <c r="A4" t="s">
        <v>2101</v>
      </c>
    </row>
    <row r="5" spans="1:1">
      <c r="A5" t="s">
        <v>2102</v>
      </c>
    </row>
    <row r="6" spans="1:1">
      <c r="A6" t="s">
        <v>1884</v>
      </c>
    </row>
    <row r="7" spans="1:1">
      <c r="A7" t="s">
        <v>2103</v>
      </c>
    </row>
    <row r="8" spans="1:1">
      <c r="A8" t="s">
        <v>2104</v>
      </c>
    </row>
    <row r="9" spans="1:1">
      <c r="A9" t="s">
        <v>2105</v>
      </c>
    </row>
    <row r="10" spans="1:1">
      <c r="A10" t="s">
        <v>2106</v>
      </c>
    </row>
    <row r="11" spans="1:1">
      <c r="A11" t="s">
        <v>2107</v>
      </c>
    </row>
    <row r="12" spans="1:1">
      <c r="A12" t="s">
        <v>2108</v>
      </c>
    </row>
    <row r="13" spans="1:1">
      <c r="A13" t="s">
        <v>2109</v>
      </c>
    </row>
    <row r="14" spans="1:1">
      <c r="A14" t="s">
        <v>2110</v>
      </c>
    </row>
    <row r="15" spans="1:1">
      <c r="A15" t="s">
        <v>2111</v>
      </c>
    </row>
    <row r="16" spans="1:1">
      <c r="A16" t="s">
        <v>1972</v>
      </c>
    </row>
    <row r="17" spans="1:1">
      <c r="A17" t="s">
        <v>1975</v>
      </c>
    </row>
    <row r="18" spans="1:1">
      <c r="A18" t="s">
        <v>1982</v>
      </c>
    </row>
    <row r="19" spans="1:1">
      <c r="A19" t="s">
        <v>1989</v>
      </c>
    </row>
    <row r="20" spans="1:1">
      <c r="A20" t="s">
        <v>2002</v>
      </c>
    </row>
    <row r="21" spans="1:1">
      <c r="A21" t="s">
        <v>2112</v>
      </c>
    </row>
    <row r="22" spans="1:1">
      <c r="A22" t="s">
        <v>2113</v>
      </c>
    </row>
    <row r="23" spans="1:1">
      <c r="A23" t="s">
        <v>2114</v>
      </c>
    </row>
    <row r="24" spans="1:1">
      <c r="A24" t="s">
        <v>2115</v>
      </c>
    </row>
    <row r="25" spans="1:1">
      <c r="A25" t="s">
        <v>2116</v>
      </c>
    </row>
    <row r="26" spans="1:1">
      <c r="A26" t="s">
        <v>2117</v>
      </c>
    </row>
    <row r="27" spans="1:1">
      <c r="A27" t="s">
        <v>2118</v>
      </c>
    </row>
    <row r="28" spans="1:1">
      <c r="A28" t="s">
        <v>2119</v>
      </c>
    </row>
    <row r="29" spans="1:1">
      <c r="A29" t="s">
        <v>2120</v>
      </c>
    </row>
    <row r="30" spans="1:1">
      <c r="A30" t="s">
        <v>2121</v>
      </c>
    </row>
    <row r="31" spans="1:1">
      <c r="A31" t="s">
        <v>2122</v>
      </c>
    </row>
    <row r="32" spans="1:1">
      <c r="A32" t="s">
        <v>2123</v>
      </c>
    </row>
    <row r="33" spans="1:1">
      <c r="A33" t="s">
        <v>2124</v>
      </c>
    </row>
    <row r="34" spans="1:1">
      <c r="A34" t="s">
        <v>2125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10e3298-64ea-4e10-9051-34cf7ba13039">
      <UserInfo>
        <DisplayName>NAKHLE Paty (JRC-ISPRA)</DisplayName>
        <AccountId>92</AccountId>
        <AccountType/>
      </UserInfo>
      <UserInfo>
        <DisplayName>TRANE Matteo (JRC-ISPRA)</DisplayName>
        <AccountId>69</AccountId>
        <AccountType/>
      </UserInfo>
      <UserInfo>
        <DisplayName>MARELLI Luisa (JRC-ISPRA)</DisplayName>
        <AccountId>6</AccountId>
        <AccountType/>
      </UserInfo>
      <UserInfo>
        <DisplayName>CONTIPELLI Louisa (JRC-ISPRA)</DisplayName>
        <AccountId>208</AccountId>
        <AccountType/>
      </UserInfo>
    </SharedWithUsers>
    <MediaLengthInSeconds xmlns="189f68d6-b300-487d-ba76-b41225ee5e69" xsi:nil="true"/>
    <lcf76f155ced4ddcb4097134ff3c332f xmlns="189f68d6-b300-487d-ba76-b41225ee5e6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9DC8F977FFF614BBCB6E7F0B2182B16" ma:contentTypeVersion="13" ma:contentTypeDescription="Create a new document." ma:contentTypeScope="" ma:versionID="9145a283cb84d31efd968f4d8f4ed09f">
  <xsd:schema xmlns:xsd="http://www.w3.org/2001/XMLSchema" xmlns:xs="http://www.w3.org/2001/XMLSchema" xmlns:p="http://schemas.microsoft.com/office/2006/metadata/properties" xmlns:ns2="189f68d6-b300-487d-ba76-b41225ee5e69" xmlns:ns3="f10e3298-64ea-4e10-9051-34cf7ba13039" targetNamespace="http://schemas.microsoft.com/office/2006/metadata/properties" ma:root="true" ma:fieldsID="b8e7487caa8946f7e71d796156c13a92" ns2:_="" ns3:_="">
    <xsd:import namespace="189f68d6-b300-487d-ba76-b41225ee5e69"/>
    <xsd:import namespace="f10e3298-64ea-4e10-9051-34cf7ba1303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9f68d6-b300-487d-ba76-b41225ee5e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0e3298-64ea-4e10-9051-34cf7ba1303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B987CE-63C1-4E7B-9A7B-A13B5ECA73E4}">
  <ds:schemaRefs>
    <ds:schemaRef ds:uri="http://schemas.microsoft.com/sharepoint/v3/contenttype/forms"/>
  </ds:schemaRefs>
</ds:datastoreItem>
</file>

<file path=customXml/itemProps2.xml><?xml version="1.0" encoding="utf-8"?>
<ds:datastoreItem xmlns:ds="http://schemas.openxmlformats.org/officeDocument/2006/customXml" ds:itemID="{CFCE77D1-839F-448D-806C-5D3BBE49386F}">
  <ds:schemaRefs>
    <ds:schemaRef ds:uri="http://schemas.microsoft.com/office/2006/metadata/properties"/>
    <ds:schemaRef ds:uri="http://schemas.microsoft.com/office/infopath/2007/PartnerControls"/>
    <ds:schemaRef ds:uri="f10e3298-64ea-4e10-9051-34cf7ba13039"/>
    <ds:schemaRef ds:uri="189f68d6-b300-487d-ba76-b41225ee5e69"/>
  </ds:schemaRefs>
</ds:datastoreItem>
</file>

<file path=customXml/itemProps3.xml><?xml version="1.0" encoding="utf-8"?>
<ds:datastoreItem xmlns:ds="http://schemas.openxmlformats.org/officeDocument/2006/customXml" ds:itemID="{5BD4D0FD-D813-465E-8CA1-2DF6BDE8AF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9f68d6-b300-487d-ba76-b41225ee5e69"/>
    <ds:schemaRef ds:uri="f10e3298-64ea-4e10-9051-34cf7ba130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ANNEX_Choice lists</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EGD_Structure</vt:lpstr>
      <vt:lpstr>Sheet18</vt:lpstr>
      <vt:lpstr>Sheet17</vt:lpstr>
      <vt:lpstr>Sheet16</vt:lpstr>
      <vt:lpstr>AllTargetsAssessed_sum</vt:lpstr>
      <vt:lpstr>Sheet14</vt:lpstr>
      <vt:lpstr>Sheet15</vt:lpstr>
      <vt:lpstr>Detail1</vt:lpstr>
      <vt:lpstr>Detail2</vt:lpstr>
      <vt:lpstr>PF contacts</vt:lpstr>
      <vt:lpstr>PF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2025-04-10T12:22:17Z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0x01010019DC8F977FFF614BBCB6E7F0B2182B16</vt:lpwstr>
  </property>
  <property fmtid="{D5CDD505-2E9C-101B-9397-08002B2CF9AE}" pid="3" name="MediaServiceImageTags">
    <vt:lpwstr/>
  </property>
  <property fmtid="{D5CDD505-2E9C-101B-9397-08002B2CF9AE}" pid="4" name="Order">
    <vt:r8>306900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